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filterPrivacy="1" codeName="ThisWorkbook" hidePivotFieldList="1" defaultThemeVersion="166925"/>
  <xr:revisionPtr revIDLastSave="93" documentId="8_{A7D67202-DF47-4CBD-9D2D-F72523C96BC9}" xr6:coauthVersionLast="47" xr6:coauthVersionMax="47" xr10:uidLastSave="{2617EBAB-D7C1-4727-8EF1-BFCEDEC95671}"/>
  <bookViews>
    <workbookView xWindow="-120" yWindow="-120" windowWidth="29040" windowHeight="15720" firstSheet="1" activeTab="2" xr2:uid="{5E6B1529-8293-4A07-A0FC-88C146A51BEA}"/>
  </bookViews>
  <sheets>
    <sheet name="ILR MonitorDistrubution_OLD" sheetId="1" state="hidden" r:id="rId1"/>
    <sheet name="Philips Library" sheetId="6" r:id="rId2"/>
    <sheet name="ILR MonitorDistrubution BAFO_V2" sheetId="4" r:id="rId3"/>
    <sheet name="Central Monitoring - Locations" sheetId="10" r:id="rId4"/>
    <sheet name="Philips Transfer Data" sheetId="5" r:id="rId5"/>
    <sheet name="Item Review Sheet" sheetId="11" r:id="rId6"/>
    <sheet name="LookUps" sheetId="7" state="hidden" r:id="rId7"/>
    <sheet name="Dept Overview" sheetId="8" r:id="rId8"/>
  </sheets>
  <definedNames>
    <definedName name="____imp123" localSheetId="3" hidden="1">{#N/A,#N/A,TRUE,"AB_Vertrag";#N/A,#N/A,TRUE,"AB_BWL"}</definedName>
    <definedName name="____imp123" localSheetId="2" hidden="1">{#N/A,#N/A,TRUE,"AB_Vertrag";#N/A,#N/A,TRUE,"AB_BWL"}</definedName>
    <definedName name="____imp123" localSheetId="0" hidden="1">{#N/A,#N/A,TRUE,"AB_Vertrag";#N/A,#N/A,TRUE,"AB_BWL"}</definedName>
    <definedName name="____imp123" localSheetId="4" hidden="1">{#N/A,#N/A,TRUE,"AB_Vertrag";#N/A,#N/A,TRUE,"AB_BWL"}</definedName>
    <definedName name="____imp123" hidden="1">{#N/A,#N/A,TRUE,"AB_Vertrag";#N/A,#N/A,TRUE,"AB_BWL"}</definedName>
    <definedName name="____imp14" localSheetId="3" hidden="1">{#N/A,#N/A,TRUE,"AB_Vertrag";#N/A,#N/A,TRUE,"AB_BWL"}</definedName>
    <definedName name="____imp14" localSheetId="2" hidden="1">{#N/A,#N/A,TRUE,"AB_Vertrag";#N/A,#N/A,TRUE,"AB_BWL"}</definedName>
    <definedName name="____imp14" localSheetId="0" hidden="1">{#N/A,#N/A,TRUE,"AB_Vertrag";#N/A,#N/A,TRUE,"AB_BWL"}</definedName>
    <definedName name="____imp14" localSheetId="4" hidden="1">{#N/A,#N/A,TRUE,"AB_Vertrag";#N/A,#N/A,TRUE,"AB_BWL"}</definedName>
    <definedName name="____imp14" hidden="1">{#N/A,#N/A,TRUE,"AB_Vertrag";#N/A,#N/A,TRUE,"AB_BWL"}</definedName>
    <definedName name="____imp15" localSheetId="3" hidden="1">{#N/A,#N/A,TRUE,"AB_Vertrag";#N/A,#N/A,TRUE,"AB_BWL"}</definedName>
    <definedName name="____imp15" localSheetId="2" hidden="1">{#N/A,#N/A,TRUE,"AB_Vertrag";#N/A,#N/A,TRUE,"AB_BWL"}</definedName>
    <definedName name="____imp15" localSheetId="0" hidden="1">{#N/A,#N/A,TRUE,"AB_Vertrag";#N/A,#N/A,TRUE,"AB_BWL"}</definedName>
    <definedName name="____imp15" localSheetId="4" hidden="1">{#N/A,#N/A,TRUE,"AB_Vertrag";#N/A,#N/A,TRUE,"AB_BWL"}</definedName>
    <definedName name="____imp15" hidden="1">{#N/A,#N/A,TRUE,"AB_Vertrag";#N/A,#N/A,TRUE,"AB_BWL"}</definedName>
    <definedName name="____imp21" localSheetId="3" hidden="1">{#N/A,#N/A,TRUE,"AB_Vertrag";#N/A,#N/A,TRUE,"AB_BWL"}</definedName>
    <definedName name="____imp21" localSheetId="2" hidden="1">{#N/A,#N/A,TRUE,"AB_Vertrag";#N/A,#N/A,TRUE,"AB_BWL"}</definedName>
    <definedName name="____imp21" localSheetId="0" hidden="1">{#N/A,#N/A,TRUE,"AB_Vertrag";#N/A,#N/A,TRUE,"AB_BWL"}</definedName>
    <definedName name="____imp21" localSheetId="4" hidden="1">{#N/A,#N/A,TRUE,"AB_Vertrag";#N/A,#N/A,TRUE,"AB_BWL"}</definedName>
    <definedName name="____imp21" hidden="1">{#N/A,#N/A,TRUE,"AB_Vertrag";#N/A,#N/A,TRUE,"AB_BWL"}</definedName>
    <definedName name="____imp5" localSheetId="3" hidden="1">{#N/A,#N/A,TRUE,"AB_Vertrag";#N/A,#N/A,TRUE,"AB_BWL"}</definedName>
    <definedName name="____imp5" localSheetId="2" hidden="1">{#N/A,#N/A,TRUE,"AB_Vertrag";#N/A,#N/A,TRUE,"AB_BWL"}</definedName>
    <definedName name="____imp5" localSheetId="0" hidden="1">{#N/A,#N/A,TRUE,"AB_Vertrag";#N/A,#N/A,TRUE,"AB_BWL"}</definedName>
    <definedName name="____imp5" localSheetId="4" hidden="1">{#N/A,#N/A,TRUE,"AB_Vertrag";#N/A,#N/A,TRUE,"AB_BWL"}</definedName>
    <definedName name="____imp5" hidden="1">{#N/A,#N/A,TRUE,"AB_Vertrag";#N/A,#N/A,TRUE,"AB_BWL"}</definedName>
    <definedName name="____imp6" localSheetId="3" hidden="1">{#N/A,#N/A,TRUE,"AB_Vertrag";#N/A,#N/A,TRUE,"AB_BWL"}</definedName>
    <definedName name="____imp6" localSheetId="2" hidden="1">{#N/A,#N/A,TRUE,"AB_Vertrag";#N/A,#N/A,TRUE,"AB_BWL"}</definedName>
    <definedName name="____imp6" localSheetId="0" hidden="1">{#N/A,#N/A,TRUE,"AB_Vertrag";#N/A,#N/A,TRUE,"AB_BWL"}</definedName>
    <definedName name="____imp6" localSheetId="4" hidden="1">{#N/A,#N/A,TRUE,"AB_Vertrag";#N/A,#N/A,TRUE,"AB_BWL"}</definedName>
    <definedName name="____imp6" hidden="1">{#N/A,#N/A,TRUE,"AB_Vertrag";#N/A,#N/A,TRUE,"AB_BWL"}</definedName>
    <definedName name="____imp7" localSheetId="3" hidden="1">{#N/A,#N/A,TRUE,"AB_Vertrag";#N/A,#N/A,TRUE,"AB_BWL"}</definedName>
    <definedName name="____imp7" localSheetId="2" hidden="1">{#N/A,#N/A,TRUE,"AB_Vertrag";#N/A,#N/A,TRUE,"AB_BWL"}</definedName>
    <definedName name="____imp7" localSheetId="0" hidden="1">{#N/A,#N/A,TRUE,"AB_Vertrag";#N/A,#N/A,TRUE,"AB_BWL"}</definedName>
    <definedName name="____imp7" localSheetId="4" hidden="1">{#N/A,#N/A,TRUE,"AB_Vertrag";#N/A,#N/A,TRUE,"AB_BWL"}</definedName>
    <definedName name="____imp7" hidden="1">{#N/A,#N/A,TRUE,"AB_Vertrag";#N/A,#N/A,TRUE,"AB_BWL"}</definedName>
    <definedName name="____imp8" localSheetId="3" hidden="1">{#N/A,#N/A,TRUE,"AB_Vertrag";#N/A,#N/A,TRUE,"AB_BWL"}</definedName>
    <definedName name="____imp8" localSheetId="2" hidden="1">{#N/A,#N/A,TRUE,"AB_Vertrag";#N/A,#N/A,TRUE,"AB_BWL"}</definedName>
    <definedName name="____imp8" localSheetId="0" hidden="1">{#N/A,#N/A,TRUE,"AB_Vertrag";#N/A,#N/A,TRUE,"AB_BWL"}</definedName>
    <definedName name="____imp8" localSheetId="4" hidden="1">{#N/A,#N/A,TRUE,"AB_Vertrag";#N/A,#N/A,TRUE,"AB_BWL"}</definedName>
    <definedName name="____imp8" hidden="1">{#N/A,#N/A,TRUE,"AB_Vertrag";#N/A,#N/A,TRUE,"AB_BWL"}</definedName>
    <definedName name="___123Graph__AA" localSheetId="3" hidden="1">#REF!</definedName>
    <definedName name="___123Graph__AA" localSheetId="4" hidden="1">#REF!</definedName>
    <definedName name="___123Graph__AA" hidden="1">#REF!</definedName>
    <definedName name="___alt2" localSheetId="3" hidden="1">{#N/A,#N/A,TRUE,"AB_Vertrag";#N/A,#N/A,TRUE,"AB_BWL"}</definedName>
    <definedName name="___alt2" localSheetId="2" hidden="1">{#N/A,#N/A,TRUE,"AB_Vertrag";#N/A,#N/A,TRUE,"AB_BWL"}</definedName>
    <definedName name="___alt2" localSheetId="0" hidden="1">{#N/A,#N/A,TRUE,"AB_Vertrag";#N/A,#N/A,TRUE,"AB_BWL"}</definedName>
    <definedName name="___alt2" localSheetId="4" hidden="1">{#N/A,#N/A,TRUE,"AB_Vertrag";#N/A,#N/A,TRUE,"AB_BWL"}</definedName>
    <definedName name="___alt2" hidden="1">{#N/A,#N/A,TRUE,"AB_Vertrag";#N/A,#N/A,TRUE,"AB_BWL"}</definedName>
    <definedName name="__123Grapgh__s" localSheetId="3" hidden="1">#REF!</definedName>
    <definedName name="__123Grapgh__s" localSheetId="4" hidden="1">#REF!</definedName>
    <definedName name="__123Grapgh__s" hidden="1">#REF!</definedName>
    <definedName name="__123Graph_A" localSheetId="3" hidden="1">#REF!</definedName>
    <definedName name="__123Graph_A" localSheetId="4" hidden="1">#REF!</definedName>
    <definedName name="__123Graph_A" hidden="1">#REF!</definedName>
    <definedName name="__123Graph_B" localSheetId="3" hidden="1">#REF!</definedName>
    <definedName name="__123Graph_B" localSheetId="4" hidden="1">#REF!</definedName>
    <definedName name="__123Graph_B" hidden="1">#REF!</definedName>
    <definedName name="__123Graph_C" localSheetId="3" hidden="1">#REF!</definedName>
    <definedName name="__123Graph_C" localSheetId="4" hidden="1">#REF!</definedName>
    <definedName name="__123Graph_C" hidden="1">#REF!</definedName>
    <definedName name="__123Graph_D" localSheetId="3" hidden="1">#REF!</definedName>
    <definedName name="__123Graph_D" localSheetId="4" hidden="1">#REF!</definedName>
    <definedName name="__123Graph_D" hidden="1">#REF!</definedName>
    <definedName name="__123Graph_E" localSheetId="3" hidden="1">#REF!</definedName>
    <definedName name="__123Graph_E" localSheetId="4" hidden="1">#REF!</definedName>
    <definedName name="__123Graph_E" hidden="1">#REF!</definedName>
    <definedName name="__123Graph_F" localSheetId="3" hidden="1">#REF!</definedName>
    <definedName name="__123Graph_F" localSheetId="4" hidden="1">#REF!</definedName>
    <definedName name="__123Graph_F" hidden="1">#REF!</definedName>
    <definedName name="__123Graph_G" localSheetId="3" hidden="1">#REF!</definedName>
    <definedName name="__123Graph_G" localSheetId="4" hidden="1">#REF!</definedName>
    <definedName name="__123Graph_G" hidden="1">#REF!</definedName>
    <definedName name="__123Graph_X" localSheetId="3" hidden="1">#REF!</definedName>
    <definedName name="__123Graph_X" localSheetId="4" hidden="1">#REF!</definedName>
    <definedName name="__123Graph_X" hidden="1">#REF!</definedName>
    <definedName name="__123Graph_XX" localSheetId="3" hidden="1">#REF!</definedName>
    <definedName name="__123Graph_XX" localSheetId="4" hidden="1">#REF!</definedName>
    <definedName name="__123Graph_XX" hidden="1">#REF!</definedName>
    <definedName name="_123Graph_B" localSheetId="3" hidden="1">#REF!</definedName>
    <definedName name="_123Graph_B" localSheetId="4" hidden="1">#REF!</definedName>
    <definedName name="_123Graph_B" hidden="1">#REF!</definedName>
    <definedName name="_123Graph_XX" localSheetId="3" hidden="1">#REF!</definedName>
    <definedName name="_123Graph_XX" localSheetId="4" hidden="1">#REF!</definedName>
    <definedName name="_123Graph_XX" hidden="1">#REF!</definedName>
    <definedName name="_1K" localSheetId="3" hidden="1">#REF!</definedName>
    <definedName name="_1K" localSheetId="4" hidden="1">#REF!</definedName>
    <definedName name="_1K" hidden="1">#REF!</definedName>
    <definedName name="_234Grapgh_a" localSheetId="3" hidden="1">#REF!</definedName>
    <definedName name="_234Grapgh_a" localSheetId="4" hidden="1">#REF!</definedName>
    <definedName name="_234Grapgh_a" hidden="1">#REF!</definedName>
    <definedName name="_234Graph_AB" localSheetId="3" hidden="1">#REF!</definedName>
    <definedName name="_234Graph_AB" localSheetId="4" hidden="1">#REF!</definedName>
    <definedName name="_234Graph_AB" hidden="1">#REF!</definedName>
    <definedName name="_234Graph_B" localSheetId="3" hidden="1">#REF!</definedName>
    <definedName name="_234Graph_B" localSheetId="4" hidden="1">#REF!</definedName>
    <definedName name="_234Graph_B" hidden="1">#REF!</definedName>
    <definedName name="_234Graph_C" localSheetId="3" hidden="1">#REF!</definedName>
    <definedName name="_234Graph_C" localSheetId="4" hidden="1">#REF!</definedName>
    <definedName name="_234Graph_C" hidden="1">#REF!</definedName>
    <definedName name="_234Graph_D" localSheetId="3" hidden="1">#REF!</definedName>
    <definedName name="_234Graph_D" localSheetId="4" hidden="1">#REF!</definedName>
    <definedName name="_234Graph_D" hidden="1">#REF!</definedName>
    <definedName name="_234Graph_E" localSheetId="3" hidden="1">#REF!</definedName>
    <definedName name="_234Graph_E" localSheetId="4" hidden="1">#REF!</definedName>
    <definedName name="_234Graph_E" hidden="1">#REF!</definedName>
    <definedName name="_2S" localSheetId="3" hidden="1">#REF!</definedName>
    <definedName name="_2S" localSheetId="4" hidden="1">#REF!</definedName>
    <definedName name="_2S" hidden="1">#REF!</definedName>
    <definedName name="_3_0_0_K" localSheetId="3" hidden="1">#REF!</definedName>
    <definedName name="_3_0_0_K" localSheetId="4" hidden="1">#REF!</definedName>
    <definedName name="_3_0_0_K" hidden="1">#REF!</definedName>
    <definedName name="_4_0_0_S" localSheetId="3" hidden="1">#REF!</definedName>
    <definedName name="_4_0_0_S" localSheetId="4" hidden="1">#REF!</definedName>
    <definedName name="_4_0_0_S" hidden="1">#REF!</definedName>
    <definedName name="_5_0_0K" localSheetId="3" hidden="1">#REF!</definedName>
    <definedName name="_5_0_0K" localSheetId="4" hidden="1">#REF!</definedName>
    <definedName name="_5_0_0K" hidden="1">#REF!</definedName>
    <definedName name="_6_0_0SO" localSheetId="3" hidden="1">#REF!</definedName>
    <definedName name="_6_0_0SO" localSheetId="4" hidden="1">#REF!</definedName>
    <definedName name="_6_0_0SO" hidden="1">#REF!</definedName>
    <definedName name="_7K" localSheetId="3" hidden="1">#REF!</definedName>
    <definedName name="_7K" localSheetId="4" hidden="1">#REF!</definedName>
    <definedName name="_7K" hidden="1">#REF!</definedName>
    <definedName name="_8SO" localSheetId="3" hidden="1">#REF!</definedName>
    <definedName name="_8SO" localSheetId="4" hidden="1">#REF!</definedName>
    <definedName name="_8SO" hidden="1">#REF!</definedName>
    <definedName name="_abc" localSheetId="3" hidden="1">#REF!</definedName>
    <definedName name="_abc" localSheetId="4" hidden="1">#REF!</definedName>
    <definedName name="_abc" hidden="1">#REF!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0.05</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CumulativeOverlay01" hidden="1">0</definedName>
    <definedName name="_AtRisk_SimSetting_ReportOptionCustomItemCumulativeOverlay02" hidden="1">0</definedName>
    <definedName name="_AtRisk_SimSetting_ReportOptionCustomItemCumulativeOverlay03" hidden="1">0</definedName>
    <definedName name="_AtRisk_SimSetting_ReportOptionCustomItemCumulativeOverlay04" hidden="1">0</definedName>
    <definedName name="_AtRisk_SimSetting_ReportOptionCustomItemCumulativeOverlay05" hidden="1">0</definedName>
    <definedName name="_AtRisk_SimSetting_ReportOptionCustomItemCumulativeOverlay06" hidden="1">0</definedName>
    <definedName name="_AtRisk_SimSetting_ReportOptionCustomItemDistributionFormat01" hidden="1">1</definedName>
    <definedName name="_AtRisk_SimSetting_ReportOptionCustomItemDistributionFormat02" hidden="1">1</definedName>
    <definedName name="_AtRisk_SimSetting_ReportOptionCustomItemDistributionFormat03" hidden="1">4</definedName>
    <definedName name="_AtRisk_SimSetting_ReportOptionCustomItemDistributionFormat04" hidden="1">1</definedName>
    <definedName name="_AtRisk_SimSetting_ReportOptionCustomItemDistributionFormat05" hidden="1">1</definedName>
    <definedName name="_AtRisk_SimSetting_ReportOptionCustomItemDistributionFormat06" hidden="1">1</definedName>
    <definedName name="_AtRisk_SimSetting_ReportOptionCustomItemGraphFormat01" hidden="1">1</definedName>
    <definedName name="_AtRisk_SimSetting_ReportOptionCustomItemGraphFormat02" hidden="1">1</definedName>
    <definedName name="_AtRisk_SimSetting_ReportOptionCustomItemGraphFormat03" hidden="1">1</definedName>
    <definedName name="_AtRisk_SimSetting_ReportOptionCustomItemGraphFormat04" hidden="1">1</definedName>
    <definedName name="_AtRisk_SimSetting_ReportOptionCustomItemGraphFormat05" hidden="1">1</definedName>
    <definedName name="_AtRisk_SimSetting_ReportOptionCustomItemGraphFormat06" hidden="1">1</definedName>
    <definedName name="_AtRisk_SimSetting_ReportOptionCustomItemItemIndex01" hidden="1">0</definedName>
    <definedName name="_AtRisk_SimSetting_ReportOptionCustomItemItemIndex02" hidden="1">1</definedName>
    <definedName name="_AtRisk_SimSetting_ReportOptionCustomItemItemIndex03" hidden="1">2</definedName>
    <definedName name="_AtRisk_SimSetting_ReportOptionCustomItemItemIndex04" hidden="1">3</definedName>
    <definedName name="_AtRisk_SimSetting_ReportOptionCustomItemItemIndex05" hidden="1">4</definedName>
    <definedName name="_AtRisk_SimSetting_ReportOptionCustomItemItemIndex06" hidden="1">5</definedName>
    <definedName name="_AtRisk_SimSetting_ReportOptionCustomItemItemSize01" hidden="1">0</definedName>
    <definedName name="_AtRisk_SimSetting_ReportOptionCustomItemItemSize02" hidden="1">0</definedName>
    <definedName name="_AtRisk_SimSetting_ReportOptionCustomItemItemSize03" hidden="1">0</definedName>
    <definedName name="_AtRisk_SimSetting_ReportOptionCustomItemItemSize04" hidden="1">0</definedName>
    <definedName name="_AtRisk_SimSetting_ReportOptionCustomItemItemSize05" hidden="1">0</definedName>
    <definedName name="_AtRisk_SimSetting_ReportOptionCustomItemItemSize06" hidden="1">0</definedName>
    <definedName name="_AtRisk_SimSetting_ReportOptionCustomItemItemType01" hidden="1">1</definedName>
    <definedName name="_AtRisk_SimSetting_ReportOptionCustomItemItemType02" hidden="1">5</definedName>
    <definedName name="_AtRisk_SimSetting_ReportOptionCustomItemItemType03" hidden="1">1</definedName>
    <definedName name="_AtRisk_SimSetting_ReportOptionCustomItemItemType04" hidden="1">3</definedName>
    <definedName name="_AtRisk_SimSetting_ReportOptionCustomItemItemType05" hidden="1">2</definedName>
    <definedName name="_AtRisk_SimSetting_ReportOptionCustomItemItemType06" hidden="1">4</definedName>
    <definedName name="_AtRisk_SimSetting_ReportOptionCustomItemLegendType01" hidden="1">0</definedName>
    <definedName name="_AtRisk_SimSetting_ReportOptionCustomItemLegendType02" hidden="1">0</definedName>
    <definedName name="_AtRisk_SimSetting_ReportOptionCustomItemLegendType03" hidden="1">0</definedName>
    <definedName name="_AtRisk_SimSetting_ReportOptionCustomItemLegendType04" hidden="1">0</definedName>
    <definedName name="_AtRisk_SimSetting_ReportOptionCustomItemLegendType05" hidden="1">0</definedName>
    <definedName name="_AtRisk_SimSetting_ReportOptionCustomItemLegendType06" hidden="1">0</definedName>
    <definedName name="_AtRisk_SimSetting_ReportOptionCustomItemsCount" hidden="1">0</definedName>
    <definedName name="_AtRisk_SimSetting_ReportOptionCustomItemSensitivityFormat01" hidden="1">1</definedName>
    <definedName name="_AtRisk_SimSetting_ReportOptionCustomItemSensitivityFormat02" hidden="1">1</definedName>
    <definedName name="_AtRisk_SimSetting_ReportOptionCustomItemSensitivityFormat03" hidden="1">1</definedName>
    <definedName name="_AtRisk_SimSetting_ReportOptionCustomItemSensitivityFormat04" hidden="1">1</definedName>
    <definedName name="_AtRisk_SimSetting_ReportOptionCustomItemSensitivityFormat05" hidden="1">1</definedName>
    <definedName name="_AtRisk_SimSetting_ReportOptionCustomItemSensitivityFormat06" hidden="1">1</definedName>
    <definedName name="_AtRisk_SimSetting_ReportOptionCustomItemSummaryGraphType01" hidden="1">0</definedName>
    <definedName name="_AtRisk_SimSetting_ReportOptionCustomItemSummaryGraphType02" hidden="1">0</definedName>
    <definedName name="_AtRisk_SimSetting_ReportOptionCustomItemSummaryGraphType03" hidden="1">0</definedName>
    <definedName name="_AtRisk_SimSetting_ReportOptionCustomItemSummaryGraphType04" hidden="1">0</definedName>
    <definedName name="_AtRisk_SimSetting_ReportOptionCustomItemSummaryGraphType05" hidden="1">0</definedName>
    <definedName name="_AtRisk_SimSetting_ReportOptionCustomItemSummaryGraphType06"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1</definedName>
    <definedName name="_AtRisk_SimSetting_StdRecalcWithoutRiskStatic" hidden="1">0</definedName>
    <definedName name="_AtRisk_SimSetting_StdRecalcWithoutRiskStaticPercentile" hidden="1">0.5</definedName>
    <definedName name="_bdm.2826F3010C0649488EBF2AF9D0421AF1.edm" localSheetId="3" hidden="1">#REF!</definedName>
    <definedName name="_bdm.2826F3010C0649488EBF2AF9D0421AF1.edm" localSheetId="4" hidden="1">#REF!</definedName>
    <definedName name="_bdm.2826F3010C0649488EBF2AF9D0421AF1.edm" hidden="1">#REF!</definedName>
    <definedName name="_bdm.31B6E9436D3D449394D40B313A277673.edm" localSheetId="3" hidden="1">#REF!</definedName>
    <definedName name="_bdm.31B6E9436D3D449394D40B313A277673.edm" localSheetId="4" hidden="1">#REF!</definedName>
    <definedName name="_bdm.31B6E9436D3D449394D40B313A277673.edm" hidden="1">#REF!</definedName>
    <definedName name="_bdm.34547785BAE84CD8A35F47B6B1B120B7.edm" localSheetId="3" hidden="1">#REF!</definedName>
    <definedName name="_bdm.34547785BAE84CD8A35F47B6B1B120B7.edm" localSheetId="4" hidden="1">#REF!</definedName>
    <definedName name="_bdm.34547785BAE84CD8A35F47B6B1B120B7.edm" hidden="1">#REF!</definedName>
    <definedName name="_bdm.39304F144D164015AAE7580D618E8B33.edm" localSheetId="3" hidden="1">#REF!</definedName>
    <definedName name="_bdm.39304F144D164015AAE7580D618E8B33.edm" localSheetId="4" hidden="1">#REF!</definedName>
    <definedName name="_bdm.39304F144D164015AAE7580D618E8B33.edm" hidden="1">#REF!</definedName>
    <definedName name="_bdm.3BFA5111115C47AD9D3A9559DD714CF7.edm" localSheetId="3" hidden="1">#REF!</definedName>
    <definedName name="_bdm.3BFA5111115C47AD9D3A9559DD714CF7.edm" localSheetId="4" hidden="1">#REF!</definedName>
    <definedName name="_bdm.3BFA5111115C47AD9D3A9559DD714CF7.edm" hidden="1">#REF!</definedName>
    <definedName name="_bdm.56EA3D4F6EF74AA18A97AA29B3DE0B6E.edm" localSheetId="3" hidden="1">#REF!</definedName>
    <definedName name="_bdm.56EA3D4F6EF74AA18A97AA29B3DE0B6E.edm" localSheetId="4" hidden="1">#REF!</definedName>
    <definedName name="_bdm.56EA3D4F6EF74AA18A97AA29B3DE0B6E.edm" hidden="1">#REF!</definedName>
    <definedName name="_bdm.7FB6F3A30F454EFDB2F224D42C0DDB88.edm" localSheetId="3" hidden="1">#REF!</definedName>
    <definedName name="_bdm.7FB6F3A30F454EFDB2F224D42C0DDB88.edm" localSheetId="4" hidden="1">#REF!</definedName>
    <definedName name="_bdm.7FB6F3A30F454EFDB2F224D42C0DDB88.edm" hidden="1">#REF!</definedName>
    <definedName name="_bdm.886FAD49271D4B039CCF8384C8D658A4.edm" localSheetId="3" hidden="1">#REF!</definedName>
    <definedName name="_bdm.886FAD49271D4B039CCF8384C8D658A4.edm" localSheetId="4" hidden="1">#REF!</definedName>
    <definedName name="_bdm.886FAD49271D4B039CCF8384C8D658A4.edm" hidden="1">#REF!</definedName>
    <definedName name="_bdm.BDEE9B7FAE6D4DC082B67A35002CA6BB.edm" localSheetId="3" hidden="1">#REF!</definedName>
    <definedName name="_bdm.BDEE9B7FAE6D4DC082B67A35002CA6BB.edm" localSheetId="4" hidden="1">#REF!</definedName>
    <definedName name="_bdm.BDEE9B7FAE6D4DC082B67A35002CA6BB.edm" hidden="1">#REF!</definedName>
    <definedName name="_bdm.C182FD6673774D4D809EFB77CF8A4F3B.edm" localSheetId="3" hidden="1">#REF!</definedName>
    <definedName name="_bdm.C182FD6673774D4D809EFB77CF8A4F3B.edm" localSheetId="4" hidden="1">#REF!</definedName>
    <definedName name="_bdm.C182FD6673774D4D809EFB77CF8A4F3B.edm" hidden="1">#REF!</definedName>
    <definedName name="_bdm.C258000709664931AF834473C2B4C326.edm" localSheetId="3" hidden="1">#REF!</definedName>
    <definedName name="_bdm.C258000709664931AF834473C2B4C326.edm" localSheetId="4" hidden="1">#REF!</definedName>
    <definedName name="_bdm.C258000709664931AF834473C2B4C326.edm" hidden="1">#REF!</definedName>
    <definedName name="_bdm.C6CD67A0776346658BD39FC11942F63D.edm" localSheetId="3" hidden="1">#REF!</definedName>
    <definedName name="_bdm.C6CD67A0776346658BD39FC11942F63D.edm" localSheetId="4" hidden="1">#REF!</definedName>
    <definedName name="_bdm.C6CD67A0776346658BD39FC11942F63D.edm" hidden="1">#REF!</definedName>
    <definedName name="_bdm.C8B61AB1F29F4B40A7E92745C3FC3E64.edm" localSheetId="3" hidden="1">#REF!</definedName>
    <definedName name="_bdm.C8B61AB1F29F4B40A7E92745C3FC3E64.edm" localSheetId="4" hidden="1">#REF!</definedName>
    <definedName name="_bdm.C8B61AB1F29F4B40A7E92745C3FC3E64.edm" hidden="1">#REF!</definedName>
    <definedName name="_bdm.D1BEDEAE03784022AE17D34D571925E2.edm" localSheetId="3" hidden="1">#REF!</definedName>
    <definedName name="_bdm.D1BEDEAE03784022AE17D34D571925E2.edm" localSheetId="4" hidden="1">#REF!</definedName>
    <definedName name="_bdm.D1BEDEAE03784022AE17D34D571925E2.edm" hidden="1">#REF!</definedName>
    <definedName name="_bdm.F3C1203A1BE0435DB1E640C129FE75C2.edm" localSheetId="3" hidden="1">#REF!</definedName>
    <definedName name="_bdm.F3C1203A1BE0435DB1E640C129FE75C2.edm" localSheetId="4" hidden="1">#REF!</definedName>
    <definedName name="_bdm.F3C1203A1BE0435DB1E640C129FE75C2.edm" hidden="1">#REF!</definedName>
    <definedName name="_bdm.F730204ACEC942BEAF3F4CB678899EFC.edm" localSheetId="3" hidden="1">#REF!</definedName>
    <definedName name="_bdm.F730204ACEC942BEAF3F4CB678899EFC.edm" localSheetId="4" hidden="1">#REF!</definedName>
    <definedName name="_bdm.F730204ACEC942BEAF3F4CB678899EFC.edm" hidden="1">#REF!</definedName>
    <definedName name="_bdm.FCBBE696B640436EBFA67C6F6CCC53B9.edm" localSheetId="3" hidden="1">#REF!</definedName>
    <definedName name="_bdm.FCBBE696B640436EBFA67C6F6CCC53B9.edm" localSheetId="4" hidden="1">#REF!</definedName>
    <definedName name="_bdm.FCBBE696B640436EBFA67C6F6CCC53B9.edm" hidden="1">#REF!</definedName>
    <definedName name="_bdm.FE50361BAE674D4487901552609F93F7.edm" localSheetId="3" hidden="1">#REF!</definedName>
    <definedName name="_bdm.FE50361BAE674D4487901552609F93F7.edm" localSheetId="4" hidden="1">#REF!</definedName>
    <definedName name="_bdm.FE50361BAE674D4487901552609F93F7.edm" hidden="1">#REF!</definedName>
    <definedName name="_bob" localSheetId="3" hidden="1">#REF!</definedName>
    <definedName name="_bob" localSheetId="4" hidden="1">#REF!</definedName>
    <definedName name="_bob" hidden="1">#REF!</definedName>
    <definedName name="_Example" localSheetId="3" hidden="1">#REF!</definedName>
    <definedName name="_Example" localSheetId="4" hidden="1">#REF!</definedName>
    <definedName name="_Example" hidden="1">#REF!</definedName>
    <definedName name="_Fill" localSheetId="3" hidden="1">#REF!</definedName>
    <definedName name="_Fill" localSheetId="4" hidden="1">#REF!</definedName>
    <definedName name="_Fill" hidden="1">#REF!</definedName>
    <definedName name="_xlnm._FilterDatabase" localSheetId="2" hidden="1">'ILR MonitorDistrubution BAFO_V2'!$B$4:$AO$937</definedName>
    <definedName name="_xlnm._FilterDatabase" localSheetId="0" hidden="1">'ILR MonitorDistrubution_OLD'!$B$4:$AH$470</definedName>
    <definedName name="_xlnm._FilterDatabase" localSheetId="4" hidden="1">'Philips Transfer Data'!$C$2:$Z$1042796</definedName>
    <definedName name="_Key1" localSheetId="3" hidden="1">#REF!</definedName>
    <definedName name="_Key1" localSheetId="4" hidden="1">#REF!</definedName>
    <definedName name="_Key1" hidden="1">#REF!</definedName>
    <definedName name="_Key2" localSheetId="3" hidden="1">#REF!</definedName>
    <definedName name="_Key2" localSheetId="4" hidden="1">#REF!</definedName>
    <definedName name="_Key2" hidden="1">#REF!</definedName>
    <definedName name="_KK" localSheetId="3" hidden="1">#REF!</definedName>
    <definedName name="_KK" localSheetId="4" hidden="1">#REF!</definedName>
    <definedName name="_KK" hidden="1">#REF!</definedName>
    <definedName name="_Look" localSheetId="3" hidden="1">#REF!</definedName>
    <definedName name="_Look" localSheetId="4" hidden="1">#REF!</definedName>
    <definedName name="_Look" hidden="1">#REF!</definedName>
    <definedName name="_Order1" hidden="1">255</definedName>
    <definedName name="_Order2" hidden="1">255</definedName>
    <definedName name="_RL1" localSheetId="3" hidden="1">#REF!</definedName>
    <definedName name="_RL1" localSheetId="4" hidden="1">#REF!</definedName>
    <definedName name="_RL1" hidden="1">#REF!</definedName>
    <definedName name="_rl2" localSheetId="3"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_rl2" localSheetId="2"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_rl2" localSheetId="0"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_rl2" localSheetId="4"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_rl2"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_Series" localSheetId="3" hidden="1">#REF!</definedName>
    <definedName name="_Series" localSheetId="4" hidden="1">#REF!</definedName>
    <definedName name="_Series" hidden="1">#REF!</definedName>
    <definedName name="_Shading" localSheetId="3" hidden="1">#REF!</definedName>
    <definedName name="_Shading" localSheetId="4" hidden="1">#REF!</definedName>
    <definedName name="_Shading" hidden="1">#REF!</definedName>
    <definedName name="_Sort" localSheetId="3" hidden="1">#REF!</definedName>
    <definedName name="_Sort" localSheetId="4" hidden="1">#REF!</definedName>
    <definedName name="_Sort" hidden="1">#REF!</definedName>
    <definedName name="_Table2_In1" localSheetId="3" hidden="1">#REF!</definedName>
    <definedName name="_Table2_In1" localSheetId="4" hidden="1">#REF!</definedName>
    <definedName name="_Table2_In1" hidden="1">#REF!</definedName>
    <definedName name="_Table2_In2" localSheetId="3" hidden="1">#REF!</definedName>
    <definedName name="_Table2_In2" localSheetId="4" hidden="1">#REF!</definedName>
    <definedName name="_Table2_In2" hidden="1">#REF!</definedName>
    <definedName name="_Table2_Out" localSheetId="3" hidden="1">#REF!</definedName>
    <definedName name="_Table2_Out" localSheetId="4" hidden="1">#REF!</definedName>
    <definedName name="_Table2_Out" hidden="1">#REF!</definedName>
    <definedName name="_xlcn.WorksheetConnection_GraftonBMSSubestimate.xlsmbom_mmax_table" hidden="1">#REF!</definedName>
    <definedName name="_xlcn.WorksheetConnection_GraftonBMSSubestimate.xlsmbom_mmin_table" hidden="1">#REF!</definedName>
    <definedName name="a" localSheetId="3" hidden="1">{"key inputs",#N/A,TRUE,"Key Inputs";"key outputs",#N/A,TRUE,"Outputs";"Other inputs",#N/A,TRUE,"Other Inputs";"Revenue",#N/A,TRUE,"Rev"}</definedName>
    <definedName name="a" localSheetId="2" hidden="1">{"key inputs",#N/A,TRUE,"Key Inputs";"key outputs",#N/A,TRUE,"Outputs";"Other inputs",#N/A,TRUE,"Other Inputs";"Revenue",#N/A,TRUE,"Rev"}</definedName>
    <definedName name="a" localSheetId="0" hidden="1">{"key inputs",#N/A,TRUE,"Key Inputs";"key outputs",#N/A,TRUE,"Outputs";"Other inputs",#N/A,TRUE,"Other Inputs";"Revenue",#N/A,TRUE,"Rev"}</definedName>
    <definedName name="a" localSheetId="4" hidden="1">{"key inputs",#N/A,TRUE,"Key Inputs";"key outputs",#N/A,TRUE,"Outputs";"Other inputs",#N/A,TRUE,"Other Inputs";"Revenue",#N/A,TRUE,"Rev"}</definedName>
    <definedName name="a" hidden="1">{"key inputs",#N/A,TRUE,"Key Inputs";"key outputs",#N/A,TRUE,"Outputs";"Other inputs",#N/A,TRUE,"Other Inputs";"Revenue",#N/A,TRUE,"Rev"}</definedName>
    <definedName name="AA" localSheetId="3" hidden="1">{#N/A,#N/A,TRUE,"Prog. Overview Strategic Input";#N/A,#N/A,TRUE,"Program Overview Financials";#N/A,#N/A,TRUE,"Technology Summary Input";#N/A,#N/A,TRUE,"Mkt &amp; Sales Summary Input";#N/A,#N/A,TRUE,"Delivery Summary Input";#N/A,#N/A,TRUE,"Revenue Assump Input";#N/A,#N/A,TRUE,"Financial Summary"}</definedName>
    <definedName name="AA" localSheetId="2" hidden="1">{#N/A,#N/A,TRUE,"Prog. Overview Strategic Input";#N/A,#N/A,TRUE,"Program Overview Financials";#N/A,#N/A,TRUE,"Technology Summary Input";#N/A,#N/A,TRUE,"Mkt &amp; Sales Summary Input";#N/A,#N/A,TRUE,"Delivery Summary Input";#N/A,#N/A,TRUE,"Revenue Assump Input";#N/A,#N/A,TRUE,"Financial Summary"}</definedName>
    <definedName name="AA" localSheetId="0" hidden="1">{#N/A,#N/A,TRUE,"Prog. Overview Strategic Input";#N/A,#N/A,TRUE,"Program Overview Financials";#N/A,#N/A,TRUE,"Technology Summary Input";#N/A,#N/A,TRUE,"Mkt &amp; Sales Summary Input";#N/A,#N/A,TRUE,"Delivery Summary Input";#N/A,#N/A,TRUE,"Revenue Assump Input";#N/A,#N/A,TRUE,"Financial Summary"}</definedName>
    <definedName name="AA" localSheetId="4" hidden="1">{#N/A,#N/A,TRUE,"Prog. Overview Strategic Input";#N/A,#N/A,TRUE,"Program Overview Financials";#N/A,#N/A,TRUE,"Technology Summary Input";#N/A,#N/A,TRUE,"Mkt &amp; Sales Summary Input";#N/A,#N/A,TRUE,"Delivery Summary Input";#N/A,#N/A,TRUE,"Revenue Assump Input";#N/A,#N/A,TRUE,"Financial Summary"}</definedName>
    <definedName name="AA" hidden="1">{#N/A,#N/A,TRUE,"Prog. Overview Strategic Input";#N/A,#N/A,TRUE,"Program Overview Financials";#N/A,#N/A,TRUE,"Technology Summary Input";#N/A,#N/A,TRUE,"Mkt &amp; Sales Summary Input";#N/A,#N/A,TRUE,"Delivery Summary Input";#N/A,#N/A,TRUE,"Revenue Assump Input";#N/A,#N/A,TRUE,"Financial Summary"}</definedName>
    <definedName name="aaa" localSheetId="3"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aaa" localSheetId="2"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aaa" localSheetId="0"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aaa" localSheetId="4"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aaa"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AAA_DOCTOPS" hidden="1">"AAA_SET"</definedName>
    <definedName name="AAA_duser" hidden="1">"OFF"</definedName>
    <definedName name="aaabbbccc" localSheetId="3" hidden="1">{"key inputs",#N/A,TRUE,"Key Inputs";"key outputs",#N/A,TRUE,"Outputs";"Other inputs",#N/A,TRUE,"Other Inputs";"Revenue",#N/A,TRUE,"Rev"}</definedName>
    <definedName name="aaabbbccc" localSheetId="2" hidden="1">{"key inputs",#N/A,TRUE,"Key Inputs";"key outputs",#N/A,TRUE,"Outputs";"Other inputs",#N/A,TRUE,"Other Inputs";"Revenue",#N/A,TRUE,"Rev"}</definedName>
    <definedName name="aaabbbccc" localSheetId="0" hidden="1">{"key inputs",#N/A,TRUE,"Key Inputs";"key outputs",#N/A,TRUE,"Outputs";"Other inputs",#N/A,TRUE,"Other Inputs";"Revenue",#N/A,TRUE,"Rev"}</definedName>
    <definedName name="aaabbbccc" localSheetId="4" hidden="1">{"key inputs",#N/A,TRUE,"Key Inputs";"key outputs",#N/A,TRUE,"Outputs";"Other inputs",#N/A,TRUE,"Other Inputs";"Revenue",#N/A,TRUE,"Rev"}</definedName>
    <definedName name="aaabbbccc" hidden="1">{"key inputs",#N/A,TRUE,"Key Inputs";"key outputs",#N/A,TRUE,"Outputs";"Other inputs",#N/A,TRUE,"Other Inputs";"Revenue",#N/A,TRUE,"Rev"}</definedName>
    <definedName name="aaaW" localSheetId="3" hidden="1">#REF!</definedName>
    <definedName name="aaaW" localSheetId="4" hidden="1">#REF!</definedName>
    <definedName name="aaaW" hidden="1">#REF!</definedName>
    <definedName name="AAB_Addin5" hidden="1">"AAB_Description for addin 5,Description for addin 5,Description for addin 5,Description for addin 5,Description for addin 5,Description for addin 5"</definedName>
    <definedName name="abc" localSheetId="3" hidden="1">{"key inputs",#N/A,TRUE,"Key Inputs";"key outputs",#N/A,TRUE,"Outputs";"Other inputs",#N/A,TRUE,"Other Inputs";"Revenue",#N/A,TRUE,"Rev"}</definedName>
    <definedName name="abc" localSheetId="2" hidden="1">{"key inputs",#N/A,TRUE,"Key Inputs";"key outputs",#N/A,TRUE,"Outputs";"Other inputs",#N/A,TRUE,"Other Inputs";"Revenue",#N/A,TRUE,"Rev"}</definedName>
    <definedName name="abc" localSheetId="0" hidden="1">{"key inputs",#N/A,TRUE,"Key Inputs";"key outputs",#N/A,TRUE,"Outputs";"Other inputs",#N/A,TRUE,"Other Inputs";"Revenue",#N/A,TRUE,"Rev"}</definedName>
    <definedName name="abc" localSheetId="4" hidden="1">{"key inputs",#N/A,TRUE,"Key Inputs";"key outputs",#N/A,TRUE,"Outputs";"Other inputs",#N/A,TRUE,"Other Inputs";"Revenue",#N/A,TRUE,"Rev"}</definedName>
    <definedName name="abc" hidden="1">{"key inputs",#N/A,TRUE,"Key Inputs";"key outputs",#N/A,TRUE,"Outputs";"Other inputs",#N/A,TRUE,"Other Inputs";"Revenue",#N/A,TRUE,"Rev"}</definedName>
    <definedName name="ABS" localSheetId="3" hidden="1">{#N/A,#N/A,TRUE,"Main Issues";#N/A,#N/A,TRUE,"Income statement ($)"}</definedName>
    <definedName name="ABS" localSheetId="2" hidden="1">{#N/A,#N/A,TRUE,"Main Issues";#N/A,#N/A,TRUE,"Income statement ($)"}</definedName>
    <definedName name="ABS" localSheetId="0" hidden="1">{#N/A,#N/A,TRUE,"Main Issues";#N/A,#N/A,TRUE,"Income statement ($)"}</definedName>
    <definedName name="ABS" localSheetId="4" hidden="1">{#N/A,#N/A,TRUE,"Main Issues";#N/A,#N/A,TRUE,"Income statement ($)"}</definedName>
    <definedName name="ABS" hidden="1">{#N/A,#N/A,TRUE,"Main Issues";#N/A,#N/A,TRUE,"Income statement ($)"}</definedName>
    <definedName name="acd" localSheetId="3" hidden="1">{#N/A,#N/A,TRUE,"Prog. Overview Strategic Input";#N/A,#N/A,TRUE,"Program Overview Financials";#N/A,#N/A,TRUE,"Technology Summary Input";#N/A,#N/A,TRUE,"Mkt &amp; Sales Summary Input";#N/A,#N/A,TRUE,"Delivery Summary Input";#N/A,#N/A,TRUE,"Revenue Assump Input";#N/A,#N/A,TRUE,"Financial Summary"}</definedName>
    <definedName name="acd" localSheetId="2" hidden="1">{#N/A,#N/A,TRUE,"Prog. Overview Strategic Input";#N/A,#N/A,TRUE,"Program Overview Financials";#N/A,#N/A,TRUE,"Technology Summary Input";#N/A,#N/A,TRUE,"Mkt &amp; Sales Summary Input";#N/A,#N/A,TRUE,"Delivery Summary Input";#N/A,#N/A,TRUE,"Revenue Assump Input";#N/A,#N/A,TRUE,"Financial Summary"}</definedName>
    <definedName name="acd" localSheetId="0" hidden="1">{#N/A,#N/A,TRUE,"Prog. Overview Strategic Input";#N/A,#N/A,TRUE,"Program Overview Financials";#N/A,#N/A,TRUE,"Technology Summary Input";#N/A,#N/A,TRUE,"Mkt &amp; Sales Summary Input";#N/A,#N/A,TRUE,"Delivery Summary Input";#N/A,#N/A,TRUE,"Revenue Assump Input";#N/A,#N/A,TRUE,"Financial Summary"}</definedName>
    <definedName name="acd" localSheetId="4" hidden="1">{#N/A,#N/A,TRUE,"Prog. Overview Strategic Input";#N/A,#N/A,TRUE,"Program Overview Financials";#N/A,#N/A,TRUE,"Technology Summary Input";#N/A,#N/A,TRUE,"Mkt &amp; Sales Summary Input";#N/A,#N/A,TRUE,"Delivery Summary Input";#N/A,#N/A,TRUE,"Revenue Assump Input";#N/A,#N/A,TRUE,"Financial Summary"}</definedName>
    <definedName name="acd" hidden="1">{#N/A,#N/A,TRUE,"Prog. Overview Strategic Input";#N/A,#N/A,TRUE,"Program Overview Financials";#N/A,#N/A,TRUE,"Technology Summary Input";#N/A,#N/A,TRUE,"Mkt &amp; Sales Summary Input";#N/A,#N/A,TRUE,"Delivery Summary Input";#N/A,#N/A,TRUE,"Revenue Assump Input";#N/A,#N/A,TRUE,"Financial Summary"}</definedName>
    <definedName name="ad" localSheetId="3" hidden="1">#REF!</definedName>
    <definedName name="ad" localSheetId="4" hidden="1">#REF!</definedName>
    <definedName name="ad" hidden="1">#REF!</definedName>
    <definedName name="AGFD" localSheetId="3" hidden="1">{#N/A,#N/A,FALSE,"NCS INC SCOT";#N/A,#N/A,FALSE,"NCS";#N/A,#N/A,FALSE,"74 NCS";#N/A,#N/A,FALSE,"75 NCS";#N/A,#N/A,FALSE,"76 NCS "}</definedName>
    <definedName name="AGFD" localSheetId="2" hidden="1">{#N/A,#N/A,FALSE,"NCS INC SCOT";#N/A,#N/A,FALSE,"NCS";#N/A,#N/A,FALSE,"74 NCS";#N/A,#N/A,FALSE,"75 NCS";#N/A,#N/A,FALSE,"76 NCS "}</definedName>
    <definedName name="AGFD" localSheetId="0" hidden="1">{#N/A,#N/A,FALSE,"NCS INC SCOT";#N/A,#N/A,FALSE,"NCS";#N/A,#N/A,FALSE,"74 NCS";#N/A,#N/A,FALSE,"75 NCS";#N/A,#N/A,FALSE,"76 NCS "}</definedName>
    <definedName name="AGFD" localSheetId="4" hidden="1">{#N/A,#N/A,FALSE,"NCS INC SCOT";#N/A,#N/A,FALSE,"NCS";#N/A,#N/A,FALSE,"74 NCS";#N/A,#N/A,FALSE,"75 NCS";#N/A,#N/A,FALSE,"76 NCS "}</definedName>
    <definedName name="AGFD" hidden="1">{#N/A,#N/A,FALSE,"NCS INC SCOT";#N/A,#N/A,FALSE,"NCS";#N/A,#N/A,FALSE,"74 NCS";#N/A,#N/A,FALSE,"75 NCS";#N/A,#N/A,FALSE,"76 NCS "}</definedName>
    <definedName name="agggg" localSheetId="3" hidden="1">#REF!</definedName>
    <definedName name="agggg" localSheetId="4" hidden="1">#REF!</definedName>
    <definedName name="agggg" hidden="1">#REF!</definedName>
    <definedName name="al" localSheetId="3" hidden="1">#REF!</definedName>
    <definedName name="al" localSheetId="4" hidden="1">#REF!</definedName>
    <definedName name="al" hidden="1">#REF!</definedName>
    <definedName name="alts" localSheetId="3" hidden="1">{#N/A,#N/A,TRUE,"AB_Vertrag";#N/A,#N/A,TRUE,"AB_BWL"}</definedName>
    <definedName name="alts" localSheetId="2" hidden="1">{#N/A,#N/A,TRUE,"AB_Vertrag";#N/A,#N/A,TRUE,"AB_BWL"}</definedName>
    <definedName name="alts" localSheetId="0" hidden="1">{#N/A,#N/A,TRUE,"AB_Vertrag";#N/A,#N/A,TRUE,"AB_BWL"}</definedName>
    <definedName name="alts" localSheetId="4" hidden="1">{#N/A,#N/A,TRUE,"AB_Vertrag";#N/A,#N/A,TRUE,"AB_BWL"}</definedName>
    <definedName name="alts" hidden="1">{#N/A,#N/A,TRUE,"AB_Vertrag";#N/A,#N/A,TRUE,"AB_BWL"}</definedName>
    <definedName name="as" localSheetId="3"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as" localSheetId="2"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as" localSheetId="0"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as" localSheetId="4"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as"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asd" localSheetId="3" hidden="1">{"key inputs",#N/A,FALSE,"Key Inputs";"key outputs",#N/A,FALSE,"Outputs";"Other inputs",#N/A,FALSE,"Other Inputs";"cashflow",#N/A,FALSE,"Statemnts"}</definedName>
    <definedName name="asd" localSheetId="2" hidden="1">{"key inputs",#N/A,FALSE,"Key Inputs";"key outputs",#N/A,FALSE,"Outputs";"Other inputs",#N/A,FALSE,"Other Inputs";"cashflow",#N/A,FALSE,"Statemnts"}</definedName>
    <definedName name="asd" localSheetId="0" hidden="1">{"key inputs",#N/A,FALSE,"Key Inputs";"key outputs",#N/A,FALSE,"Outputs";"Other inputs",#N/A,FALSE,"Other Inputs";"cashflow",#N/A,FALSE,"Statemnts"}</definedName>
    <definedName name="asd" localSheetId="4" hidden="1">{"key inputs",#N/A,FALSE,"Key Inputs";"key outputs",#N/A,FALSE,"Outputs";"Other inputs",#N/A,FALSE,"Other Inputs";"cashflow",#N/A,FALSE,"Statemnts"}</definedName>
    <definedName name="asd" hidden="1">{"key inputs",#N/A,FALSE,"Key Inputs";"key outputs",#N/A,FALSE,"Outputs";"Other inputs",#N/A,FALSE,"Other Inputs";"cashflow",#N/A,FALSE,"Statemnts"}</definedName>
    <definedName name="asdA" localSheetId="3" hidden="1">#REF!</definedName>
    <definedName name="asdA" localSheetId="4" hidden="1">#REF!</definedName>
    <definedName name="asdA" hidden="1">#REF!</definedName>
    <definedName name="asfaf" localSheetId="3" hidden="1">#REF!</definedName>
    <definedName name="asfaf" localSheetId="4" hidden="1">#REF!</definedName>
    <definedName name="asfaf" hidden="1">#REF!</definedName>
    <definedName name="b" localSheetId="3" hidden="1">{#N/A,#N/A,TRUE,"Prog. Overview Strategic Input";#N/A,#N/A,TRUE,"Program Overview Financials";#N/A,#N/A,TRUE,"Technology Summary Input";#N/A,#N/A,TRUE,"Mkt &amp; Sales Summary Input";#N/A,#N/A,TRUE,"Delivery Summary Input";#N/A,#N/A,TRUE,"Revenue Assump Input";#N/A,#N/A,TRUE,"Financial Summary"}</definedName>
    <definedName name="b" localSheetId="2" hidden="1">{#N/A,#N/A,TRUE,"Prog. Overview Strategic Input";#N/A,#N/A,TRUE,"Program Overview Financials";#N/A,#N/A,TRUE,"Technology Summary Input";#N/A,#N/A,TRUE,"Mkt &amp; Sales Summary Input";#N/A,#N/A,TRUE,"Delivery Summary Input";#N/A,#N/A,TRUE,"Revenue Assump Input";#N/A,#N/A,TRUE,"Financial Summary"}</definedName>
    <definedName name="b" localSheetId="0" hidden="1">{#N/A,#N/A,TRUE,"Prog. Overview Strategic Input";#N/A,#N/A,TRUE,"Program Overview Financials";#N/A,#N/A,TRUE,"Technology Summary Input";#N/A,#N/A,TRUE,"Mkt &amp; Sales Summary Input";#N/A,#N/A,TRUE,"Delivery Summary Input";#N/A,#N/A,TRUE,"Revenue Assump Input";#N/A,#N/A,TRUE,"Financial Summary"}</definedName>
    <definedName name="b" localSheetId="4" hidden="1">{#N/A,#N/A,TRUE,"Prog. Overview Strategic Input";#N/A,#N/A,TRUE,"Program Overview Financials";#N/A,#N/A,TRUE,"Technology Summary Input";#N/A,#N/A,TRUE,"Mkt &amp; Sales Summary Input";#N/A,#N/A,TRUE,"Delivery Summary Input";#N/A,#N/A,TRUE,"Revenue Assump Input";#N/A,#N/A,TRUE,"Financial Summary"}</definedName>
    <definedName name="b" hidden="1">{#N/A,#N/A,TRUE,"Prog. Overview Strategic Input";#N/A,#N/A,TRUE,"Program Overview Financials";#N/A,#N/A,TRUE,"Technology Summary Input";#N/A,#N/A,TRUE,"Mkt &amp; Sales Summary Input";#N/A,#N/A,TRUE,"Delivery Summary Input";#N/A,#N/A,TRUE,"Revenue Assump Input";#N/A,#N/A,TRUE,"Financial Summary"}</definedName>
    <definedName name="BacklogEentity" localSheetId="3"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BacklogEentity" localSheetId="2"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BacklogEentity" localSheetId="0"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BacklogEentity" localSheetId="4"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BacklogEentity"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BacklogEntity_new" localSheetId="3"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BacklogEntity_new" localSheetId="2"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BacklogEntity_new" localSheetId="0"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BacklogEntity_new" localSheetId="4"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BacklogEntity_new"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bb" localSheetId="3" hidden="1">{#N/A,#N/A,TRUE,"Main Issues";#N/A,#N/A,TRUE,"Income statement ($)"}</definedName>
    <definedName name="bb" localSheetId="2" hidden="1">{#N/A,#N/A,TRUE,"Main Issues";#N/A,#N/A,TRUE,"Income statement ($)"}</definedName>
    <definedName name="bb" localSheetId="0" hidden="1">{#N/A,#N/A,TRUE,"Main Issues";#N/A,#N/A,TRUE,"Income statement ($)"}</definedName>
    <definedName name="bb" localSheetId="4" hidden="1">{#N/A,#N/A,TRUE,"Main Issues";#N/A,#N/A,TRUE,"Income statement ($)"}</definedName>
    <definedName name="bb" hidden="1">{#N/A,#N/A,TRUE,"Main Issues";#N/A,#N/A,TRUE,"Income statement ($)"}</definedName>
    <definedName name="bbb" localSheetId="3" hidden="1">#REF!</definedName>
    <definedName name="bbb" localSheetId="4" hidden="1">#REF!</definedName>
    <definedName name="bbb" hidden="1">#REF!</definedName>
    <definedName name="bfd" localSheetId="3"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bfd" localSheetId="2"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bfd" localSheetId="0"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bfd" localSheetId="4"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bfd"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BLPB1" localSheetId="3" hidden="1">#REF!</definedName>
    <definedName name="BLPB1" localSheetId="4" hidden="1">#REF!</definedName>
    <definedName name="BLPB1" hidden="1">#REF!</definedName>
    <definedName name="BLPB10" localSheetId="3" hidden="1">#REF!</definedName>
    <definedName name="BLPB10" localSheetId="4" hidden="1">#REF!</definedName>
    <definedName name="BLPB10" hidden="1">#REF!</definedName>
    <definedName name="BLPB11" localSheetId="3" hidden="1">#REF!</definedName>
    <definedName name="BLPB11" localSheetId="4" hidden="1">#REF!</definedName>
    <definedName name="BLPB11" hidden="1">#REF!</definedName>
    <definedName name="BLPB12" localSheetId="3" hidden="1">#REF!</definedName>
    <definedName name="BLPB12" localSheetId="4" hidden="1">#REF!</definedName>
    <definedName name="BLPB12" hidden="1">#REF!</definedName>
    <definedName name="BLPB13" localSheetId="3" hidden="1">#REF!</definedName>
    <definedName name="BLPB13" localSheetId="4" hidden="1">#REF!</definedName>
    <definedName name="BLPB13" hidden="1">#REF!</definedName>
    <definedName name="BLPB14" localSheetId="3" hidden="1">#REF!</definedName>
    <definedName name="BLPB14" localSheetId="4" hidden="1">#REF!</definedName>
    <definedName name="BLPB14" hidden="1">#REF!</definedName>
    <definedName name="BLPB15" localSheetId="3" hidden="1">#REF!</definedName>
    <definedName name="BLPB15" localSheetId="4" hidden="1">#REF!</definedName>
    <definedName name="BLPB15" hidden="1">#REF!</definedName>
    <definedName name="BLPB16" localSheetId="3" hidden="1">#REF!</definedName>
    <definedName name="BLPB16" localSheetId="4" hidden="1">#REF!</definedName>
    <definedName name="BLPB16" hidden="1">#REF!</definedName>
    <definedName name="BLPB17" localSheetId="3" hidden="1">#REF!</definedName>
    <definedName name="BLPB17" localSheetId="4" hidden="1">#REF!</definedName>
    <definedName name="BLPB17" hidden="1">#REF!</definedName>
    <definedName name="BLPB18" localSheetId="3" hidden="1">#REF!</definedName>
    <definedName name="BLPB18" localSheetId="4" hidden="1">#REF!</definedName>
    <definedName name="BLPB18" hidden="1">#REF!</definedName>
    <definedName name="BLPB19" localSheetId="3" hidden="1">#REF!</definedName>
    <definedName name="BLPB19" localSheetId="4" hidden="1">#REF!</definedName>
    <definedName name="BLPB19" hidden="1">#REF!</definedName>
    <definedName name="BLPB2" localSheetId="3" hidden="1">#REF!</definedName>
    <definedName name="BLPB2" localSheetId="4" hidden="1">#REF!</definedName>
    <definedName name="BLPB2" hidden="1">#REF!</definedName>
    <definedName name="BLPB20" localSheetId="3" hidden="1">#REF!</definedName>
    <definedName name="BLPB20" localSheetId="4" hidden="1">#REF!</definedName>
    <definedName name="BLPB20" hidden="1">#REF!</definedName>
    <definedName name="BLPB21" localSheetId="3" hidden="1">#REF!</definedName>
    <definedName name="BLPB21" localSheetId="4" hidden="1">#REF!</definedName>
    <definedName name="BLPB21" hidden="1">#REF!</definedName>
    <definedName name="BLPB22" localSheetId="3" hidden="1">#REF!</definedName>
    <definedName name="BLPB22" localSheetId="4" hidden="1">#REF!</definedName>
    <definedName name="BLPB22" hidden="1">#REF!</definedName>
    <definedName name="BLPB23" localSheetId="3" hidden="1">#REF!</definedName>
    <definedName name="BLPB23" localSheetId="4" hidden="1">#REF!</definedName>
    <definedName name="BLPB23" hidden="1">#REF!</definedName>
    <definedName name="BLPB24" localSheetId="3" hidden="1">#REF!</definedName>
    <definedName name="BLPB24" localSheetId="4" hidden="1">#REF!</definedName>
    <definedName name="BLPB24" hidden="1">#REF!</definedName>
    <definedName name="BLPB25" localSheetId="3" hidden="1">#REF!</definedName>
    <definedName name="BLPB25" localSheetId="4" hidden="1">#REF!</definedName>
    <definedName name="BLPB25" hidden="1">#REF!</definedName>
    <definedName name="BLPB26" localSheetId="3" hidden="1">#REF!</definedName>
    <definedName name="BLPB26" localSheetId="4" hidden="1">#REF!</definedName>
    <definedName name="BLPB26" hidden="1">#REF!</definedName>
    <definedName name="BLPB27" localSheetId="3" hidden="1">#REF!</definedName>
    <definedName name="BLPB27" localSheetId="4" hidden="1">#REF!</definedName>
    <definedName name="BLPB27" hidden="1">#REF!</definedName>
    <definedName name="BLPB28" localSheetId="3" hidden="1">#REF!</definedName>
    <definedName name="BLPB28" localSheetId="4" hidden="1">#REF!</definedName>
    <definedName name="BLPB28" hidden="1">#REF!</definedName>
    <definedName name="BLPB29" localSheetId="3" hidden="1">#REF!</definedName>
    <definedName name="BLPB29" localSheetId="4" hidden="1">#REF!</definedName>
    <definedName name="BLPB29" hidden="1">#REF!</definedName>
    <definedName name="BLPB3" localSheetId="3" hidden="1">#REF!</definedName>
    <definedName name="BLPB3" localSheetId="4" hidden="1">#REF!</definedName>
    <definedName name="BLPB3" hidden="1">#REF!</definedName>
    <definedName name="BLPB30" localSheetId="3" hidden="1">#REF!</definedName>
    <definedName name="BLPB30" localSheetId="4" hidden="1">#REF!</definedName>
    <definedName name="BLPB30" hidden="1">#REF!</definedName>
    <definedName name="BLPB31" localSheetId="3" hidden="1">#REF!</definedName>
    <definedName name="BLPB31" localSheetId="4" hidden="1">#REF!</definedName>
    <definedName name="BLPB31" hidden="1">#REF!</definedName>
    <definedName name="BLPB32" localSheetId="3" hidden="1">#REF!</definedName>
    <definedName name="BLPB32" localSheetId="4" hidden="1">#REF!</definedName>
    <definedName name="BLPB32" hidden="1">#REF!</definedName>
    <definedName name="BLPB33" localSheetId="3" hidden="1">#REF!</definedName>
    <definedName name="BLPB33" localSheetId="4" hidden="1">#REF!</definedName>
    <definedName name="BLPB33" hidden="1">#REF!</definedName>
    <definedName name="BLPB34" localSheetId="3" hidden="1">#REF!</definedName>
    <definedName name="BLPB34" localSheetId="4" hidden="1">#REF!</definedName>
    <definedName name="BLPB34" hidden="1">#REF!</definedName>
    <definedName name="BLPB35" localSheetId="3" hidden="1">#REF!</definedName>
    <definedName name="BLPB35" localSheetId="4" hidden="1">#REF!</definedName>
    <definedName name="BLPB35" hidden="1">#REF!</definedName>
    <definedName name="BLPB36" localSheetId="3" hidden="1">#REF!</definedName>
    <definedName name="BLPB36" localSheetId="4" hidden="1">#REF!</definedName>
    <definedName name="BLPB36" hidden="1">#REF!</definedName>
    <definedName name="BLPB37" localSheetId="3" hidden="1">#REF!</definedName>
    <definedName name="BLPB37" localSheetId="4" hidden="1">#REF!</definedName>
    <definedName name="BLPB37" hidden="1">#REF!</definedName>
    <definedName name="BLPB38" localSheetId="3" hidden="1">#REF!</definedName>
    <definedName name="BLPB38" localSheetId="4" hidden="1">#REF!</definedName>
    <definedName name="BLPB38" hidden="1">#REF!</definedName>
    <definedName name="BLPB39" localSheetId="3" hidden="1">#REF!</definedName>
    <definedName name="BLPB39" localSheetId="4" hidden="1">#REF!</definedName>
    <definedName name="BLPB39" hidden="1">#REF!</definedName>
    <definedName name="BLPB4" localSheetId="3" hidden="1">#REF!</definedName>
    <definedName name="BLPB4" localSheetId="4" hidden="1">#REF!</definedName>
    <definedName name="BLPB4" hidden="1">#REF!</definedName>
    <definedName name="BLPB40" localSheetId="3" hidden="1">#REF!</definedName>
    <definedName name="BLPB40" localSheetId="4" hidden="1">#REF!</definedName>
    <definedName name="BLPB40" hidden="1">#REF!</definedName>
    <definedName name="BLPB41" localSheetId="3" hidden="1">#REF!</definedName>
    <definedName name="BLPB41" localSheetId="4" hidden="1">#REF!</definedName>
    <definedName name="BLPB41" hidden="1">#REF!</definedName>
    <definedName name="BLPB42" localSheetId="3" hidden="1">#REF!</definedName>
    <definedName name="BLPB42" localSheetId="4" hidden="1">#REF!</definedName>
    <definedName name="BLPB42" hidden="1">#REF!</definedName>
    <definedName name="BLPB43" localSheetId="3" hidden="1">#REF!</definedName>
    <definedName name="BLPB43" localSheetId="4" hidden="1">#REF!</definedName>
    <definedName name="BLPB43" hidden="1">#REF!</definedName>
    <definedName name="BLPB44" localSheetId="3" hidden="1">#REF!</definedName>
    <definedName name="BLPB44" localSheetId="4" hidden="1">#REF!</definedName>
    <definedName name="BLPB44" hidden="1">#REF!</definedName>
    <definedName name="BLPB45" localSheetId="3" hidden="1">#REF!</definedName>
    <definedName name="BLPB45" localSheetId="4" hidden="1">#REF!</definedName>
    <definedName name="BLPB45" hidden="1">#REF!</definedName>
    <definedName name="BLPB46" localSheetId="3" hidden="1">#REF!</definedName>
    <definedName name="BLPB46" localSheetId="4" hidden="1">#REF!</definedName>
    <definedName name="BLPB46" hidden="1">#REF!</definedName>
    <definedName name="BLPB47" localSheetId="3" hidden="1">#REF!</definedName>
    <definedName name="BLPB47" localSheetId="4" hidden="1">#REF!</definedName>
    <definedName name="BLPB47" hidden="1">#REF!</definedName>
    <definedName name="BLPB48" localSheetId="3" hidden="1">#REF!</definedName>
    <definedName name="BLPB48" localSheetId="4" hidden="1">#REF!</definedName>
    <definedName name="BLPB48" hidden="1">#REF!</definedName>
    <definedName name="BLPB49" localSheetId="3" hidden="1">#REF!</definedName>
    <definedName name="BLPB49" localSheetId="4" hidden="1">#REF!</definedName>
    <definedName name="BLPB49" hidden="1">#REF!</definedName>
    <definedName name="BLPB5" localSheetId="3" hidden="1">#REF!</definedName>
    <definedName name="BLPB5" localSheetId="4" hidden="1">#REF!</definedName>
    <definedName name="BLPB5" hidden="1">#REF!</definedName>
    <definedName name="BLPB6" localSheetId="3" hidden="1">#REF!</definedName>
    <definedName name="BLPB6" localSheetId="4" hidden="1">#REF!</definedName>
    <definedName name="BLPB6" hidden="1">#REF!</definedName>
    <definedName name="BLPB7" localSheetId="3" hidden="1">#REF!</definedName>
    <definedName name="BLPB7" localSheetId="4" hidden="1">#REF!</definedName>
    <definedName name="BLPB7" hidden="1">#REF!</definedName>
    <definedName name="BLPB8" localSheetId="3" hidden="1">#REF!</definedName>
    <definedName name="BLPB8" localSheetId="4" hidden="1">#REF!</definedName>
    <definedName name="BLPB8" hidden="1">#REF!</definedName>
    <definedName name="BLPB9" localSheetId="3" hidden="1">#REF!</definedName>
    <definedName name="BLPB9" localSheetId="4" hidden="1">#REF!</definedName>
    <definedName name="BLPB9" hidden="1">#REF!</definedName>
    <definedName name="bnmbm" localSheetId="3" hidden="1">{#N/A,#N/A,TRUE,"Main Issues";#N/A,#N/A,TRUE,"Income statement ($)"}</definedName>
    <definedName name="bnmbm" localSheetId="2" hidden="1">{#N/A,#N/A,TRUE,"Main Issues";#N/A,#N/A,TRUE,"Income statement ($)"}</definedName>
    <definedName name="bnmbm" localSheetId="0" hidden="1">{#N/A,#N/A,TRUE,"Main Issues";#N/A,#N/A,TRUE,"Income statement ($)"}</definedName>
    <definedName name="bnmbm" localSheetId="4" hidden="1">{#N/A,#N/A,TRUE,"Main Issues";#N/A,#N/A,TRUE,"Income statement ($)"}</definedName>
    <definedName name="bnmbm" hidden="1">{#N/A,#N/A,TRUE,"Main Issues";#N/A,#N/A,TRUE,"Income statement ($)"}</definedName>
    <definedName name="Bruce" localSheetId="3" hidden="1">#REF!</definedName>
    <definedName name="Bruce" localSheetId="4" hidden="1">#REF!</definedName>
    <definedName name="Bruce" hidden="1">#REF!</definedName>
    <definedName name="CATS.Project" hidden="1">"G1558E"</definedName>
    <definedName name="CDH" localSheetId="3" hidden="1">{#N/A,#N/A,TRUE,"Prog. Overview Strategic Input";#N/A,#N/A,TRUE,"Program Overview Financials";#N/A,#N/A,TRUE,"Technology Summary Input";#N/A,#N/A,TRUE,"Mkt &amp; Sales Summary Input";#N/A,#N/A,TRUE,"Delivery Summary Input";#N/A,#N/A,TRUE,"Revenue Assump Input";#N/A,#N/A,TRUE,"Financial Summary"}</definedName>
    <definedName name="CDH" localSheetId="2" hidden="1">{#N/A,#N/A,TRUE,"Prog. Overview Strategic Input";#N/A,#N/A,TRUE,"Program Overview Financials";#N/A,#N/A,TRUE,"Technology Summary Input";#N/A,#N/A,TRUE,"Mkt &amp; Sales Summary Input";#N/A,#N/A,TRUE,"Delivery Summary Input";#N/A,#N/A,TRUE,"Revenue Assump Input";#N/A,#N/A,TRUE,"Financial Summary"}</definedName>
    <definedName name="CDH" localSheetId="0" hidden="1">{#N/A,#N/A,TRUE,"Prog. Overview Strategic Input";#N/A,#N/A,TRUE,"Program Overview Financials";#N/A,#N/A,TRUE,"Technology Summary Input";#N/A,#N/A,TRUE,"Mkt &amp; Sales Summary Input";#N/A,#N/A,TRUE,"Delivery Summary Input";#N/A,#N/A,TRUE,"Revenue Assump Input";#N/A,#N/A,TRUE,"Financial Summary"}</definedName>
    <definedName name="CDH" localSheetId="4" hidden="1">{#N/A,#N/A,TRUE,"Prog. Overview Strategic Input";#N/A,#N/A,TRUE,"Program Overview Financials";#N/A,#N/A,TRUE,"Technology Summary Input";#N/A,#N/A,TRUE,"Mkt &amp; Sales Summary Input";#N/A,#N/A,TRUE,"Delivery Summary Input";#N/A,#N/A,TRUE,"Revenue Assump Input";#N/A,#N/A,TRUE,"Financial Summary"}</definedName>
    <definedName name="CDH" hidden="1">{#N/A,#N/A,TRUE,"Prog. Overview Strategic Input";#N/A,#N/A,TRUE,"Program Overview Financials";#N/A,#N/A,TRUE,"Technology Summary Input";#N/A,#N/A,TRUE,"Mkt &amp; Sales Summary Input";#N/A,#N/A,TRUE,"Delivery Summary Input";#N/A,#N/A,TRUE,"Revenue Assump Input";#N/A,#N/A,TRUE,"Financial Summary"}</definedName>
    <definedName name="ch" localSheetId="3" hidden="1">{#N/A,#N/A,TRUE,"Prog. Overview Strategic Input";#N/A,#N/A,TRUE,"Program Overview Financials";#N/A,#N/A,TRUE,"Technology Summary Input";#N/A,#N/A,TRUE,"Mkt &amp; Sales Summary Input";#N/A,#N/A,TRUE,"Delivery Summary Input";#N/A,#N/A,TRUE,"Revenue Assump Input";#N/A,#N/A,TRUE,"Financial Summary"}</definedName>
    <definedName name="ch" localSheetId="2" hidden="1">{#N/A,#N/A,TRUE,"Prog. Overview Strategic Input";#N/A,#N/A,TRUE,"Program Overview Financials";#N/A,#N/A,TRUE,"Technology Summary Input";#N/A,#N/A,TRUE,"Mkt &amp; Sales Summary Input";#N/A,#N/A,TRUE,"Delivery Summary Input";#N/A,#N/A,TRUE,"Revenue Assump Input";#N/A,#N/A,TRUE,"Financial Summary"}</definedName>
    <definedName name="ch" localSheetId="0" hidden="1">{#N/A,#N/A,TRUE,"Prog. Overview Strategic Input";#N/A,#N/A,TRUE,"Program Overview Financials";#N/A,#N/A,TRUE,"Technology Summary Input";#N/A,#N/A,TRUE,"Mkt &amp; Sales Summary Input";#N/A,#N/A,TRUE,"Delivery Summary Input";#N/A,#N/A,TRUE,"Revenue Assump Input";#N/A,#N/A,TRUE,"Financial Summary"}</definedName>
    <definedName name="ch" localSheetId="4" hidden="1">{#N/A,#N/A,TRUE,"Prog. Overview Strategic Input";#N/A,#N/A,TRUE,"Program Overview Financials";#N/A,#N/A,TRUE,"Technology Summary Input";#N/A,#N/A,TRUE,"Mkt &amp; Sales Summary Input";#N/A,#N/A,TRUE,"Delivery Summary Input";#N/A,#N/A,TRUE,"Revenue Assump Input";#N/A,#N/A,TRUE,"Financial Summary"}</definedName>
    <definedName name="ch" hidden="1">{#N/A,#N/A,TRUE,"Prog. Overview Strategic Input";#N/A,#N/A,TRUE,"Program Overview Financials";#N/A,#N/A,TRUE,"Technology Summary Input";#N/A,#N/A,TRUE,"Mkt &amp; Sales Summary Input";#N/A,#N/A,TRUE,"Delivery Summary Input";#N/A,#N/A,TRUE,"Revenue Assump Input";#N/A,#N/A,TRUE,"Financial Summary"}</definedName>
    <definedName name="CHU" localSheetId="3" hidden="1">{#N/A,#N/A,TRUE,"Prog. Overview Strategic Input";#N/A,#N/A,TRUE,"Program Overview Financials";#N/A,#N/A,TRUE,"Technology Summary Input";#N/A,#N/A,TRUE,"Mkt &amp; Sales Summary Input";#N/A,#N/A,TRUE,"Delivery Summary Input";#N/A,#N/A,TRUE,"Revenue Assump Input";#N/A,#N/A,TRUE,"Financial Summary"}</definedName>
    <definedName name="CHU" localSheetId="2" hidden="1">{#N/A,#N/A,TRUE,"Prog. Overview Strategic Input";#N/A,#N/A,TRUE,"Program Overview Financials";#N/A,#N/A,TRUE,"Technology Summary Input";#N/A,#N/A,TRUE,"Mkt &amp; Sales Summary Input";#N/A,#N/A,TRUE,"Delivery Summary Input";#N/A,#N/A,TRUE,"Revenue Assump Input";#N/A,#N/A,TRUE,"Financial Summary"}</definedName>
    <definedName name="CHU" localSheetId="0" hidden="1">{#N/A,#N/A,TRUE,"Prog. Overview Strategic Input";#N/A,#N/A,TRUE,"Program Overview Financials";#N/A,#N/A,TRUE,"Technology Summary Input";#N/A,#N/A,TRUE,"Mkt &amp; Sales Summary Input";#N/A,#N/A,TRUE,"Delivery Summary Input";#N/A,#N/A,TRUE,"Revenue Assump Input";#N/A,#N/A,TRUE,"Financial Summary"}</definedName>
    <definedName name="CHU" localSheetId="4" hidden="1">{#N/A,#N/A,TRUE,"Prog. Overview Strategic Input";#N/A,#N/A,TRUE,"Program Overview Financials";#N/A,#N/A,TRUE,"Technology Summary Input";#N/A,#N/A,TRUE,"Mkt &amp; Sales Summary Input";#N/A,#N/A,TRUE,"Delivery Summary Input";#N/A,#N/A,TRUE,"Revenue Assump Input";#N/A,#N/A,TRUE,"Financial Summary"}</definedName>
    <definedName name="CHU" hidden="1">{#N/A,#N/A,TRUE,"Prog. Overview Strategic Input";#N/A,#N/A,TRUE,"Program Overview Financials";#N/A,#N/A,TRUE,"Technology Summary Input";#N/A,#N/A,TRUE,"Mkt &amp; Sales Summary Input";#N/A,#N/A,TRUE,"Delivery Summary Input";#N/A,#N/A,TRUE,"Revenue Assump Input";#N/A,#N/A,TRUE,"Financial Summary"}</definedName>
    <definedName name="CIQWBGuid" hidden="1">"af117ba6-e772-4cf4-9db7-ac199637358b"</definedName>
    <definedName name="Copyright" hidden="1">"© 2011 John Laing plc"</definedName>
    <definedName name="d" localSheetId="3" hidden="1">#REF!</definedName>
    <definedName name="d" localSheetId="4" hidden="1">#REF!</definedName>
    <definedName name="d" hidden="1">#REF!</definedName>
    <definedName name="dasf" localSheetId="3"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dasf" localSheetId="2"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dasf" localSheetId="0"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dasf" localSheetId="4"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dasf"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DATA_02" localSheetId="3" hidden="1">#REF!</definedName>
    <definedName name="DATA_02" localSheetId="4" hidden="1">#REF!</definedName>
    <definedName name="DATA_02" hidden="1">#REF!</definedName>
    <definedName name="DATA_03" localSheetId="3" hidden="1">#REF!</definedName>
    <definedName name="DATA_03" localSheetId="4" hidden="1">#REF!</definedName>
    <definedName name="DATA_03" hidden="1">#REF!</definedName>
    <definedName name="DATA_04" localSheetId="3" hidden="1">#REF!</definedName>
    <definedName name="DATA_04" localSheetId="4" hidden="1">#REF!</definedName>
    <definedName name="DATA_04" hidden="1">#REF!</definedName>
    <definedName name="DATA_05" localSheetId="3" hidden="1">#REF!</definedName>
    <definedName name="DATA_05" localSheetId="4" hidden="1">#REF!</definedName>
    <definedName name="DATA_05" hidden="1">#REF!</definedName>
    <definedName name="DATA_07" localSheetId="3" hidden="1">#REF!</definedName>
    <definedName name="DATA_07" localSheetId="4" hidden="1">#REF!</definedName>
    <definedName name="DATA_07" hidden="1">#REF!</definedName>
    <definedName name="dd" localSheetId="3" hidden="1">{#N/A,#N/A,TRUE,"Prog. Overview Strategic Input";#N/A,#N/A,TRUE,"Program Overview Financials";#N/A,#N/A,TRUE,"Technology Summary Input";#N/A,#N/A,TRUE,"Mkt &amp; Sales Summary Input";#N/A,#N/A,TRUE,"Delivery Summary Input";#N/A,#N/A,TRUE,"Revenue Assump Input";#N/A,#N/A,TRUE,"Financial Summary"}</definedName>
    <definedName name="dd" localSheetId="2" hidden="1">{#N/A,#N/A,TRUE,"Prog. Overview Strategic Input";#N/A,#N/A,TRUE,"Program Overview Financials";#N/A,#N/A,TRUE,"Technology Summary Input";#N/A,#N/A,TRUE,"Mkt &amp; Sales Summary Input";#N/A,#N/A,TRUE,"Delivery Summary Input";#N/A,#N/A,TRUE,"Revenue Assump Input";#N/A,#N/A,TRUE,"Financial Summary"}</definedName>
    <definedName name="dd" localSheetId="0" hidden="1">{#N/A,#N/A,TRUE,"Prog. Overview Strategic Input";#N/A,#N/A,TRUE,"Program Overview Financials";#N/A,#N/A,TRUE,"Technology Summary Input";#N/A,#N/A,TRUE,"Mkt &amp; Sales Summary Input";#N/A,#N/A,TRUE,"Delivery Summary Input";#N/A,#N/A,TRUE,"Revenue Assump Input";#N/A,#N/A,TRUE,"Financial Summary"}</definedName>
    <definedName name="dd" localSheetId="4" hidden="1">{#N/A,#N/A,TRUE,"Prog. Overview Strategic Input";#N/A,#N/A,TRUE,"Program Overview Financials";#N/A,#N/A,TRUE,"Technology Summary Input";#N/A,#N/A,TRUE,"Mkt &amp; Sales Summary Input";#N/A,#N/A,TRUE,"Delivery Summary Input";#N/A,#N/A,TRUE,"Revenue Assump Input";#N/A,#N/A,TRUE,"Financial Summary"}</definedName>
    <definedName name="dd" hidden="1">{#N/A,#N/A,TRUE,"Prog. Overview Strategic Input";#N/A,#N/A,TRUE,"Program Overview Financials";#N/A,#N/A,TRUE,"Technology Summary Input";#N/A,#N/A,TRUE,"Mkt &amp; Sales Summary Input";#N/A,#N/A,TRUE,"Delivery Summary Input";#N/A,#N/A,TRUE,"Revenue Assump Input";#N/A,#N/A,TRUE,"Financial Summary"}</definedName>
    <definedName name="ddcr" localSheetId="3" hidden="1">#REF!</definedName>
    <definedName name="ddcr" localSheetId="4" hidden="1">#REF!</definedName>
    <definedName name="ddcr" hidden="1">#REF!</definedName>
    <definedName name="ddddd" localSheetId="3" hidden="1">#REF!</definedName>
    <definedName name="ddddd" localSheetId="4" hidden="1">#REF!</definedName>
    <definedName name="ddddd" hidden="1">#REF!</definedName>
    <definedName name="df" localSheetId="3"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df" localSheetId="2"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df" localSheetId="0"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df" localSheetId="4"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df"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dgfsdg" localSheetId="3"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dgfsdg" localSheetId="2"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dgfsdg" localSheetId="0"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dgfsdg" localSheetId="4"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dgfsdg"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divine" localSheetId="3" hidden="1">#REF!</definedName>
    <definedName name="divine" localSheetId="4" hidden="1">#REF!</definedName>
    <definedName name="divine" hidden="1">#REF!</definedName>
    <definedName name="DME_BeforeCloseCompleted" hidden="1">"False"</definedName>
    <definedName name="DME_Dirty" hidden="1">"False"</definedName>
    <definedName name="DME_LocalFile" hidden="1">"True"</definedName>
    <definedName name="Drawdown" localSheetId="3" hidden="1">{"key inputs",#N/A,FALSE,"Key Inputs";"key outputs",#N/A,FALSE,"Outputs";"Other inputs",#N/A,FALSE,"Other Inputs";"cashflow",#N/A,FALSE,"Statemnts"}</definedName>
    <definedName name="Drawdown" localSheetId="2" hidden="1">{"key inputs",#N/A,FALSE,"Key Inputs";"key outputs",#N/A,FALSE,"Outputs";"Other inputs",#N/A,FALSE,"Other Inputs";"cashflow",#N/A,FALSE,"Statemnts"}</definedName>
    <definedName name="Drawdown" localSheetId="0" hidden="1">{"key inputs",#N/A,FALSE,"Key Inputs";"key outputs",#N/A,FALSE,"Outputs";"Other inputs",#N/A,FALSE,"Other Inputs";"cashflow",#N/A,FALSE,"Statemnts"}</definedName>
    <definedName name="Drawdown" localSheetId="4" hidden="1">{"key inputs",#N/A,FALSE,"Key Inputs";"key outputs",#N/A,FALSE,"Outputs";"Other inputs",#N/A,FALSE,"Other Inputs";"cashflow",#N/A,FALSE,"Statemnts"}</definedName>
    <definedName name="Drawdown" hidden="1">{"key inputs",#N/A,FALSE,"Key Inputs";"key outputs",#N/A,FALSE,"Outputs";"Other inputs",#N/A,FALSE,"Other Inputs";"cashflow",#N/A,FALSE,"Statemnts"}</definedName>
    <definedName name="dsdddddddddddd" localSheetId="3" hidden="1">#REF!</definedName>
    <definedName name="dsdddddddddddd" localSheetId="4" hidden="1">#REF!</definedName>
    <definedName name="dsdddddddddddd" hidden="1">#REF!</definedName>
    <definedName name="e" localSheetId="3" hidden="1">#REF!</definedName>
    <definedName name="e" localSheetId="4" hidden="1">#REF!</definedName>
    <definedName name="e" hidden="1">#REF!</definedName>
    <definedName name="é" localSheetId="3"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é" localSheetId="2"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é" localSheetId="0"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é" localSheetId="4"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é"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eee" localSheetId="3" hidden="1">#REF!</definedName>
    <definedName name="eee" localSheetId="4" hidden="1">#REF!</definedName>
    <definedName name="eee" hidden="1">#REF!</definedName>
    <definedName name="errrt" localSheetId="3" hidden="1">#REF!</definedName>
    <definedName name="errrt" localSheetId="4" hidden="1">#REF!</definedName>
    <definedName name="errrt" hidden="1">#REF!</definedName>
    <definedName name="fddfdfdf" localSheetId="3" hidden="1">{#N/A,#N/A,TRUE,"Prog. Overview Strategic Input";#N/A,#N/A,TRUE,"Program Overview Financials";#N/A,#N/A,TRUE,"Technology Summary Input";#N/A,#N/A,TRUE,"Mkt &amp; Sales Summary Input";#N/A,#N/A,TRUE,"Delivery Summary Input";#N/A,#N/A,TRUE,"Revenue Assump Input";#N/A,#N/A,TRUE,"Financial Summary"}</definedName>
    <definedName name="fddfdfdf" localSheetId="2" hidden="1">{#N/A,#N/A,TRUE,"Prog. Overview Strategic Input";#N/A,#N/A,TRUE,"Program Overview Financials";#N/A,#N/A,TRUE,"Technology Summary Input";#N/A,#N/A,TRUE,"Mkt &amp; Sales Summary Input";#N/A,#N/A,TRUE,"Delivery Summary Input";#N/A,#N/A,TRUE,"Revenue Assump Input";#N/A,#N/A,TRUE,"Financial Summary"}</definedName>
    <definedName name="fddfdfdf" localSheetId="0" hidden="1">{#N/A,#N/A,TRUE,"Prog. Overview Strategic Input";#N/A,#N/A,TRUE,"Program Overview Financials";#N/A,#N/A,TRUE,"Technology Summary Input";#N/A,#N/A,TRUE,"Mkt &amp; Sales Summary Input";#N/A,#N/A,TRUE,"Delivery Summary Input";#N/A,#N/A,TRUE,"Revenue Assump Input";#N/A,#N/A,TRUE,"Financial Summary"}</definedName>
    <definedName name="fddfdfdf" localSheetId="4" hidden="1">{#N/A,#N/A,TRUE,"Prog. Overview Strategic Input";#N/A,#N/A,TRUE,"Program Overview Financials";#N/A,#N/A,TRUE,"Technology Summary Input";#N/A,#N/A,TRUE,"Mkt &amp; Sales Summary Input";#N/A,#N/A,TRUE,"Delivery Summary Input";#N/A,#N/A,TRUE,"Revenue Assump Input";#N/A,#N/A,TRUE,"Financial Summary"}</definedName>
    <definedName name="fddfdfdf" hidden="1">{#N/A,#N/A,TRUE,"Prog. Overview Strategic Input";#N/A,#N/A,TRUE,"Program Overview Financials";#N/A,#N/A,TRUE,"Technology Summary Input";#N/A,#N/A,TRUE,"Mkt &amp; Sales Summary Input";#N/A,#N/A,TRUE,"Delivery Summary Input";#N/A,#N/A,TRUE,"Revenue Assump Input";#N/A,#N/A,TRUE,"Financial Summary"}</definedName>
    <definedName name="fdykjfgklfhuklyfkl" localSheetId="3" hidden="1">#REF!</definedName>
    <definedName name="fdykjfgklfhuklyfkl" localSheetId="4" hidden="1">#REF!</definedName>
    <definedName name="fdykjfgklfhuklyfkl" hidden="1">#REF!</definedName>
    <definedName name="ff" localSheetId="3" hidden="1">{#N/A,#N/A,TRUE,"Prog. Overview Strategic Input";#N/A,#N/A,TRUE,"Program Overview Financials";#N/A,#N/A,TRUE,"Technology Summary Input";#N/A,#N/A,TRUE,"Mkt &amp; Sales Summary Input";#N/A,#N/A,TRUE,"Delivery Summary Input";#N/A,#N/A,TRUE,"Revenue Assump Input";#N/A,#N/A,TRUE,"Financial Summary"}</definedName>
    <definedName name="ff" localSheetId="2" hidden="1">{#N/A,#N/A,TRUE,"Prog. Overview Strategic Input";#N/A,#N/A,TRUE,"Program Overview Financials";#N/A,#N/A,TRUE,"Technology Summary Input";#N/A,#N/A,TRUE,"Mkt &amp; Sales Summary Input";#N/A,#N/A,TRUE,"Delivery Summary Input";#N/A,#N/A,TRUE,"Revenue Assump Input";#N/A,#N/A,TRUE,"Financial Summary"}</definedName>
    <definedName name="ff" localSheetId="0" hidden="1">{#N/A,#N/A,TRUE,"Prog. Overview Strategic Input";#N/A,#N/A,TRUE,"Program Overview Financials";#N/A,#N/A,TRUE,"Technology Summary Input";#N/A,#N/A,TRUE,"Mkt &amp; Sales Summary Input";#N/A,#N/A,TRUE,"Delivery Summary Input";#N/A,#N/A,TRUE,"Revenue Assump Input";#N/A,#N/A,TRUE,"Financial Summary"}</definedName>
    <definedName name="ff" localSheetId="4" hidden="1">{#N/A,#N/A,TRUE,"Prog. Overview Strategic Input";#N/A,#N/A,TRUE,"Program Overview Financials";#N/A,#N/A,TRUE,"Technology Summary Input";#N/A,#N/A,TRUE,"Mkt &amp; Sales Summary Input";#N/A,#N/A,TRUE,"Delivery Summary Input";#N/A,#N/A,TRUE,"Revenue Assump Input";#N/A,#N/A,TRUE,"Financial Summary"}</definedName>
    <definedName name="ff" hidden="1">{#N/A,#N/A,TRUE,"Prog. Overview Strategic Input";#N/A,#N/A,TRUE,"Program Overview Financials";#N/A,#N/A,TRUE,"Technology Summary Input";#N/A,#N/A,TRUE,"Mkt &amp; Sales Summary Input";#N/A,#N/A,TRUE,"Delivery Summary Input";#N/A,#N/A,TRUE,"Revenue Assump Input";#N/A,#N/A,TRUE,"Financial Summary"}</definedName>
    <definedName name="ffff" localSheetId="3" hidden="1">#REF!</definedName>
    <definedName name="ffff" localSheetId="4" hidden="1">#REF!</definedName>
    <definedName name="ffff" hidden="1">#REF!</definedName>
    <definedName name="g" localSheetId="3" hidden="1">{#N/A,#N/A,TRUE,"Prog. Overview Strategic Input";#N/A,#N/A,TRUE,"Program Overview Financials";#N/A,#N/A,TRUE,"Technology Summary Input";#N/A,#N/A,TRUE,"Mkt &amp; Sales Summary Input";#N/A,#N/A,TRUE,"Delivery Summary Input";#N/A,#N/A,TRUE,"Revenue Assump Input";#N/A,#N/A,TRUE,"Financial Summary"}</definedName>
    <definedName name="g" localSheetId="2" hidden="1">{#N/A,#N/A,TRUE,"Prog. Overview Strategic Input";#N/A,#N/A,TRUE,"Program Overview Financials";#N/A,#N/A,TRUE,"Technology Summary Input";#N/A,#N/A,TRUE,"Mkt &amp; Sales Summary Input";#N/A,#N/A,TRUE,"Delivery Summary Input";#N/A,#N/A,TRUE,"Revenue Assump Input";#N/A,#N/A,TRUE,"Financial Summary"}</definedName>
    <definedName name="g" localSheetId="0" hidden="1">{#N/A,#N/A,TRUE,"Prog. Overview Strategic Input";#N/A,#N/A,TRUE,"Program Overview Financials";#N/A,#N/A,TRUE,"Technology Summary Input";#N/A,#N/A,TRUE,"Mkt &amp; Sales Summary Input";#N/A,#N/A,TRUE,"Delivery Summary Input";#N/A,#N/A,TRUE,"Revenue Assump Input";#N/A,#N/A,TRUE,"Financial Summary"}</definedName>
    <definedName name="g" localSheetId="4" hidden="1">{#N/A,#N/A,TRUE,"Prog. Overview Strategic Input";#N/A,#N/A,TRUE,"Program Overview Financials";#N/A,#N/A,TRUE,"Technology Summary Input";#N/A,#N/A,TRUE,"Mkt &amp; Sales Summary Input";#N/A,#N/A,TRUE,"Delivery Summary Input";#N/A,#N/A,TRUE,"Revenue Assump Input";#N/A,#N/A,TRUE,"Financial Summary"}</definedName>
    <definedName name="g" hidden="1">{#N/A,#N/A,TRUE,"Prog. Overview Strategic Input";#N/A,#N/A,TRUE,"Program Overview Financials";#N/A,#N/A,TRUE,"Technology Summary Input";#N/A,#N/A,TRUE,"Mkt &amp; Sales Summary Input";#N/A,#N/A,TRUE,"Delivery Summary Input";#N/A,#N/A,TRUE,"Revenue Assump Input";#N/A,#N/A,TRUE,"Financial Summary"}</definedName>
    <definedName name="gg" localSheetId="3" hidden="1">#REF!</definedName>
    <definedName name="gg" localSheetId="4" hidden="1">#REF!</definedName>
    <definedName name="gg" hidden="1">#REF!</definedName>
    <definedName name="ggg" localSheetId="3" hidden="1">#REF!</definedName>
    <definedName name="ggg" localSheetId="4" hidden="1">#REF!</definedName>
    <definedName name="ggg" hidden="1">#REF!</definedName>
    <definedName name="gggg" localSheetId="3" hidden="1">#REF!</definedName>
    <definedName name="gggg" localSheetId="4" hidden="1">#REF!</definedName>
    <definedName name="gggg" hidden="1">#REF!</definedName>
    <definedName name="gggggg" localSheetId="3" hidden="1">#REF!</definedName>
    <definedName name="gggggg" localSheetId="4" hidden="1">#REF!</definedName>
    <definedName name="gggggg" hidden="1">#REF!</definedName>
    <definedName name="h" localSheetId="3" hidden="1">{#N/A,#N/A,TRUE,"Prog. Overview Strategic Input";#N/A,#N/A,TRUE,"Program Overview Financials";#N/A,#N/A,TRUE,"Technology Summary Input";#N/A,#N/A,TRUE,"Mkt &amp; Sales Summary Input";#N/A,#N/A,TRUE,"Delivery Summary Input";#N/A,#N/A,TRUE,"Revenue Assump Input";#N/A,#N/A,TRUE,"Financial Summary"}</definedName>
    <definedName name="h" localSheetId="2" hidden="1">{#N/A,#N/A,TRUE,"Prog. Overview Strategic Input";#N/A,#N/A,TRUE,"Program Overview Financials";#N/A,#N/A,TRUE,"Technology Summary Input";#N/A,#N/A,TRUE,"Mkt &amp; Sales Summary Input";#N/A,#N/A,TRUE,"Delivery Summary Input";#N/A,#N/A,TRUE,"Revenue Assump Input";#N/A,#N/A,TRUE,"Financial Summary"}</definedName>
    <definedName name="h" localSheetId="0" hidden="1">{#N/A,#N/A,TRUE,"Prog. Overview Strategic Input";#N/A,#N/A,TRUE,"Program Overview Financials";#N/A,#N/A,TRUE,"Technology Summary Input";#N/A,#N/A,TRUE,"Mkt &amp; Sales Summary Input";#N/A,#N/A,TRUE,"Delivery Summary Input";#N/A,#N/A,TRUE,"Revenue Assump Input";#N/A,#N/A,TRUE,"Financial Summary"}</definedName>
    <definedName name="h" localSheetId="4" hidden="1">{#N/A,#N/A,TRUE,"Prog. Overview Strategic Input";#N/A,#N/A,TRUE,"Program Overview Financials";#N/A,#N/A,TRUE,"Technology Summary Input";#N/A,#N/A,TRUE,"Mkt &amp; Sales Summary Input";#N/A,#N/A,TRUE,"Delivery Summary Input";#N/A,#N/A,TRUE,"Revenue Assump Input";#N/A,#N/A,TRUE,"Financial Summary"}</definedName>
    <definedName name="h" hidden="1">{#N/A,#N/A,TRUE,"Prog. Overview Strategic Input";#N/A,#N/A,TRUE,"Program Overview Financials";#N/A,#N/A,TRUE,"Technology Summary Input";#N/A,#N/A,TRUE,"Mkt &amp; Sales Summary Input";#N/A,#N/A,TRUE,"Delivery Summary Input";#N/A,#N/A,TRUE,"Revenue Assump Input";#N/A,#N/A,TRUE,"Financial Summary"}</definedName>
    <definedName name="hans" localSheetId="3"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hans" localSheetId="2"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hans" localSheetId="0"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hans" localSheetId="4"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hans"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hhhh" localSheetId="3" hidden="1">#REF!</definedName>
    <definedName name="hhhh" localSheetId="4" hidden="1">#REF!</definedName>
    <definedName name="hhhh" hidden="1">#REF!</definedName>
    <definedName name="HTML1_1" hidden="1">"[PB14.XLS]PB14!$A$1:$D$242"</definedName>
    <definedName name="HTML1_10" hidden="1">""</definedName>
    <definedName name="HTML1_11" hidden="1">1</definedName>
    <definedName name="HTML1_12" hidden="1">"W:\HBC\PRODUCT\PRICEBOO\pb14.htm"</definedName>
    <definedName name="HTML1_2" hidden="1">1</definedName>
    <definedName name="HTML1_3" hidden="1">""</definedName>
    <definedName name="HTML1_4" hidden="1">""</definedName>
    <definedName name="HTML1_5" hidden="1">""</definedName>
    <definedName name="HTML1_6" hidden="1">-4146</definedName>
    <definedName name="HTML1_7" hidden="1">-4146</definedName>
    <definedName name="HTML1_8" hidden="1">""</definedName>
    <definedName name="HTML1_9" hidden="1">""</definedName>
    <definedName name="HTMLCount" hidden="1">1</definedName>
    <definedName name="Hyperion" localSheetId="3" hidden="1">{#N/A,#N/A,TRUE,"Prog. Overview Strategic Input";#N/A,#N/A,TRUE,"Program Overview Financials";#N/A,#N/A,TRUE,"Technology Summary Input";#N/A,#N/A,TRUE,"Mkt &amp; Sales Summary Input";#N/A,#N/A,TRUE,"Delivery Summary Input";#N/A,#N/A,TRUE,"Revenue Assump Input";#N/A,#N/A,TRUE,"Financial Summary"}</definedName>
    <definedName name="Hyperion" localSheetId="2" hidden="1">{#N/A,#N/A,TRUE,"Prog. Overview Strategic Input";#N/A,#N/A,TRUE,"Program Overview Financials";#N/A,#N/A,TRUE,"Technology Summary Input";#N/A,#N/A,TRUE,"Mkt &amp; Sales Summary Input";#N/A,#N/A,TRUE,"Delivery Summary Input";#N/A,#N/A,TRUE,"Revenue Assump Input";#N/A,#N/A,TRUE,"Financial Summary"}</definedName>
    <definedName name="Hyperion" localSheetId="0" hidden="1">{#N/A,#N/A,TRUE,"Prog. Overview Strategic Input";#N/A,#N/A,TRUE,"Program Overview Financials";#N/A,#N/A,TRUE,"Technology Summary Input";#N/A,#N/A,TRUE,"Mkt &amp; Sales Summary Input";#N/A,#N/A,TRUE,"Delivery Summary Input";#N/A,#N/A,TRUE,"Revenue Assump Input";#N/A,#N/A,TRUE,"Financial Summary"}</definedName>
    <definedName name="Hyperion" localSheetId="4" hidden="1">{#N/A,#N/A,TRUE,"Prog. Overview Strategic Input";#N/A,#N/A,TRUE,"Program Overview Financials";#N/A,#N/A,TRUE,"Technology Summary Input";#N/A,#N/A,TRUE,"Mkt &amp; Sales Summary Input";#N/A,#N/A,TRUE,"Delivery Summary Input";#N/A,#N/A,TRUE,"Revenue Assump Input";#N/A,#N/A,TRUE,"Financial Summary"}</definedName>
    <definedName name="Hyperion" hidden="1">{#N/A,#N/A,TRUE,"Prog. Overview Strategic Input";#N/A,#N/A,TRUE,"Program Overview Financials";#N/A,#N/A,TRUE,"Technology Summary Input";#N/A,#N/A,TRUE,"Mkt &amp; Sales Summary Input";#N/A,#N/A,TRUE,"Delivery Summary Input";#N/A,#N/A,TRUE,"Revenue Assump Input";#N/A,#N/A,TRUE,"Financial Summary"}</definedName>
    <definedName name="IntroPrintArea" localSheetId="3" hidden="1">#REF!</definedName>
    <definedName name="IntroPrintArea" localSheetId="4" hidden="1">#REF!</definedName>
    <definedName name="IntroPrintArea" hidden="1">#REF!</definedName>
    <definedName name="inv" localSheetId="3" hidden="1">{"Site",#N/A,FALSE,"Net Inventory Turns";"Site",#N/A,FALSE,"LInearity";"Site",#N/A,FALSE,"On Time Delivery";"Site",#N/A,FALSE,"Fill Rate";"Site",#N/A,FALSE,"Days Past Due";"Site",#N/A,FALSE,"COPQ";"Site",#N/A,FALSE,"Customer Returns";"Site",#N/A,FALSE,"LWCAIR";"Site",#N/A,FALSE,"TCIR";"Site",#N/A,FALSE,"TDU";"Site",#N/A,FALSE,"Supplier Defects";"Site",#N/A,FALSE,"Supplier Delivery";"Site",#N/A,FALSE,"OEC";"Site",#N/A,FALSE,"MM"}</definedName>
    <definedName name="inv" localSheetId="2" hidden="1">{"Site",#N/A,FALSE,"Net Inventory Turns";"Site",#N/A,FALSE,"LInearity";"Site",#N/A,FALSE,"On Time Delivery";"Site",#N/A,FALSE,"Fill Rate";"Site",#N/A,FALSE,"Days Past Due";"Site",#N/A,FALSE,"COPQ";"Site",#N/A,FALSE,"Customer Returns";"Site",#N/A,FALSE,"LWCAIR";"Site",#N/A,FALSE,"TCIR";"Site",#N/A,FALSE,"TDU";"Site",#N/A,FALSE,"Supplier Defects";"Site",#N/A,FALSE,"Supplier Delivery";"Site",#N/A,FALSE,"OEC";"Site",#N/A,FALSE,"MM"}</definedName>
    <definedName name="inv" localSheetId="0" hidden="1">{"Site",#N/A,FALSE,"Net Inventory Turns";"Site",#N/A,FALSE,"LInearity";"Site",#N/A,FALSE,"On Time Delivery";"Site",#N/A,FALSE,"Fill Rate";"Site",#N/A,FALSE,"Days Past Due";"Site",#N/A,FALSE,"COPQ";"Site",#N/A,FALSE,"Customer Returns";"Site",#N/A,FALSE,"LWCAIR";"Site",#N/A,FALSE,"TCIR";"Site",#N/A,FALSE,"TDU";"Site",#N/A,FALSE,"Supplier Defects";"Site",#N/A,FALSE,"Supplier Delivery";"Site",#N/A,FALSE,"OEC";"Site",#N/A,FALSE,"MM"}</definedName>
    <definedName name="inv" localSheetId="4" hidden="1">{"Site",#N/A,FALSE,"Net Inventory Turns";"Site",#N/A,FALSE,"LInearity";"Site",#N/A,FALSE,"On Time Delivery";"Site",#N/A,FALSE,"Fill Rate";"Site",#N/A,FALSE,"Days Past Due";"Site",#N/A,FALSE,"COPQ";"Site",#N/A,FALSE,"Customer Returns";"Site",#N/A,FALSE,"LWCAIR";"Site",#N/A,FALSE,"TCIR";"Site",#N/A,FALSE,"TDU";"Site",#N/A,FALSE,"Supplier Defects";"Site",#N/A,FALSE,"Supplier Delivery";"Site",#N/A,FALSE,"OEC";"Site",#N/A,FALSE,"MM"}</definedName>
    <definedName name="inv" hidden="1">{"Site",#N/A,FALSE,"Net Inventory Turns";"Site",#N/A,FALSE,"LInearity";"Site",#N/A,FALSE,"On Time Delivery";"Site",#N/A,FALSE,"Fill Rate";"Site",#N/A,FALSE,"Days Past Due";"Site",#N/A,FALSE,"COPQ";"Site",#N/A,FALSE,"Customer Returns";"Site",#N/A,FALSE,"LWCAIR";"Site",#N/A,FALSE,"TCIR";"Site",#N/A,FALSE,"TDU";"Site",#N/A,FALSE,"Supplier Defects";"Site",#N/A,FALSE,"Supplier Delivery";"Site",#N/A,FALSE,"OEC";"Site",#N/A,FALSE,"MM"}</definedName>
    <definedName name="IQ_ADDIN" hidden="1">"AUTO"</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42384.7273958333</definedName>
    <definedName name="IQ_NTM" hidden="1">6000</definedName>
    <definedName name="IQ_OPENED55" hidden="1">1</definedName>
    <definedName name="IQ_QTD" hidden="1">750000</definedName>
    <definedName name="IQ_TODAY" hidden="1">0</definedName>
    <definedName name="IQ_WEEK" hidden="1">50000</definedName>
    <definedName name="IQ_YTD" hidden="1">3000</definedName>
    <definedName name="IQ_YTDMONTH" hidden="1">130000</definedName>
    <definedName name="j" localSheetId="3" hidden="1">#REF!</definedName>
    <definedName name="j" localSheetId="4" hidden="1">#REF!</definedName>
    <definedName name="j" hidden="1">#REF!</definedName>
    <definedName name="jh" localSheetId="3" hidden="1">{"Site",#N/A,FALSE,"Net Inventory Turns";"Site",#N/A,FALSE,"LInearity";"Site",#N/A,FALSE,"On Time Delivery";"Site",#N/A,FALSE,"Fill Rate";"Site",#N/A,FALSE,"Days Past Due";"Site",#N/A,FALSE,"COPQ";"Site",#N/A,FALSE,"Customer Returns";"Site",#N/A,FALSE,"LWCAIR";"Site",#N/A,FALSE,"TCIR";"Site",#N/A,FALSE,"TDU";"Site",#N/A,FALSE,"Supplier Defects";"Site",#N/A,FALSE,"Supplier Delivery";"Site",#N/A,FALSE,"OEC";"Site",#N/A,FALSE,"MM"}</definedName>
    <definedName name="jh" localSheetId="2" hidden="1">{"Site",#N/A,FALSE,"Net Inventory Turns";"Site",#N/A,FALSE,"LInearity";"Site",#N/A,FALSE,"On Time Delivery";"Site",#N/A,FALSE,"Fill Rate";"Site",#N/A,FALSE,"Days Past Due";"Site",#N/A,FALSE,"COPQ";"Site",#N/A,FALSE,"Customer Returns";"Site",#N/A,FALSE,"LWCAIR";"Site",#N/A,FALSE,"TCIR";"Site",#N/A,FALSE,"TDU";"Site",#N/A,FALSE,"Supplier Defects";"Site",#N/A,FALSE,"Supplier Delivery";"Site",#N/A,FALSE,"OEC";"Site",#N/A,FALSE,"MM"}</definedName>
    <definedName name="jh" localSheetId="0" hidden="1">{"Site",#N/A,FALSE,"Net Inventory Turns";"Site",#N/A,FALSE,"LInearity";"Site",#N/A,FALSE,"On Time Delivery";"Site",#N/A,FALSE,"Fill Rate";"Site",#N/A,FALSE,"Days Past Due";"Site",#N/A,FALSE,"COPQ";"Site",#N/A,FALSE,"Customer Returns";"Site",#N/A,FALSE,"LWCAIR";"Site",#N/A,FALSE,"TCIR";"Site",#N/A,FALSE,"TDU";"Site",#N/A,FALSE,"Supplier Defects";"Site",#N/A,FALSE,"Supplier Delivery";"Site",#N/A,FALSE,"OEC";"Site",#N/A,FALSE,"MM"}</definedName>
    <definedName name="jh" localSheetId="4" hidden="1">{"Site",#N/A,FALSE,"Net Inventory Turns";"Site",#N/A,FALSE,"LInearity";"Site",#N/A,FALSE,"On Time Delivery";"Site",#N/A,FALSE,"Fill Rate";"Site",#N/A,FALSE,"Days Past Due";"Site",#N/A,FALSE,"COPQ";"Site",#N/A,FALSE,"Customer Returns";"Site",#N/A,FALSE,"LWCAIR";"Site",#N/A,FALSE,"TCIR";"Site",#N/A,FALSE,"TDU";"Site",#N/A,FALSE,"Supplier Defects";"Site",#N/A,FALSE,"Supplier Delivery";"Site",#N/A,FALSE,"OEC";"Site",#N/A,FALSE,"MM"}</definedName>
    <definedName name="jh" hidden="1">{"Site",#N/A,FALSE,"Net Inventory Turns";"Site",#N/A,FALSE,"LInearity";"Site",#N/A,FALSE,"On Time Delivery";"Site",#N/A,FALSE,"Fill Rate";"Site",#N/A,FALSE,"Days Past Due";"Site",#N/A,FALSE,"COPQ";"Site",#N/A,FALSE,"Customer Returns";"Site",#N/A,FALSE,"LWCAIR";"Site",#N/A,FALSE,"TCIR";"Site",#N/A,FALSE,"TDU";"Site",#N/A,FALSE,"Supplier Defects";"Site",#N/A,FALSE,"Supplier Delivery";"Site",#N/A,FALSE,"OEC";"Site",#N/A,FALSE,"MM"}</definedName>
    <definedName name="jj" localSheetId="3" hidden="1">#REF!</definedName>
    <definedName name="jj" localSheetId="4" hidden="1">#REF!</definedName>
    <definedName name="jj" hidden="1">#REF!</definedName>
    <definedName name="jjj" localSheetId="3" hidden="1">#REF!</definedName>
    <definedName name="jjj" localSheetId="4" hidden="1">#REF!</definedName>
    <definedName name="jjj" hidden="1">#REF!</definedName>
    <definedName name="JKF" localSheetId="3" hidden="1">{#N/A,#N/A,TRUE,"Prog. Overview Strategic Input";#N/A,#N/A,TRUE,"Program Overview Financials";#N/A,#N/A,TRUE,"Technology Summary Input";#N/A,#N/A,TRUE,"Mkt &amp; Sales Summary Input";#N/A,#N/A,TRUE,"Delivery Summary Input";#N/A,#N/A,TRUE,"Revenue Assump Input";#N/A,#N/A,TRUE,"Financial Summary"}</definedName>
    <definedName name="JKF" localSheetId="2" hidden="1">{#N/A,#N/A,TRUE,"Prog. Overview Strategic Input";#N/A,#N/A,TRUE,"Program Overview Financials";#N/A,#N/A,TRUE,"Technology Summary Input";#N/A,#N/A,TRUE,"Mkt &amp; Sales Summary Input";#N/A,#N/A,TRUE,"Delivery Summary Input";#N/A,#N/A,TRUE,"Revenue Assump Input";#N/A,#N/A,TRUE,"Financial Summary"}</definedName>
    <definedName name="JKF" localSheetId="0" hidden="1">{#N/A,#N/A,TRUE,"Prog. Overview Strategic Input";#N/A,#N/A,TRUE,"Program Overview Financials";#N/A,#N/A,TRUE,"Technology Summary Input";#N/A,#N/A,TRUE,"Mkt &amp; Sales Summary Input";#N/A,#N/A,TRUE,"Delivery Summary Input";#N/A,#N/A,TRUE,"Revenue Assump Input";#N/A,#N/A,TRUE,"Financial Summary"}</definedName>
    <definedName name="JKF" localSheetId="4" hidden="1">{#N/A,#N/A,TRUE,"Prog. Overview Strategic Input";#N/A,#N/A,TRUE,"Program Overview Financials";#N/A,#N/A,TRUE,"Technology Summary Input";#N/A,#N/A,TRUE,"Mkt &amp; Sales Summary Input";#N/A,#N/A,TRUE,"Delivery Summary Input";#N/A,#N/A,TRUE,"Revenue Assump Input";#N/A,#N/A,TRUE,"Financial Summary"}</definedName>
    <definedName name="JKF" hidden="1">{#N/A,#N/A,TRUE,"Prog. Overview Strategic Input";#N/A,#N/A,TRUE,"Program Overview Financials";#N/A,#N/A,TRUE,"Technology Summary Input";#N/A,#N/A,TRUE,"Mkt &amp; Sales Summary Input";#N/A,#N/A,TRUE,"Delivery Summary Input";#N/A,#N/A,TRUE,"Revenue Assump Input";#N/A,#N/A,TRUE,"Financial Summary"}</definedName>
    <definedName name="KFDLKFDLFKDLFK" localSheetId="3" hidden="1">#REF!</definedName>
    <definedName name="KFDLKFDLFKDLFK" localSheetId="4" hidden="1">#REF!</definedName>
    <definedName name="KFDLKFDLFKDLFK" hidden="1">#REF!</definedName>
    <definedName name="KFGS" localSheetId="3" hidden="1">{#N/A,#N/A,TRUE,"Prog. Overview Strategic Input";#N/A,#N/A,TRUE,"Program Overview Financials";#N/A,#N/A,TRUE,"Technology Summary Input";#N/A,#N/A,TRUE,"Mkt &amp; Sales Summary Input";#N/A,#N/A,TRUE,"Delivery Summary Input";#N/A,#N/A,TRUE,"Revenue Assump Input";#N/A,#N/A,TRUE,"Financial Summary"}</definedName>
    <definedName name="KFGS" localSheetId="2" hidden="1">{#N/A,#N/A,TRUE,"Prog. Overview Strategic Input";#N/A,#N/A,TRUE,"Program Overview Financials";#N/A,#N/A,TRUE,"Technology Summary Input";#N/A,#N/A,TRUE,"Mkt &amp; Sales Summary Input";#N/A,#N/A,TRUE,"Delivery Summary Input";#N/A,#N/A,TRUE,"Revenue Assump Input";#N/A,#N/A,TRUE,"Financial Summary"}</definedName>
    <definedName name="KFGS" localSheetId="0" hidden="1">{#N/A,#N/A,TRUE,"Prog. Overview Strategic Input";#N/A,#N/A,TRUE,"Program Overview Financials";#N/A,#N/A,TRUE,"Technology Summary Input";#N/A,#N/A,TRUE,"Mkt &amp; Sales Summary Input";#N/A,#N/A,TRUE,"Delivery Summary Input";#N/A,#N/A,TRUE,"Revenue Assump Input";#N/A,#N/A,TRUE,"Financial Summary"}</definedName>
    <definedName name="KFGS" localSheetId="4" hidden="1">{#N/A,#N/A,TRUE,"Prog. Overview Strategic Input";#N/A,#N/A,TRUE,"Program Overview Financials";#N/A,#N/A,TRUE,"Technology Summary Input";#N/A,#N/A,TRUE,"Mkt &amp; Sales Summary Input";#N/A,#N/A,TRUE,"Delivery Summary Input";#N/A,#N/A,TRUE,"Revenue Assump Input";#N/A,#N/A,TRUE,"Financial Summary"}</definedName>
    <definedName name="KFGS" hidden="1">{#N/A,#N/A,TRUE,"Prog. Overview Strategic Input";#N/A,#N/A,TRUE,"Program Overview Financials";#N/A,#N/A,TRUE,"Technology Summary Input";#N/A,#N/A,TRUE,"Mkt &amp; Sales Summary Input";#N/A,#N/A,TRUE,"Delivery Summary Input";#N/A,#N/A,TRUE,"Revenue Assump Input";#N/A,#N/A,TRUE,"Financial Summary"}</definedName>
    <definedName name="kyd.Dim.01." hidden="1">"currency"</definedName>
    <definedName name="kyd.Dim.02." hidden="1">"currency"</definedName>
    <definedName name="kyd.ElementType.01." hidden="1">3</definedName>
    <definedName name="kyd.ElementType.02." hidden="1">3</definedName>
    <definedName name="kyd.MemoSortHide." hidden="1">FALSE</definedName>
    <definedName name="kyd.NumLevels.01." hidden="1">999</definedName>
    <definedName name="kyd.NumLevels.02." hidden="1">999</definedName>
    <definedName name="kyd.ParentName.01." hidden="1">"AUD"</definedName>
    <definedName name="kyd.ParentName.02." hidden="1">"AUD"</definedName>
    <definedName name="kyd.PreScreenData." hidden="1">FALSE</definedName>
    <definedName name="kyd.PrintMemo." hidden="1">FALSE</definedName>
    <definedName name="kyd.PrintParent.01." hidden="1">TRUE</definedName>
    <definedName name="kyd.PrintParent.02." hidden="1">TRUE</definedName>
    <definedName name="kyd.PrintStdWhen." hidden="1">3</definedName>
    <definedName name="kyd.SaveAsFile." hidden="1">FALSE</definedName>
    <definedName name="kyd.SaveMemo." hidden="1">FALSE</definedName>
    <definedName name="kyd.SelectString.01." hidden="1">"*"</definedName>
    <definedName name="kyd.SelectString.02." hidden="1">"*"</definedName>
    <definedName name="kyd.StdSortHide." hidden="1">FALSE</definedName>
    <definedName name="kyd.StopRow." hidden="1">16384</definedName>
    <definedName name="kyd.WriteMemWhenOptn." hidden="1">3</definedName>
    <definedName name="L" localSheetId="3" hidden="1">{#N/A,#N/A,TRUE,"Prog. Overview Strategic Input";#N/A,#N/A,TRUE,"Program Overview Financials";#N/A,#N/A,TRUE,"Technology Summary Input";#N/A,#N/A,TRUE,"Mkt &amp; Sales Summary Input";#N/A,#N/A,TRUE,"Delivery Summary Input";#N/A,#N/A,TRUE,"Revenue Assump Input";#N/A,#N/A,TRUE,"Financial Summary"}</definedName>
    <definedName name="L" localSheetId="2" hidden="1">{#N/A,#N/A,TRUE,"Prog. Overview Strategic Input";#N/A,#N/A,TRUE,"Program Overview Financials";#N/A,#N/A,TRUE,"Technology Summary Input";#N/A,#N/A,TRUE,"Mkt &amp; Sales Summary Input";#N/A,#N/A,TRUE,"Delivery Summary Input";#N/A,#N/A,TRUE,"Revenue Assump Input";#N/A,#N/A,TRUE,"Financial Summary"}</definedName>
    <definedName name="L" localSheetId="0" hidden="1">{#N/A,#N/A,TRUE,"Prog. Overview Strategic Input";#N/A,#N/A,TRUE,"Program Overview Financials";#N/A,#N/A,TRUE,"Technology Summary Input";#N/A,#N/A,TRUE,"Mkt &amp; Sales Summary Input";#N/A,#N/A,TRUE,"Delivery Summary Input";#N/A,#N/A,TRUE,"Revenue Assump Input";#N/A,#N/A,TRUE,"Financial Summary"}</definedName>
    <definedName name="L" localSheetId="4" hidden="1">{#N/A,#N/A,TRUE,"Prog. Overview Strategic Input";#N/A,#N/A,TRUE,"Program Overview Financials";#N/A,#N/A,TRUE,"Technology Summary Input";#N/A,#N/A,TRUE,"Mkt &amp; Sales Summary Input";#N/A,#N/A,TRUE,"Delivery Summary Input";#N/A,#N/A,TRUE,"Revenue Assump Input";#N/A,#N/A,TRUE,"Financial Summary"}</definedName>
    <definedName name="L" hidden="1">{#N/A,#N/A,TRUE,"Prog. Overview Strategic Input";#N/A,#N/A,TRUE,"Program Overview Financials";#N/A,#N/A,TRUE,"Technology Summary Input";#N/A,#N/A,TRUE,"Mkt &amp; Sales Summary Input";#N/A,#N/A,TRUE,"Delivery Summary Input";#N/A,#N/A,TRUE,"Revenue Assump Input";#N/A,#N/A,TRUE,"Financial Summary"}</definedName>
    <definedName name="Lastest" hidden="1">{"key inputs",#N/A,TRUE,"Key Inputs";"key outputs",#N/A,TRUE,"Outputs";"Other inputs",#N/A,TRUE,"Other Inputs";"Revenue",#N/A,TRUE,"Rev"}</definedName>
    <definedName name="LGD" localSheetId="3"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LGD" localSheetId="2"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LGD" localSheetId="0"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LGD" localSheetId="4"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LGD"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ll" localSheetId="3" hidden="1">#REF!</definedName>
    <definedName name="ll" localSheetId="4" hidden="1">#REF!</definedName>
    <definedName name="ll" hidden="1">#REF!</definedName>
    <definedName name="LYYU" localSheetId="3" hidden="1">#REF!</definedName>
    <definedName name="LYYU" localSheetId="4" hidden="1">#REF!</definedName>
    <definedName name="LYYU" hidden="1">#REF!</definedName>
    <definedName name="MATT" localSheetId="3" hidden="1">{#N/A,#N/A,TRUE,"Main Issues";#N/A,#N/A,TRUE,"Income statement ($)"}</definedName>
    <definedName name="MATT" localSheetId="2" hidden="1">{#N/A,#N/A,TRUE,"Main Issues";#N/A,#N/A,TRUE,"Income statement ($)"}</definedName>
    <definedName name="MATT" localSheetId="0" hidden="1">{#N/A,#N/A,TRUE,"Main Issues";#N/A,#N/A,TRUE,"Income statement ($)"}</definedName>
    <definedName name="MATT" localSheetId="4" hidden="1">{#N/A,#N/A,TRUE,"Main Issues";#N/A,#N/A,TRUE,"Income statement ($)"}</definedName>
    <definedName name="MATT" hidden="1">{#N/A,#N/A,TRUE,"Main Issues";#N/A,#N/A,TRUE,"Income statement ($)"}</definedName>
    <definedName name="neutral" localSheetId="3" hidden="1">{#N/A,#N/A,TRUE,"AB_Vertrag";#N/A,#N/A,TRUE,"AB_BWL"}</definedName>
    <definedName name="neutral" localSheetId="2" hidden="1">{#N/A,#N/A,TRUE,"AB_Vertrag";#N/A,#N/A,TRUE,"AB_BWL"}</definedName>
    <definedName name="neutral" localSheetId="0" hidden="1">{#N/A,#N/A,TRUE,"AB_Vertrag";#N/A,#N/A,TRUE,"AB_BWL"}</definedName>
    <definedName name="neutral" localSheetId="4" hidden="1">{#N/A,#N/A,TRUE,"AB_Vertrag";#N/A,#N/A,TRUE,"AB_BWL"}</definedName>
    <definedName name="neutral" hidden="1">{#N/A,#N/A,TRUE,"AB_Vertrag";#N/A,#N/A,TRUE,"AB_BWL"}</definedName>
    <definedName name="nn" localSheetId="3" hidden="1">{#N/A,#N/A,TRUE,"Proposal";#N/A,#N/A,TRUE,"Assumptions";#N/A,#N/A,TRUE,"Net Income";#N/A,#N/A,TRUE,"Balsheet";#N/A,#N/A,TRUE,"Capex";#N/A,#N/A,TRUE,"Volumes";#N/A,#N/A,TRUE,"Revenues";#N/A,#N/A,TRUE,"Var.Costs";#N/A,#N/A,TRUE,"Personnel";#N/A,#N/A,TRUE,"Other costs";#N/A,#N/A,TRUE,"MKTG and G&amp;A"}</definedName>
    <definedName name="nn" localSheetId="2" hidden="1">{#N/A,#N/A,TRUE,"Proposal";#N/A,#N/A,TRUE,"Assumptions";#N/A,#N/A,TRUE,"Net Income";#N/A,#N/A,TRUE,"Balsheet";#N/A,#N/A,TRUE,"Capex";#N/A,#N/A,TRUE,"Volumes";#N/A,#N/A,TRUE,"Revenues";#N/A,#N/A,TRUE,"Var.Costs";#N/A,#N/A,TRUE,"Personnel";#N/A,#N/A,TRUE,"Other costs";#N/A,#N/A,TRUE,"MKTG and G&amp;A"}</definedName>
    <definedName name="nn" localSheetId="0" hidden="1">{#N/A,#N/A,TRUE,"Proposal";#N/A,#N/A,TRUE,"Assumptions";#N/A,#N/A,TRUE,"Net Income";#N/A,#N/A,TRUE,"Balsheet";#N/A,#N/A,TRUE,"Capex";#N/A,#N/A,TRUE,"Volumes";#N/A,#N/A,TRUE,"Revenues";#N/A,#N/A,TRUE,"Var.Costs";#N/A,#N/A,TRUE,"Personnel";#N/A,#N/A,TRUE,"Other costs";#N/A,#N/A,TRUE,"MKTG and G&amp;A"}</definedName>
    <definedName name="nn" localSheetId="4" hidden="1">{#N/A,#N/A,TRUE,"Proposal";#N/A,#N/A,TRUE,"Assumptions";#N/A,#N/A,TRUE,"Net Income";#N/A,#N/A,TRUE,"Balsheet";#N/A,#N/A,TRUE,"Capex";#N/A,#N/A,TRUE,"Volumes";#N/A,#N/A,TRUE,"Revenues";#N/A,#N/A,TRUE,"Var.Costs";#N/A,#N/A,TRUE,"Personnel";#N/A,#N/A,TRUE,"Other costs";#N/A,#N/A,TRUE,"MKTG and G&amp;A"}</definedName>
    <definedName name="nn" hidden="1">{#N/A,#N/A,TRUE,"Proposal";#N/A,#N/A,TRUE,"Assumptions";#N/A,#N/A,TRUE,"Net Income";#N/A,#N/A,TRUE,"Balsheet";#N/A,#N/A,TRUE,"Capex";#N/A,#N/A,TRUE,"Volumes";#N/A,#N/A,TRUE,"Revenues";#N/A,#N/A,TRUE,"Var.Costs";#N/A,#N/A,TRUE,"Personnel";#N/A,#N/A,TRUE,"Other costs";#N/A,#N/A,TRUE,"MKTG and G&amp;A"}</definedName>
    <definedName name="nogmaals" localSheetId="3"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nogmaals" localSheetId="2"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nogmaals" localSheetId="0"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nogmaals" localSheetId="4"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nogmaals"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O" localSheetId="3" hidden="1">#REF!</definedName>
    <definedName name="O" localSheetId="4" hidden="1">#REF!</definedName>
    <definedName name="O" hidden="1">#REF!</definedName>
    <definedName name="Oktober" localSheetId="3" hidden="1">{#N/A,#N/A,TRUE,"Prog. Overview Strategic Input";#N/A,#N/A,TRUE,"Program Overview Financials";#N/A,#N/A,TRUE,"Technology Summary Input";#N/A,#N/A,TRUE,"Mkt &amp; Sales Summary Input";#N/A,#N/A,TRUE,"Delivery Summary Input";#N/A,#N/A,TRUE,"Revenue Assump Input";#N/A,#N/A,TRUE,"Financial Summary"}</definedName>
    <definedName name="Oktober" localSheetId="2" hidden="1">{#N/A,#N/A,TRUE,"Prog. Overview Strategic Input";#N/A,#N/A,TRUE,"Program Overview Financials";#N/A,#N/A,TRUE,"Technology Summary Input";#N/A,#N/A,TRUE,"Mkt &amp; Sales Summary Input";#N/A,#N/A,TRUE,"Delivery Summary Input";#N/A,#N/A,TRUE,"Revenue Assump Input";#N/A,#N/A,TRUE,"Financial Summary"}</definedName>
    <definedName name="Oktober" localSheetId="0" hidden="1">{#N/A,#N/A,TRUE,"Prog. Overview Strategic Input";#N/A,#N/A,TRUE,"Program Overview Financials";#N/A,#N/A,TRUE,"Technology Summary Input";#N/A,#N/A,TRUE,"Mkt &amp; Sales Summary Input";#N/A,#N/A,TRUE,"Delivery Summary Input";#N/A,#N/A,TRUE,"Revenue Assump Input";#N/A,#N/A,TRUE,"Financial Summary"}</definedName>
    <definedName name="Oktober" localSheetId="4" hidden="1">{#N/A,#N/A,TRUE,"Prog. Overview Strategic Input";#N/A,#N/A,TRUE,"Program Overview Financials";#N/A,#N/A,TRUE,"Technology Summary Input";#N/A,#N/A,TRUE,"Mkt &amp; Sales Summary Input";#N/A,#N/A,TRUE,"Delivery Summary Input";#N/A,#N/A,TRUE,"Revenue Assump Input";#N/A,#N/A,TRUE,"Financial Summary"}</definedName>
    <definedName name="Oktober" hidden="1">{#N/A,#N/A,TRUE,"Prog. Overview Strategic Input";#N/A,#N/A,TRUE,"Program Overview Financials";#N/A,#N/A,TRUE,"Technology Summary Input";#N/A,#N/A,TRUE,"Mkt &amp; Sales Summary Input";#N/A,#N/A,TRUE,"Delivery Summary Input";#N/A,#N/A,TRUE,"Revenue Assump Input";#N/A,#N/A,TRUE,"Financial Summary"}</definedName>
    <definedName name="oo" localSheetId="3"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oo" localSheetId="2"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oo" localSheetId="0"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oo" localSheetId="4"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oo"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Pal_Workbook_GUID" hidden="1">"MUC1HU73QW1RYK4EZTM276B1"</definedName>
    <definedName name="poging" localSheetId="3"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poging" localSheetId="2"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poging" localSheetId="0"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poging" localSheetId="4"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poging"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PP6FIRE_DEC" localSheetId="3" hidden="1">{#N/A,#N/A,TRUE,"Prog. Overview Strategic Input";#N/A,#N/A,TRUE,"Program Overview Financials";#N/A,#N/A,TRUE,"Technology Summary Input";#N/A,#N/A,TRUE,"Mkt &amp; Sales Summary Input";#N/A,#N/A,TRUE,"Delivery Summary Input";#N/A,#N/A,TRUE,"Revenue Assump Input";#N/A,#N/A,TRUE,"Financial Summary"}</definedName>
    <definedName name="PP6FIRE_DEC" localSheetId="2" hidden="1">{#N/A,#N/A,TRUE,"Prog. Overview Strategic Input";#N/A,#N/A,TRUE,"Program Overview Financials";#N/A,#N/A,TRUE,"Technology Summary Input";#N/A,#N/A,TRUE,"Mkt &amp; Sales Summary Input";#N/A,#N/A,TRUE,"Delivery Summary Input";#N/A,#N/A,TRUE,"Revenue Assump Input";#N/A,#N/A,TRUE,"Financial Summary"}</definedName>
    <definedName name="PP6FIRE_DEC" localSheetId="0" hidden="1">{#N/A,#N/A,TRUE,"Prog. Overview Strategic Input";#N/A,#N/A,TRUE,"Program Overview Financials";#N/A,#N/A,TRUE,"Technology Summary Input";#N/A,#N/A,TRUE,"Mkt &amp; Sales Summary Input";#N/A,#N/A,TRUE,"Delivery Summary Input";#N/A,#N/A,TRUE,"Revenue Assump Input";#N/A,#N/A,TRUE,"Financial Summary"}</definedName>
    <definedName name="PP6FIRE_DEC" localSheetId="4" hidden="1">{#N/A,#N/A,TRUE,"Prog. Overview Strategic Input";#N/A,#N/A,TRUE,"Program Overview Financials";#N/A,#N/A,TRUE,"Technology Summary Input";#N/A,#N/A,TRUE,"Mkt &amp; Sales Summary Input";#N/A,#N/A,TRUE,"Delivery Summary Input";#N/A,#N/A,TRUE,"Revenue Assump Input";#N/A,#N/A,TRUE,"Financial Summary"}</definedName>
    <definedName name="PP6FIRE_DEC" hidden="1">{#N/A,#N/A,TRUE,"Prog. Overview Strategic Input";#N/A,#N/A,TRUE,"Program Overview Financials";#N/A,#N/A,TRUE,"Technology Summary Input";#N/A,#N/A,TRUE,"Mkt &amp; Sales Summary Input";#N/A,#N/A,TRUE,"Delivery Summary Input";#N/A,#N/A,TRUE,"Revenue Assump Input";#N/A,#N/A,TRUE,"Financial Summary"}</definedName>
    <definedName name="Pr" localSheetId="3" hidden="1">{"Site",#N/A,FALSE,"Net Inventory Turns";"Site",#N/A,FALSE,"LInearity";"Site",#N/A,FALSE,"On Time Delivery";"Site",#N/A,FALSE,"Fill Rate";"Site",#N/A,FALSE,"Days Past Due";"Site",#N/A,FALSE,"COPQ";"Site",#N/A,FALSE,"Customer Returns";"Site",#N/A,FALSE,"LWCAIR";"Site",#N/A,FALSE,"TCIR";"Site",#N/A,FALSE,"TDU";"Site",#N/A,FALSE,"Supplier Defects";"Site",#N/A,FALSE,"Supplier Delivery";"Site",#N/A,FALSE,"OEC";"Site",#N/A,FALSE,"MM"}</definedName>
    <definedName name="Pr" localSheetId="2" hidden="1">{"Site",#N/A,FALSE,"Net Inventory Turns";"Site",#N/A,FALSE,"LInearity";"Site",#N/A,FALSE,"On Time Delivery";"Site",#N/A,FALSE,"Fill Rate";"Site",#N/A,FALSE,"Days Past Due";"Site",#N/A,FALSE,"COPQ";"Site",#N/A,FALSE,"Customer Returns";"Site",#N/A,FALSE,"LWCAIR";"Site",#N/A,FALSE,"TCIR";"Site",#N/A,FALSE,"TDU";"Site",#N/A,FALSE,"Supplier Defects";"Site",#N/A,FALSE,"Supplier Delivery";"Site",#N/A,FALSE,"OEC";"Site",#N/A,FALSE,"MM"}</definedName>
    <definedName name="Pr" localSheetId="0" hidden="1">{"Site",#N/A,FALSE,"Net Inventory Turns";"Site",#N/A,FALSE,"LInearity";"Site",#N/A,FALSE,"On Time Delivery";"Site",#N/A,FALSE,"Fill Rate";"Site",#N/A,FALSE,"Days Past Due";"Site",#N/A,FALSE,"COPQ";"Site",#N/A,FALSE,"Customer Returns";"Site",#N/A,FALSE,"LWCAIR";"Site",#N/A,FALSE,"TCIR";"Site",#N/A,FALSE,"TDU";"Site",#N/A,FALSE,"Supplier Defects";"Site",#N/A,FALSE,"Supplier Delivery";"Site",#N/A,FALSE,"OEC";"Site",#N/A,FALSE,"MM"}</definedName>
    <definedName name="Pr" localSheetId="4" hidden="1">{"Site",#N/A,FALSE,"Net Inventory Turns";"Site",#N/A,FALSE,"LInearity";"Site",#N/A,FALSE,"On Time Delivery";"Site",#N/A,FALSE,"Fill Rate";"Site",#N/A,FALSE,"Days Past Due";"Site",#N/A,FALSE,"COPQ";"Site",#N/A,FALSE,"Customer Returns";"Site",#N/A,FALSE,"LWCAIR";"Site",#N/A,FALSE,"TCIR";"Site",#N/A,FALSE,"TDU";"Site",#N/A,FALSE,"Supplier Defects";"Site",#N/A,FALSE,"Supplier Delivery";"Site",#N/A,FALSE,"OEC";"Site",#N/A,FALSE,"MM"}</definedName>
    <definedName name="Pr" hidden="1">{"Site",#N/A,FALSE,"Net Inventory Turns";"Site",#N/A,FALSE,"LInearity";"Site",#N/A,FALSE,"On Time Delivery";"Site",#N/A,FALSE,"Fill Rate";"Site",#N/A,FALSE,"Days Past Due";"Site",#N/A,FALSE,"COPQ";"Site",#N/A,FALSE,"Customer Returns";"Site",#N/A,FALSE,"LWCAIR";"Site",#N/A,FALSE,"TCIR";"Site",#N/A,FALSE,"TDU";"Site",#N/A,FALSE,"Supplier Defects";"Site",#N/A,FALSE,"Supplier Delivery";"Site",#N/A,FALSE,"OEC";"Site",#N/A,FALSE,"MM"}</definedName>
    <definedName name="PT" localSheetId="3"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PT" localSheetId="2"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PT" localSheetId="0"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PT" localSheetId="4"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PT"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pwoefù" localSheetId="3" hidden="1">{#N/A,#N/A,TRUE,"Proposal";#N/A,#N/A,TRUE,"Assumptions";#N/A,#N/A,TRUE,"Net Income";#N/A,#N/A,TRUE,"Balsheet";#N/A,#N/A,TRUE,"Capex";#N/A,#N/A,TRUE,"Volumes";#N/A,#N/A,TRUE,"Revenues";#N/A,#N/A,TRUE,"Var.Costs";#N/A,#N/A,TRUE,"Personnel";#N/A,#N/A,TRUE,"Other costs";#N/A,#N/A,TRUE,"MKTG and G&amp;A"}</definedName>
    <definedName name="pwoefù" localSheetId="2" hidden="1">{#N/A,#N/A,TRUE,"Proposal";#N/A,#N/A,TRUE,"Assumptions";#N/A,#N/A,TRUE,"Net Income";#N/A,#N/A,TRUE,"Balsheet";#N/A,#N/A,TRUE,"Capex";#N/A,#N/A,TRUE,"Volumes";#N/A,#N/A,TRUE,"Revenues";#N/A,#N/A,TRUE,"Var.Costs";#N/A,#N/A,TRUE,"Personnel";#N/A,#N/A,TRUE,"Other costs";#N/A,#N/A,TRUE,"MKTG and G&amp;A"}</definedName>
    <definedName name="pwoefù" localSheetId="0" hidden="1">{#N/A,#N/A,TRUE,"Proposal";#N/A,#N/A,TRUE,"Assumptions";#N/A,#N/A,TRUE,"Net Income";#N/A,#N/A,TRUE,"Balsheet";#N/A,#N/A,TRUE,"Capex";#N/A,#N/A,TRUE,"Volumes";#N/A,#N/A,TRUE,"Revenues";#N/A,#N/A,TRUE,"Var.Costs";#N/A,#N/A,TRUE,"Personnel";#N/A,#N/A,TRUE,"Other costs";#N/A,#N/A,TRUE,"MKTG and G&amp;A"}</definedName>
    <definedName name="pwoefù" localSheetId="4" hidden="1">{#N/A,#N/A,TRUE,"Proposal";#N/A,#N/A,TRUE,"Assumptions";#N/A,#N/A,TRUE,"Net Income";#N/A,#N/A,TRUE,"Balsheet";#N/A,#N/A,TRUE,"Capex";#N/A,#N/A,TRUE,"Volumes";#N/A,#N/A,TRUE,"Revenues";#N/A,#N/A,TRUE,"Var.Costs";#N/A,#N/A,TRUE,"Personnel";#N/A,#N/A,TRUE,"Other costs";#N/A,#N/A,TRUE,"MKTG and G&amp;A"}</definedName>
    <definedName name="pwoefù" hidden="1">{#N/A,#N/A,TRUE,"Proposal";#N/A,#N/A,TRUE,"Assumptions";#N/A,#N/A,TRUE,"Net Income";#N/A,#N/A,TRUE,"Balsheet";#N/A,#N/A,TRUE,"Capex";#N/A,#N/A,TRUE,"Volumes";#N/A,#N/A,TRUE,"Revenues";#N/A,#N/A,TRUE,"Var.Costs";#N/A,#N/A,TRUE,"Personnel";#N/A,#N/A,TRUE,"Other costs";#N/A,#N/A,TRUE,"MKTG and G&amp;A"}</definedName>
    <definedName name="qewqwe" localSheetId="3" hidden="1">#REF!</definedName>
    <definedName name="qewqwe" localSheetId="4" hidden="1">#REF!</definedName>
    <definedName name="qewqwe" hidden="1">#REF!</definedName>
    <definedName name="qqq" localSheetId="3" hidden="1">#REF!</definedName>
    <definedName name="qqq" localSheetId="4" hidden="1">#REF!</definedName>
    <definedName name="qqq" hidden="1">#REF!</definedName>
    <definedName name="Retail" localSheetId="3" hidden="1">#REF!</definedName>
    <definedName name="Retail" localSheetId="4" hidden="1">#REF!</definedName>
    <definedName name="Retail" hidden="1">#REF!</definedName>
    <definedName name="Risk" localSheetId="3" hidden="1">#REF!</definedName>
    <definedName name="Risk" localSheetId="4" hidden="1">#REF!</definedName>
    <definedName name="Risk" hidden="1">#REF!</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2</definedName>
    <definedName name="RiskStandardRecalc" hidden="1">2</definedName>
    <definedName name="RiskSwapState" hidden="1">TRUE</definedName>
    <definedName name="RiskUpdateDisplay" hidden="1">TRUE</definedName>
    <definedName name="RiskUseDifferentSeedForEachSim" hidden="1">FALSE</definedName>
    <definedName name="RiskUseFixedSeed" hidden="1">FALSE</definedName>
    <definedName name="RiskUseMultipleCPUs" hidden="1">TRUE</definedName>
    <definedName name="RL2A" localSheetId="4" hidden="1">#REF!</definedName>
    <definedName name="RL2A" hidden="1">#REF!</definedName>
    <definedName name="RL2B" localSheetId="3" hidden="1">#REF!</definedName>
    <definedName name="RL2B" localSheetId="4" hidden="1">#REF!</definedName>
    <definedName name="RL2B" hidden="1">#REF!</definedName>
    <definedName name="RL2D" localSheetId="3" hidden="1">#REF!</definedName>
    <definedName name="RL2D" localSheetId="4" hidden="1">#REF!</definedName>
    <definedName name="RL2D" hidden="1">#REF!</definedName>
    <definedName name="RL2F" localSheetId="3" hidden="1">#REF!</definedName>
    <definedName name="RL2F" localSheetId="4" hidden="1">#REF!</definedName>
    <definedName name="RL2F" hidden="1">#REF!</definedName>
    <definedName name="RL2G" localSheetId="3" hidden="1">#REF!</definedName>
    <definedName name="RL2G" localSheetId="4" hidden="1">#REF!</definedName>
    <definedName name="RL2G" hidden="1">#REF!</definedName>
    <definedName name="RL2H" localSheetId="3" hidden="1">#REF!</definedName>
    <definedName name="RL2H" localSheetId="4" hidden="1">#REF!</definedName>
    <definedName name="RL2H" hidden="1">#REF!</definedName>
    <definedName name="RL2J" localSheetId="3"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RL2J" localSheetId="2"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RL2J" localSheetId="0"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RL2J" localSheetId="4"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RL2J"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RL2K" localSheetId="3"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RL2K" localSheetId="2"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RL2K" localSheetId="0"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RL2K" localSheetId="4"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RL2K"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RL2M" localSheetId="3" hidden="1">{#N/A,#N/A,FALSE,"NCS INC SCOT";#N/A,#N/A,FALSE,"NCS";#N/A,#N/A,FALSE,"74 NCS";#N/A,#N/A,FALSE,"75 NCS";#N/A,#N/A,FALSE,"76 NCS "}</definedName>
    <definedName name="RL2M" localSheetId="2" hidden="1">{#N/A,#N/A,FALSE,"NCS INC SCOT";#N/A,#N/A,FALSE,"NCS";#N/A,#N/A,FALSE,"74 NCS";#N/A,#N/A,FALSE,"75 NCS";#N/A,#N/A,FALSE,"76 NCS "}</definedName>
    <definedName name="RL2M" localSheetId="0" hidden="1">{#N/A,#N/A,FALSE,"NCS INC SCOT";#N/A,#N/A,FALSE,"NCS";#N/A,#N/A,FALSE,"74 NCS";#N/A,#N/A,FALSE,"75 NCS";#N/A,#N/A,FALSE,"76 NCS "}</definedName>
    <definedName name="RL2M" localSheetId="4" hidden="1">{#N/A,#N/A,FALSE,"NCS INC SCOT";#N/A,#N/A,FALSE,"NCS";#N/A,#N/A,FALSE,"74 NCS";#N/A,#N/A,FALSE,"75 NCS";#N/A,#N/A,FALSE,"76 NCS "}</definedName>
    <definedName name="RL2M" hidden="1">{#N/A,#N/A,FALSE,"NCS INC SCOT";#N/A,#N/A,FALSE,"NCS";#N/A,#N/A,FALSE,"74 NCS";#N/A,#N/A,FALSE,"75 NCS";#N/A,#N/A,FALSE,"76 NCS "}</definedName>
    <definedName name="RL2N" localSheetId="3" hidden="1">{#N/A,#N/A,TRUE,"Prog. Overview Strategic Input";#N/A,#N/A,TRUE,"Program Overview Financials";#N/A,#N/A,TRUE,"Technology Summary Input";#N/A,#N/A,TRUE,"Mkt &amp; Sales Summary Input";#N/A,#N/A,TRUE,"Delivery Summary Input";#N/A,#N/A,TRUE,"Revenue Assump Input";#N/A,#N/A,TRUE,"Financial Summary"}</definedName>
    <definedName name="RL2N" localSheetId="2" hidden="1">{#N/A,#N/A,TRUE,"Prog. Overview Strategic Input";#N/A,#N/A,TRUE,"Program Overview Financials";#N/A,#N/A,TRUE,"Technology Summary Input";#N/A,#N/A,TRUE,"Mkt &amp; Sales Summary Input";#N/A,#N/A,TRUE,"Delivery Summary Input";#N/A,#N/A,TRUE,"Revenue Assump Input";#N/A,#N/A,TRUE,"Financial Summary"}</definedName>
    <definedName name="RL2N" localSheetId="0" hidden="1">{#N/A,#N/A,TRUE,"Prog. Overview Strategic Input";#N/A,#N/A,TRUE,"Program Overview Financials";#N/A,#N/A,TRUE,"Technology Summary Input";#N/A,#N/A,TRUE,"Mkt &amp; Sales Summary Input";#N/A,#N/A,TRUE,"Delivery Summary Input";#N/A,#N/A,TRUE,"Revenue Assump Input";#N/A,#N/A,TRUE,"Financial Summary"}</definedName>
    <definedName name="RL2N" localSheetId="4" hidden="1">{#N/A,#N/A,TRUE,"Prog. Overview Strategic Input";#N/A,#N/A,TRUE,"Program Overview Financials";#N/A,#N/A,TRUE,"Technology Summary Input";#N/A,#N/A,TRUE,"Mkt &amp; Sales Summary Input";#N/A,#N/A,TRUE,"Delivery Summary Input";#N/A,#N/A,TRUE,"Revenue Assump Input";#N/A,#N/A,TRUE,"Financial Summary"}</definedName>
    <definedName name="RL2N" hidden="1">{#N/A,#N/A,TRUE,"Prog. Overview Strategic Input";#N/A,#N/A,TRUE,"Program Overview Financials";#N/A,#N/A,TRUE,"Technology Summary Input";#N/A,#N/A,TRUE,"Mkt &amp; Sales Summary Input";#N/A,#N/A,TRUE,"Delivery Summary Input";#N/A,#N/A,TRUE,"Revenue Assump Input";#N/A,#N/A,TRUE,"Financial Summary"}</definedName>
    <definedName name="RL2O" localSheetId="3" hidden="1">{#N/A,#N/A,TRUE,"Prog. Overview Strategic Input";#N/A,#N/A,TRUE,"Program Overview Financials";#N/A,#N/A,TRUE,"Technology Summary Input";#N/A,#N/A,TRUE,"Mkt &amp; Sales Summary Input";#N/A,#N/A,TRUE,"Delivery Summary Input";#N/A,#N/A,TRUE,"Revenue Assump Input";#N/A,#N/A,TRUE,"Financial Summary"}</definedName>
    <definedName name="RL2O" localSheetId="2" hidden="1">{#N/A,#N/A,TRUE,"Prog. Overview Strategic Input";#N/A,#N/A,TRUE,"Program Overview Financials";#N/A,#N/A,TRUE,"Technology Summary Input";#N/A,#N/A,TRUE,"Mkt &amp; Sales Summary Input";#N/A,#N/A,TRUE,"Delivery Summary Input";#N/A,#N/A,TRUE,"Revenue Assump Input";#N/A,#N/A,TRUE,"Financial Summary"}</definedName>
    <definedName name="RL2O" localSheetId="0" hidden="1">{#N/A,#N/A,TRUE,"Prog. Overview Strategic Input";#N/A,#N/A,TRUE,"Program Overview Financials";#N/A,#N/A,TRUE,"Technology Summary Input";#N/A,#N/A,TRUE,"Mkt &amp; Sales Summary Input";#N/A,#N/A,TRUE,"Delivery Summary Input";#N/A,#N/A,TRUE,"Revenue Assump Input";#N/A,#N/A,TRUE,"Financial Summary"}</definedName>
    <definedName name="RL2O" localSheetId="4" hidden="1">{#N/A,#N/A,TRUE,"Prog. Overview Strategic Input";#N/A,#N/A,TRUE,"Program Overview Financials";#N/A,#N/A,TRUE,"Technology Summary Input";#N/A,#N/A,TRUE,"Mkt &amp; Sales Summary Input";#N/A,#N/A,TRUE,"Delivery Summary Input";#N/A,#N/A,TRUE,"Revenue Assump Input";#N/A,#N/A,TRUE,"Financial Summary"}</definedName>
    <definedName name="RL2O" hidden="1">{#N/A,#N/A,TRUE,"Prog. Overview Strategic Input";#N/A,#N/A,TRUE,"Program Overview Financials";#N/A,#N/A,TRUE,"Technology Summary Input";#N/A,#N/A,TRUE,"Mkt &amp; Sales Summary Input";#N/A,#N/A,TRUE,"Delivery Summary Input";#N/A,#N/A,TRUE,"Revenue Assump Input";#N/A,#N/A,TRUE,"Financial Summary"}</definedName>
    <definedName name="S" localSheetId="3" hidden="1">#REF!</definedName>
    <definedName name="S" localSheetId="4" hidden="1">#REF!</definedName>
    <definedName name="S" hidden="1">#REF!</definedName>
    <definedName name="sdD" localSheetId="3" hidden="1">#REF!</definedName>
    <definedName name="sdD" localSheetId="4" hidden="1">#REF!</definedName>
    <definedName name="sdD" hidden="1">#REF!</definedName>
    <definedName name="sddd" localSheetId="3" hidden="1">#REF!</definedName>
    <definedName name="sddd" localSheetId="4" hidden="1">#REF!</definedName>
    <definedName name="sddd" hidden="1">#REF!</definedName>
    <definedName name="sdgfdszghdshedh" localSheetId="3" hidden="1">#REF!</definedName>
    <definedName name="sdgfdszghdshedh" localSheetId="4" hidden="1">#REF!</definedName>
    <definedName name="sdgfdszghdshedh" hidden="1">#REF!</definedName>
    <definedName name="Sec" localSheetId="3" hidden="1">{"Budget Summary",#N/A,FALSE,"Sheet1";"Calendarization",#N/A,FALSE,"Sheet1";"Starting Personnel",#N/A,FALSE,"Sheet1"}</definedName>
    <definedName name="Sec" localSheetId="2" hidden="1">{"Budget Summary",#N/A,FALSE,"Sheet1";"Calendarization",#N/A,FALSE,"Sheet1";"Starting Personnel",#N/A,FALSE,"Sheet1"}</definedName>
    <definedName name="Sec" localSheetId="0" hidden="1">{"Budget Summary",#N/A,FALSE,"Sheet1";"Calendarization",#N/A,FALSE,"Sheet1";"Starting Personnel",#N/A,FALSE,"Sheet1"}</definedName>
    <definedName name="Sec" localSheetId="4" hidden="1">{"Budget Summary",#N/A,FALSE,"Sheet1";"Calendarization",#N/A,FALSE,"Sheet1";"Starting Personnel",#N/A,FALSE,"Sheet1"}</definedName>
    <definedName name="Sec" hidden="1">{"Budget Summary",#N/A,FALSE,"Sheet1";"Calendarization",#N/A,FALSE,"Sheet1";"Starting Personnel",#N/A,FALSE,"Sheet1"}</definedName>
    <definedName name="skdn" localSheetId="3" hidden="1">{"key inputs",#N/A,TRUE,"Key Inputs";"key outputs",#N/A,TRUE,"Outputs";"Other inputs",#N/A,TRUE,"Other Inputs";"Revenue",#N/A,TRUE,"Rev"}</definedName>
    <definedName name="skdn" localSheetId="2" hidden="1">{"key inputs",#N/A,TRUE,"Key Inputs";"key outputs",#N/A,TRUE,"Outputs";"Other inputs",#N/A,TRUE,"Other Inputs";"Revenue",#N/A,TRUE,"Rev"}</definedName>
    <definedName name="skdn" localSheetId="0" hidden="1">{"key inputs",#N/A,TRUE,"Key Inputs";"key outputs",#N/A,TRUE,"Outputs";"Other inputs",#N/A,TRUE,"Other Inputs";"Revenue",#N/A,TRUE,"Rev"}</definedName>
    <definedName name="skdn" localSheetId="4" hidden="1">{"key inputs",#N/A,TRUE,"Key Inputs";"key outputs",#N/A,TRUE,"Outputs";"Other inputs",#N/A,TRUE,"Other Inputs";"Revenue",#N/A,TRUE,"Rev"}</definedName>
    <definedName name="skdn" hidden="1">{"key inputs",#N/A,TRUE,"Key Inputs";"key outputs",#N/A,TRUE,"Outputs";"Other inputs",#N/A,TRUE,"Other Inputs";"Revenue",#N/A,TRUE,"Rev"}</definedName>
    <definedName name="Slicer_Department__Name__dRofus">#N/A</definedName>
    <definedName name="Slicer_Equipment_Category">#N/A</definedName>
    <definedName name="Slicer_Equipment_Type">#N/A</definedName>
    <definedName name="solver_cvg" hidden="1">0.001</definedName>
    <definedName name="solver_drv" hidden="1">1</definedName>
    <definedName name="solver_est" hidden="1">1</definedName>
    <definedName name="solver_itr" hidden="1">100</definedName>
    <definedName name="solver_lin" hidden="1">2</definedName>
    <definedName name="solver_neg" hidden="1">2</definedName>
    <definedName name="solver_num" hidden="1">1</definedName>
    <definedName name="solver_nwt" hidden="1">1</definedName>
    <definedName name="solver_pre" hidden="1">0.000001</definedName>
    <definedName name="solver_rel1" hidden="1">2</definedName>
    <definedName name="solver_rhs1" hidden="1">0</definedName>
    <definedName name="solver_scl" hidden="1">2</definedName>
    <definedName name="solver_sho" hidden="1">2</definedName>
    <definedName name="solver_tim" hidden="1">100</definedName>
    <definedName name="solver_tol" hidden="1">0.05</definedName>
    <definedName name="solver_typ" hidden="1">2</definedName>
    <definedName name="solver_val" hidden="1">0</definedName>
    <definedName name="SORT1" localSheetId="3" hidden="1">#REF!</definedName>
    <definedName name="SORT1" localSheetId="4" hidden="1">#REF!</definedName>
    <definedName name="SORT1" hidden="1">#REF!</definedName>
    <definedName name="SS" localSheetId="3" hidden="1">{#N/A,#N/A,TRUE,"Proposal";#N/A,#N/A,TRUE,"Assumptions";#N/A,#N/A,TRUE,"Net Income";#N/A,#N/A,TRUE,"Balsheet";#N/A,#N/A,TRUE,"Capex";#N/A,#N/A,TRUE,"Volumes";#N/A,#N/A,TRUE,"Revenues";#N/A,#N/A,TRUE,"Var.Costs";#N/A,#N/A,TRUE,"Personnel";#N/A,#N/A,TRUE,"Other costs";#N/A,#N/A,TRUE,"MKTG and G&amp;A"}</definedName>
    <definedName name="SS" localSheetId="2" hidden="1">{#N/A,#N/A,TRUE,"Proposal";#N/A,#N/A,TRUE,"Assumptions";#N/A,#N/A,TRUE,"Net Income";#N/A,#N/A,TRUE,"Balsheet";#N/A,#N/A,TRUE,"Capex";#N/A,#N/A,TRUE,"Volumes";#N/A,#N/A,TRUE,"Revenues";#N/A,#N/A,TRUE,"Var.Costs";#N/A,#N/A,TRUE,"Personnel";#N/A,#N/A,TRUE,"Other costs";#N/A,#N/A,TRUE,"MKTG and G&amp;A"}</definedName>
    <definedName name="SS" localSheetId="0" hidden="1">{#N/A,#N/A,TRUE,"Proposal";#N/A,#N/A,TRUE,"Assumptions";#N/A,#N/A,TRUE,"Net Income";#N/A,#N/A,TRUE,"Balsheet";#N/A,#N/A,TRUE,"Capex";#N/A,#N/A,TRUE,"Volumes";#N/A,#N/A,TRUE,"Revenues";#N/A,#N/A,TRUE,"Var.Costs";#N/A,#N/A,TRUE,"Personnel";#N/A,#N/A,TRUE,"Other costs";#N/A,#N/A,TRUE,"MKTG and G&amp;A"}</definedName>
    <definedName name="SS" localSheetId="4" hidden="1">{#N/A,#N/A,TRUE,"Proposal";#N/A,#N/A,TRUE,"Assumptions";#N/A,#N/A,TRUE,"Net Income";#N/A,#N/A,TRUE,"Balsheet";#N/A,#N/A,TRUE,"Capex";#N/A,#N/A,TRUE,"Volumes";#N/A,#N/A,TRUE,"Revenues";#N/A,#N/A,TRUE,"Var.Costs";#N/A,#N/A,TRUE,"Personnel";#N/A,#N/A,TRUE,"Other costs";#N/A,#N/A,TRUE,"MKTG and G&amp;A"}</definedName>
    <definedName name="SS" hidden="1">{#N/A,#N/A,TRUE,"Proposal";#N/A,#N/A,TRUE,"Assumptions";#N/A,#N/A,TRUE,"Net Income";#N/A,#N/A,TRUE,"Balsheet";#N/A,#N/A,TRUE,"Capex";#N/A,#N/A,TRUE,"Volumes";#N/A,#N/A,TRUE,"Revenues";#N/A,#N/A,TRUE,"Var.Costs";#N/A,#N/A,TRUE,"Personnel";#N/A,#N/A,TRUE,"Other costs";#N/A,#N/A,TRUE,"MKTG and G&amp;A"}</definedName>
    <definedName name="SSS" localSheetId="3"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SSS" localSheetId="2"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SSS" localSheetId="0"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SSS" localSheetId="4"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SSS"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SsSS" localSheetId="3" hidden="1">#REF!</definedName>
    <definedName name="SsSS" localSheetId="4" hidden="1">#REF!</definedName>
    <definedName name="SsSS" hidden="1">#REF!</definedName>
    <definedName name="sssss" hidden="1">#N/A</definedName>
    <definedName name="ssxx" localSheetId="3" hidden="1">#REF!</definedName>
    <definedName name="ssxx" localSheetId="4" hidden="1">#REF!</definedName>
    <definedName name="ssxx" hidden="1">#REF!</definedName>
    <definedName name="supply" localSheetId="3" hidden="1">#REF!</definedName>
    <definedName name="supply" localSheetId="4" hidden="1">#REF!</definedName>
    <definedName name="supply" hidden="1">#REF!</definedName>
    <definedName name="susan" localSheetId="3" hidden="1">#REF!</definedName>
    <definedName name="susan" localSheetId="4" hidden="1">#REF!</definedName>
    <definedName name="susan" hidden="1">#REF!</definedName>
    <definedName name="susan2" localSheetId="3" hidden="1">#REF!</definedName>
    <definedName name="susan2" localSheetId="4" hidden="1">#REF!</definedName>
    <definedName name="susan2" hidden="1">#REF!</definedName>
    <definedName name="t" localSheetId="3" hidden="1">#REF!</definedName>
    <definedName name="t" localSheetId="4" hidden="1">#REF!</definedName>
    <definedName name="t" hidden="1">#REF!</definedName>
    <definedName name="TEst" hidden="1">#REF!</definedName>
    <definedName name="Test2" hidden="1">#REF!</definedName>
    <definedName name="Therion" localSheetId="3" hidden="1">{#N/A,#N/A,TRUE,"Prog. Overview Strategic Input";#N/A,#N/A,TRUE,"Program Overview Financials";#N/A,#N/A,TRUE,"Technology Summary Input";#N/A,#N/A,TRUE,"Mkt &amp; Sales Summary Input";#N/A,#N/A,TRUE,"Delivery Summary Input";#N/A,#N/A,TRUE,"Revenue Assump Input";#N/A,#N/A,TRUE,"Financial Summary"}</definedName>
    <definedName name="Therion" localSheetId="2" hidden="1">{#N/A,#N/A,TRUE,"Prog. Overview Strategic Input";#N/A,#N/A,TRUE,"Program Overview Financials";#N/A,#N/A,TRUE,"Technology Summary Input";#N/A,#N/A,TRUE,"Mkt &amp; Sales Summary Input";#N/A,#N/A,TRUE,"Delivery Summary Input";#N/A,#N/A,TRUE,"Revenue Assump Input";#N/A,#N/A,TRUE,"Financial Summary"}</definedName>
    <definedName name="Therion" localSheetId="0" hidden="1">{#N/A,#N/A,TRUE,"Prog. Overview Strategic Input";#N/A,#N/A,TRUE,"Program Overview Financials";#N/A,#N/A,TRUE,"Technology Summary Input";#N/A,#N/A,TRUE,"Mkt &amp; Sales Summary Input";#N/A,#N/A,TRUE,"Delivery Summary Input";#N/A,#N/A,TRUE,"Revenue Assump Input";#N/A,#N/A,TRUE,"Financial Summary"}</definedName>
    <definedName name="Therion" localSheetId="4" hidden="1">{#N/A,#N/A,TRUE,"Prog. Overview Strategic Input";#N/A,#N/A,TRUE,"Program Overview Financials";#N/A,#N/A,TRUE,"Technology Summary Input";#N/A,#N/A,TRUE,"Mkt &amp; Sales Summary Input";#N/A,#N/A,TRUE,"Delivery Summary Input";#N/A,#N/A,TRUE,"Revenue Assump Input";#N/A,#N/A,TRUE,"Financial Summary"}</definedName>
    <definedName name="Therion" hidden="1">{#N/A,#N/A,TRUE,"Prog. Overview Strategic Input";#N/A,#N/A,TRUE,"Program Overview Financials";#N/A,#N/A,TRUE,"Technology Summary Input";#N/A,#N/A,TRUE,"Mkt &amp; Sales Summary Input";#N/A,#N/A,TRUE,"Delivery Summary Input";#N/A,#N/A,TRUE,"Revenue Assump Input";#N/A,#N/A,TRUE,"Financial Summary"}</definedName>
    <definedName name="TMSSS" localSheetId="3" hidden="1">#REF!</definedName>
    <definedName name="TMSSS" localSheetId="4" hidden="1">#REF!</definedName>
    <definedName name="TMSSS" hidden="1">#REF!</definedName>
    <definedName name="Topaz2_PL" localSheetId="3" hidden="1">{#N/A,#N/A,TRUE,"Prog. Overview Strategic Input";#N/A,#N/A,TRUE,"Program Overview Financials";#N/A,#N/A,TRUE,"Technology Summary Input";#N/A,#N/A,TRUE,"Mkt &amp; Sales Summary Input";#N/A,#N/A,TRUE,"Delivery Summary Input";#N/A,#N/A,TRUE,"Revenue Assump Input";#N/A,#N/A,TRUE,"Financial Summary"}</definedName>
    <definedName name="Topaz2_PL" localSheetId="2" hidden="1">{#N/A,#N/A,TRUE,"Prog. Overview Strategic Input";#N/A,#N/A,TRUE,"Program Overview Financials";#N/A,#N/A,TRUE,"Technology Summary Input";#N/A,#N/A,TRUE,"Mkt &amp; Sales Summary Input";#N/A,#N/A,TRUE,"Delivery Summary Input";#N/A,#N/A,TRUE,"Revenue Assump Input";#N/A,#N/A,TRUE,"Financial Summary"}</definedName>
    <definedName name="Topaz2_PL" localSheetId="0" hidden="1">{#N/A,#N/A,TRUE,"Prog. Overview Strategic Input";#N/A,#N/A,TRUE,"Program Overview Financials";#N/A,#N/A,TRUE,"Technology Summary Input";#N/A,#N/A,TRUE,"Mkt &amp; Sales Summary Input";#N/A,#N/A,TRUE,"Delivery Summary Input";#N/A,#N/A,TRUE,"Revenue Assump Input";#N/A,#N/A,TRUE,"Financial Summary"}</definedName>
    <definedName name="Topaz2_PL" localSheetId="4" hidden="1">{#N/A,#N/A,TRUE,"Prog. Overview Strategic Input";#N/A,#N/A,TRUE,"Program Overview Financials";#N/A,#N/A,TRUE,"Technology Summary Input";#N/A,#N/A,TRUE,"Mkt &amp; Sales Summary Input";#N/A,#N/A,TRUE,"Delivery Summary Input";#N/A,#N/A,TRUE,"Revenue Assump Input";#N/A,#N/A,TRUE,"Financial Summary"}</definedName>
    <definedName name="Topaz2_PL" hidden="1">{#N/A,#N/A,TRUE,"Prog. Overview Strategic Input";#N/A,#N/A,TRUE,"Program Overview Financials";#N/A,#N/A,TRUE,"Technology Summary Input";#N/A,#N/A,TRUE,"Mkt &amp; Sales Summary Input";#N/A,#N/A,TRUE,"Delivery Summary Input";#N/A,#N/A,TRUE,"Revenue Assump Input";#N/A,#N/A,TRUE,"Financial Summary"}</definedName>
    <definedName name="ttt" localSheetId="3" hidden="1">#REF!</definedName>
    <definedName name="ttt" localSheetId="4" hidden="1">#REF!</definedName>
    <definedName name="ttt" hidden="1">#REF!</definedName>
    <definedName name="ttttt" localSheetId="3" hidden="1">#REF!</definedName>
    <definedName name="ttttt" localSheetId="4" hidden="1">#REF!</definedName>
    <definedName name="ttttt" hidden="1">#REF!</definedName>
    <definedName name="UNI_FILT_OFFSPEC" hidden="1">2</definedName>
    <definedName name="UNI_FILT_ONSPEC" hidden="1">1</definedName>
    <definedName name="UNI_NOTHING" hidden="1">0</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OUTLIERS" hidden="1">32</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v" localSheetId="3" hidden="1">{#N/A,#N/A,TRUE,"Prog. Overview Strategic Input";#N/A,#N/A,TRUE,"Program Overview Financials";#N/A,#N/A,TRUE,"Technology Summary Input";#N/A,#N/A,TRUE,"Mkt &amp; Sales Summary Input";#N/A,#N/A,TRUE,"Delivery Summary Input";#N/A,#N/A,TRUE,"Revenue Assump Input";#N/A,#N/A,TRUE,"Financial Summary"}</definedName>
    <definedName name="v" localSheetId="2" hidden="1">{#N/A,#N/A,TRUE,"Prog. Overview Strategic Input";#N/A,#N/A,TRUE,"Program Overview Financials";#N/A,#N/A,TRUE,"Technology Summary Input";#N/A,#N/A,TRUE,"Mkt &amp; Sales Summary Input";#N/A,#N/A,TRUE,"Delivery Summary Input";#N/A,#N/A,TRUE,"Revenue Assump Input";#N/A,#N/A,TRUE,"Financial Summary"}</definedName>
    <definedName name="v" localSheetId="0" hidden="1">{#N/A,#N/A,TRUE,"Prog. Overview Strategic Input";#N/A,#N/A,TRUE,"Program Overview Financials";#N/A,#N/A,TRUE,"Technology Summary Input";#N/A,#N/A,TRUE,"Mkt &amp; Sales Summary Input";#N/A,#N/A,TRUE,"Delivery Summary Input";#N/A,#N/A,TRUE,"Revenue Assump Input";#N/A,#N/A,TRUE,"Financial Summary"}</definedName>
    <definedName name="v" localSheetId="4" hidden="1">{#N/A,#N/A,TRUE,"Prog. Overview Strategic Input";#N/A,#N/A,TRUE,"Program Overview Financials";#N/A,#N/A,TRUE,"Technology Summary Input";#N/A,#N/A,TRUE,"Mkt &amp; Sales Summary Input";#N/A,#N/A,TRUE,"Delivery Summary Input";#N/A,#N/A,TRUE,"Revenue Assump Input";#N/A,#N/A,TRUE,"Financial Summary"}</definedName>
    <definedName name="v" hidden="1">{#N/A,#N/A,TRUE,"Prog. Overview Strategic Input";#N/A,#N/A,TRUE,"Program Overview Financials";#N/A,#N/A,TRUE,"Technology Summary Input";#N/A,#N/A,TRUE,"Mkt &amp; Sales Summary Input";#N/A,#N/A,TRUE,"Delivery Summary Input";#N/A,#N/A,TRUE,"Revenue Assump Input";#N/A,#N/A,TRUE,"Financial Summary"}</definedName>
    <definedName name="w" localSheetId="3" hidden="1">#REF!</definedName>
    <definedName name="w" localSheetId="4" hidden="1">#REF!</definedName>
    <definedName name="w" hidden="1">#REF!</definedName>
    <definedName name="wat" localSheetId="3"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wat" localSheetId="2"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wat" localSheetId="0"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wat" localSheetId="4"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wat"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we" localSheetId="3" hidden="1">#REF!</definedName>
    <definedName name="we" localSheetId="4" hidden="1">#REF!</definedName>
    <definedName name="we" hidden="1">#REF!</definedName>
    <definedName name="Weekends" localSheetId="3" hidden="1">#REF!</definedName>
    <definedName name="Weekends" localSheetId="4" hidden="1">#REF!</definedName>
    <definedName name="Weekends" hidden="1">#REF!</definedName>
    <definedName name="wrn.15._.pager." localSheetId="3" hidden="1">{#N/A,#N/A,TRUE,"1-Summary";#N/A,#N/A,TRUE,"2-Mob";#N/A,#N/A,TRUE,"3-Demob";#N/A,#N/A,TRUE,"4 - Transition";#N/A,#N/A,TRUE,"5-Contract Imp.";#N/A,#N/A,TRUE,"6-Wages prod.";#N/A,#N/A,TRUE,"7-wages nonprod.";#N/A,#N/A,TRUE,"8-Staff";#N/A,#N/A,TRUE,"9-Site running costs";#N/A,#N/A,TRUE,"10-Fees";#N/A,#N/A,TRUE,"11-Materials";#N/A,#N/A,TRUE,"12-Subcontracts";#N/A,#N/A,TRUE,"13-Plant hire";#N/A,#N/A,TRUE,"14-Equip leased";#N/A,#N/A,TRUE,"15-Small tools, cons";#N/A,#N/A,TRUE,"16-Shared Services"}</definedName>
    <definedName name="wrn.15._.pager." localSheetId="2" hidden="1">{#N/A,#N/A,TRUE,"1-Summary";#N/A,#N/A,TRUE,"2-Mob";#N/A,#N/A,TRUE,"3-Demob";#N/A,#N/A,TRUE,"4 - Transition";#N/A,#N/A,TRUE,"5-Contract Imp.";#N/A,#N/A,TRUE,"6-Wages prod.";#N/A,#N/A,TRUE,"7-wages nonprod.";#N/A,#N/A,TRUE,"8-Staff";#N/A,#N/A,TRUE,"9-Site running costs";#N/A,#N/A,TRUE,"10-Fees";#N/A,#N/A,TRUE,"11-Materials";#N/A,#N/A,TRUE,"12-Subcontracts";#N/A,#N/A,TRUE,"13-Plant hire";#N/A,#N/A,TRUE,"14-Equip leased";#N/A,#N/A,TRUE,"15-Small tools, cons";#N/A,#N/A,TRUE,"16-Shared Services"}</definedName>
    <definedName name="wrn.15._.pager." localSheetId="0" hidden="1">{#N/A,#N/A,TRUE,"1-Summary";#N/A,#N/A,TRUE,"2-Mob";#N/A,#N/A,TRUE,"3-Demob";#N/A,#N/A,TRUE,"4 - Transition";#N/A,#N/A,TRUE,"5-Contract Imp.";#N/A,#N/A,TRUE,"6-Wages prod.";#N/A,#N/A,TRUE,"7-wages nonprod.";#N/A,#N/A,TRUE,"8-Staff";#N/A,#N/A,TRUE,"9-Site running costs";#N/A,#N/A,TRUE,"10-Fees";#N/A,#N/A,TRUE,"11-Materials";#N/A,#N/A,TRUE,"12-Subcontracts";#N/A,#N/A,TRUE,"13-Plant hire";#N/A,#N/A,TRUE,"14-Equip leased";#N/A,#N/A,TRUE,"15-Small tools, cons";#N/A,#N/A,TRUE,"16-Shared Services"}</definedName>
    <definedName name="wrn.15._.pager." localSheetId="4" hidden="1">{#N/A,#N/A,TRUE,"1-Summary";#N/A,#N/A,TRUE,"2-Mob";#N/A,#N/A,TRUE,"3-Demob";#N/A,#N/A,TRUE,"4 - Transition";#N/A,#N/A,TRUE,"5-Contract Imp.";#N/A,#N/A,TRUE,"6-Wages prod.";#N/A,#N/A,TRUE,"7-wages nonprod.";#N/A,#N/A,TRUE,"8-Staff";#N/A,#N/A,TRUE,"9-Site running costs";#N/A,#N/A,TRUE,"10-Fees";#N/A,#N/A,TRUE,"11-Materials";#N/A,#N/A,TRUE,"12-Subcontracts";#N/A,#N/A,TRUE,"13-Plant hire";#N/A,#N/A,TRUE,"14-Equip leased";#N/A,#N/A,TRUE,"15-Small tools, cons";#N/A,#N/A,TRUE,"16-Shared Services"}</definedName>
    <definedName name="wrn.15._.pager." hidden="1">{#N/A,#N/A,TRUE,"1-Summary";#N/A,#N/A,TRUE,"2-Mob";#N/A,#N/A,TRUE,"3-Demob";#N/A,#N/A,TRUE,"4 - Transition";#N/A,#N/A,TRUE,"5-Contract Imp.";#N/A,#N/A,TRUE,"6-Wages prod.";#N/A,#N/A,TRUE,"7-wages nonprod.";#N/A,#N/A,TRUE,"8-Staff";#N/A,#N/A,TRUE,"9-Site running costs";#N/A,#N/A,TRUE,"10-Fees";#N/A,#N/A,TRUE,"11-Materials";#N/A,#N/A,TRUE,"12-Subcontracts";#N/A,#N/A,TRUE,"13-Plant hire";#N/A,#N/A,TRUE,"14-Equip leased";#N/A,#N/A,TRUE,"15-Small tools, cons";#N/A,#N/A,TRUE,"16-Shared Services"}</definedName>
    <definedName name="wrn.95._.Plan." localSheetId="3" hidden="1">{"Budget Summary",#N/A,FALSE,"Sheet1";"Calendarization",#N/A,FALSE,"Sheet1";"Starting Personnel",#N/A,FALSE,"Sheet1"}</definedName>
    <definedName name="wrn.95._.Plan." localSheetId="2" hidden="1">{"Budget Summary",#N/A,FALSE,"Sheet1";"Calendarization",#N/A,FALSE,"Sheet1";"Starting Personnel",#N/A,FALSE,"Sheet1"}</definedName>
    <definedName name="wrn.95._.Plan." localSheetId="0" hidden="1">{"Budget Summary",#N/A,FALSE,"Sheet1";"Calendarization",#N/A,FALSE,"Sheet1";"Starting Personnel",#N/A,FALSE,"Sheet1"}</definedName>
    <definedName name="wrn.95._.Plan." localSheetId="4" hidden="1">{"Budget Summary",#N/A,FALSE,"Sheet1";"Calendarization",#N/A,FALSE,"Sheet1";"Starting Personnel",#N/A,FALSE,"Sheet1"}</definedName>
    <definedName name="wrn.95._.Plan." hidden="1">{"Budget Summary",#N/A,FALSE,"Sheet1";"Calendarization",#N/A,FALSE,"Sheet1";"Starting Personnel",#N/A,FALSE,"Sheet1"}</definedName>
    <definedName name="wrn.Accounts._.schedules." localSheetId="3"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ccounts._.schedules." localSheetId="2"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ccounts._.schedules." localSheetId="0"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ccounts._.schedules." localSheetId="4"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ccounts._.schedules."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ll._.schedules." localSheetId="3"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All._.schedules." localSheetId="2"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All._.schedules." localSheetId="0"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All._.schedules." localSheetId="4"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All._.schedules."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COSTMODEL." localSheetId="3" hidden="1">{#N/A,#N/A,TRUE,"Main";#N/A,#N/A,TRUE,"Vehicle Costs";#N/A,#N/A,TRUE,"IT Hardware";#N/A,#N/A,TRUE,"Financial";#N/A,#N/A,TRUE,"Cost Break-down"}</definedName>
    <definedName name="wrn.COSTMODEL." localSheetId="2" hidden="1">{#N/A,#N/A,TRUE,"Main";#N/A,#N/A,TRUE,"Vehicle Costs";#N/A,#N/A,TRUE,"IT Hardware";#N/A,#N/A,TRUE,"Financial";#N/A,#N/A,TRUE,"Cost Break-down"}</definedName>
    <definedName name="wrn.COSTMODEL." localSheetId="0" hidden="1">{#N/A,#N/A,TRUE,"Main";#N/A,#N/A,TRUE,"Vehicle Costs";#N/A,#N/A,TRUE,"IT Hardware";#N/A,#N/A,TRUE,"Financial";#N/A,#N/A,TRUE,"Cost Break-down"}</definedName>
    <definedName name="wrn.COSTMODEL." localSheetId="4" hidden="1">{#N/A,#N/A,TRUE,"Main";#N/A,#N/A,TRUE,"Vehicle Costs";#N/A,#N/A,TRUE,"IT Hardware";#N/A,#N/A,TRUE,"Financial";#N/A,#N/A,TRUE,"Cost Break-down"}</definedName>
    <definedName name="wrn.COSTMODEL." hidden="1">{#N/A,#N/A,TRUE,"Main";#N/A,#N/A,TRUE,"Vehicle Costs";#N/A,#N/A,TRUE,"IT Hardware";#N/A,#N/A,TRUE,"Financial";#N/A,#N/A,TRUE,"Cost Break-down"}</definedName>
    <definedName name="wrn.Danilo." localSheetId="3" hidden="1">{#N/A,#N/A,TRUE,"Main Issues";#N/A,#N/A,TRUE,"Income statement ($)"}</definedName>
    <definedName name="wrn.Danilo." localSheetId="2" hidden="1">{#N/A,#N/A,TRUE,"Main Issues";#N/A,#N/A,TRUE,"Income statement ($)"}</definedName>
    <definedName name="wrn.Danilo." localSheetId="0" hidden="1">{#N/A,#N/A,TRUE,"Main Issues";#N/A,#N/A,TRUE,"Income statement ($)"}</definedName>
    <definedName name="wrn.Danilo." localSheetId="4" hidden="1">{#N/A,#N/A,TRUE,"Main Issues";#N/A,#N/A,TRUE,"Income statement ($)"}</definedName>
    <definedName name="wrn.Danilo." hidden="1">{#N/A,#N/A,TRUE,"Main Issues";#N/A,#N/A,TRUE,"Income statement ($)"}</definedName>
    <definedName name="wrn.Earnings._.Model." localSheetId="3"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localSheetId="2"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localSheetId="0"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localSheetId="4"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BITDA._.Print._.Range." localSheetId="3" hidden="1">{"EBITDA Print Range",#N/A,FALSE,"EBITDA"}</definedName>
    <definedName name="wrn.EBITDA._.Print._.Range." localSheetId="2" hidden="1">{"EBITDA Print Range",#N/A,FALSE,"EBITDA"}</definedName>
    <definedName name="wrn.EBITDA._.Print._.Range." localSheetId="0" hidden="1">{"EBITDA Print Range",#N/A,FALSE,"EBITDA"}</definedName>
    <definedName name="wrn.EBITDA._.Print._.Range." localSheetId="4" hidden="1">{"EBITDA Print Range",#N/A,FALSE,"EBITDA"}</definedName>
    <definedName name="wrn.EBITDA._.Print._.Range." hidden="1">{"EBITDA Print Range",#N/A,FALSE,"EBITDA"}</definedName>
    <definedName name="wrn.EBITDA._.Print._.Range._2" localSheetId="3" hidden="1">{"EBITDA Print Range",#N/A,FALSE,"EBITDA"}</definedName>
    <definedName name="wrn.EBITDA._.Print._.Range._2" localSheetId="2" hidden="1">{"EBITDA Print Range",#N/A,FALSE,"EBITDA"}</definedName>
    <definedName name="wrn.EBITDA._.Print._.Range._2" localSheetId="0" hidden="1">{"EBITDA Print Range",#N/A,FALSE,"EBITDA"}</definedName>
    <definedName name="wrn.EBITDA._.Print._.Range._2" localSheetId="4" hidden="1">{"EBITDA Print Range",#N/A,FALSE,"EBITDA"}</definedName>
    <definedName name="wrn.EBITDA._.Print._.Range._2" hidden="1">{"EBITDA Print Range",#N/A,FALSE,"EBITDA"}</definedName>
    <definedName name="wrn.EBITDA._.Print._.Range._2_1" localSheetId="3" hidden="1">{"EBITDA Print Range",#N/A,FALSE,"EBITDA"}</definedName>
    <definedName name="wrn.EBITDA._.Print._.Range._2_1" localSheetId="2" hidden="1">{"EBITDA Print Range",#N/A,FALSE,"EBITDA"}</definedName>
    <definedName name="wrn.EBITDA._.Print._.Range._2_1" localSheetId="0" hidden="1">{"EBITDA Print Range",#N/A,FALSE,"EBITDA"}</definedName>
    <definedName name="wrn.EBITDA._.Print._.Range._2_1" localSheetId="4" hidden="1">{"EBITDA Print Range",#N/A,FALSE,"EBITDA"}</definedName>
    <definedName name="wrn.EBITDA._.Print._.Range._2_1" hidden="1">{"EBITDA Print Range",#N/A,FALSE,"EBITDA"}</definedName>
    <definedName name="wrn.EBITDA._.Print._.Range._3" localSheetId="3" hidden="1">{"EBITDA Print Range",#N/A,FALSE,"EBITDA"}</definedName>
    <definedName name="wrn.EBITDA._.Print._.Range._3" localSheetId="2" hidden="1">{"EBITDA Print Range",#N/A,FALSE,"EBITDA"}</definedName>
    <definedName name="wrn.EBITDA._.Print._.Range._3" localSheetId="0" hidden="1">{"EBITDA Print Range",#N/A,FALSE,"EBITDA"}</definedName>
    <definedName name="wrn.EBITDA._.Print._.Range._3" localSheetId="4" hidden="1">{"EBITDA Print Range",#N/A,FALSE,"EBITDA"}</definedName>
    <definedName name="wrn.EBITDA._.Print._.Range._3" hidden="1">{"EBITDA Print Range",#N/A,FALSE,"EBITDA"}</definedName>
    <definedName name="wrn.fairfax." localSheetId="3" hidden="1">{#N/A,#N/A,TRUE,"Summary";#N/A,#N/A,TRUE,"Year1"}</definedName>
    <definedName name="wrn.fairfax." localSheetId="2" hidden="1">{#N/A,#N/A,TRUE,"Summary";#N/A,#N/A,TRUE,"Year1"}</definedName>
    <definedName name="wrn.fairfax." localSheetId="0" hidden="1">{#N/A,#N/A,TRUE,"Summary";#N/A,#N/A,TRUE,"Year1"}</definedName>
    <definedName name="wrn.fairfax." localSheetId="4" hidden="1">{#N/A,#N/A,TRUE,"Summary";#N/A,#N/A,TRUE,"Year1"}</definedName>
    <definedName name="wrn.fairfax." hidden="1">{#N/A,#N/A,TRUE,"Summary";#N/A,#N/A,TRUE,"Year1"}</definedName>
    <definedName name="wrn.Forecast." localSheetId="3" hidden="1">{#N/A,#N/A,FALSE,"Summary";#N/A,#N/A,FALSE,"Schedule";#N/A,#N/A,FALSE,"Revenue";#N/A,#N/A,FALSE,"Costs";#N/A,#N/A,FALSE,"Plant Sch";#N/A,#N/A,FALSE,"Plant Cost";#N/A,#N/A,FALSE,"Labour"}</definedName>
    <definedName name="wrn.Forecast." localSheetId="2" hidden="1">{#N/A,#N/A,FALSE,"Summary";#N/A,#N/A,FALSE,"Schedule";#N/A,#N/A,FALSE,"Revenue";#N/A,#N/A,FALSE,"Costs";#N/A,#N/A,FALSE,"Plant Sch";#N/A,#N/A,FALSE,"Plant Cost";#N/A,#N/A,FALSE,"Labour"}</definedName>
    <definedName name="wrn.Forecast." localSheetId="0" hidden="1">{#N/A,#N/A,FALSE,"Summary";#N/A,#N/A,FALSE,"Schedule";#N/A,#N/A,FALSE,"Revenue";#N/A,#N/A,FALSE,"Costs";#N/A,#N/A,FALSE,"Plant Sch";#N/A,#N/A,FALSE,"Plant Cost";#N/A,#N/A,FALSE,"Labour"}</definedName>
    <definedName name="wrn.Forecast." localSheetId="4" hidden="1">{#N/A,#N/A,FALSE,"Summary";#N/A,#N/A,FALSE,"Schedule";#N/A,#N/A,FALSE,"Revenue";#N/A,#N/A,FALSE,"Costs";#N/A,#N/A,FALSE,"Plant Sch";#N/A,#N/A,FALSE,"Plant Cost";#N/A,#N/A,FALSE,"Labour"}</definedName>
    <definedName name="wrn.Forecast." hidden="1">{#N/A,#N/A,FALSE,"Summary";#N/A,#N/A,FALSE,"Schedule";#N/A,#N/A,FALSE,"Revenue";#N/A,#N/A,FALSE,"Costs";#N/A,#N/A,FALSE,"Plant Sch";#N/A,#N/A,FALSE,"Plant Cost";#N/A,#N/A,FALSE,"Labour"}</definedName>
    <definedName name="wrn.forecast1" localSheetId="3" hidden="1">{#N/A,#N/A,FALSE,"Summary";#N/A,#N/A,FALSE,"Schedule";#N/A,#N/A,FALSE,"Revenue";#N/A,#N/A,FALSE,"Costs";#N/A,#N/A,FALSE,"Plant Sch";#N/A,#N/A,FALSE,"Plant Cost";#N/A,#N/A,FALSE,"Labour"}</definedName>
    <definedName name="wrn.forecast1" localSheetId="2" hidden="1">{#N/A,#N/A,FALSE,"Summary";#N/A,#N/A,FALSE,"Schedule";#N/A,#N/A,FALSE,"Revenue";#N/A,#N/A,FALSE,"Costs";#N/A,#N/A,FALSE,"Plant Sch";#N/A,#N/A,FALSE,"Plant Cost";#N/A,#N/A,FALSE,"Labour"}</definedName>
    <definedName name="wrn.forecast1" localSheetId="0" hidden="1">{#N/A,#N/A,FALSE,"Summary";#N/A,#N/A,FALSE,"Schedule";#N/A,#N/A,FALSE,"Revenue";#N/A,#N/A,FALSE,"Costs";#N/A,#N/A,FALSE,"Plant Sch";#N/A,#N/A,FALSE,"Plant Cost";#N/A,#N/A,FALSE,"Labour"}</definedName>
    <definedName name="wrn.forecast1" localSheetId="4" hidden="1">{#N/A,#N/A,FALSE,"Summary";#N/A,#N/A,FALSE,"Schedule";#N/A,#N/A,FALSE,"Revenue";#N/A,#N/A,FALSE,"Costs";#N/A,#N/A,FALSE,"Plant Sch";#N/A,#N/A,FALSE,"Plant Cost";#N/A,#N/A,FALSE,"Labour"}</definedName>
    <definedName name="wrn.forecast1" hidden="1">{#N/A,#N/A,FALSE,"Summary";#N/A,#N/A,FALSE,"Schedule";#N/A,#N/A,FALSE,"Revenue";#N/A,#N/A,FALSE,"Costs";#N/A,#N/A,FALSE,"Plant Sch";#N/A,#N/A,FALSE,"Plant Cost";#N/A,#N/A,FALSE,"Labour"}</definedName>
    <definedName name="wrn.Inputs._.outputs." localSheetId="3" hidden="1">{"key inputs",#N/A,FALSE,"Key Inputs";"key outputs",#N/A,FALSE,"Outputs";"Other inputs",#N/A,FALSE,"Other Inputs";"cashflow",#N/A,FALSE,"Statemnts"}</definedName>
    <definedName name="wrn.Inputs._.outputs." localSheetId="2" hidden="1">{"key inputs",#N/A,FALSE,"Key Inputs";"key outputs",#N/A,FALSE,"Outputs";"Other inputs",#N/A,FALSE,"Other Inputs";"cashflow",#N/A,FALSE,"Statemnts"}</definedName>
    <definedName name="wrn.Inputs._.outputs." localSheetId="0" hidden="1">{"key inputs",#N/A,FALSE,"Key Inputs";"key outputs",#N/A,FALSE,"Outputs";"Other inputs",#N/A,FALSE,"Other Inputs";"cashflow",#N/A,FALSE,"Statemnts"}</definedName>
    <definedName name="wrn.Inputs._.outputs." localSheetId="4" hidden="1">{"key inputs",#N/A,FALSE,"Key Inputs";"key outputs",#N/A,FALSE,"Outputs";"Other inputs",#N/A,FALSE,"Other Inputs";"cashflow",#N/A,FALSE,"Statemnts"}</definedName>
    <definedName name="wrn.Inputs._.outputs." hidden="1">{"key inputs",#N/A,FALSE,"Key Inputs";"key outputs",#N/A,FALSE,"Outputs";"Other inputs",#N/A,FALSE,"Other Inputs";"cashflow",#N/A,FALSE,"Statemnts"}</definedName>
    <definedName name="wrn.Landscape._.schs." localSheetId="3" hidden="1">{#N/A,#N/A,FALSE,"Sch10A-C";#N/A,#N/A,FALSE,"Sch10D-F";#N/A,#N/A,FALSE,"Sch10G";#N/A,#N/A,FALSE,"Sch11A";#N/A,#N/A,FALSE,"Sch11B";#N/A,#N/A,FALSE,"FinLeases";#N/A,#N/A,FALSE,"OpLeases";#N/A,#N/A,FALSE,"IntercoyAssets";#N/A,#N/A,FALSE,"IntercoyLiab";#N/A,#N/A,FALSE,"Oseaswsheet";#N/A,#N/A,FALSE,"CGTWsheet"}</definedName>
    <definedName name="wrn.Landscape._.schs." localSheetId="2" hidden="1">{#N/A,#N/A,FALSE,"Sch10A-C";#N/A,#N/A,FALSE,"Sch10D-F";#N/A,#N/A,FALSE,"Sch10G";#N/A,#N/A,FALSE,"Sch11A";#N/A,#N/A,FALSE,"Sch11B";#N/A,#N/A,FALSE,"FinLeases";#N/A,#N/A,FALSE,"OpLeases";#N/A,#N/A,FALSE,"IntercoyAssets";#N/A,#N/A,FALSE,"IntercoyLiab";#N/A,#N/A,FALSE,"Oseaswsheet";#N/A,#N/A,FALSE,"CGTWsheet"}</definedName>
    <definedName name="wrn.Landscape._.schs." localSheetId="0" hidden="1">{#N/A,#N/A,FALSE,"Sch10A-C";#N/A,#N/A,FALSE,"Sch10D-F";#N/A,#N/A,FALSE,"Sch10G";#N/A,#N/A,FALSE,"Sch11A";#N/A,#N/A,FALSE,"Sch11B";#N/A,#N/A,FALSE,"FinLeases";#N/A,#N/A,FALSE,"OpLeases";#N/A,#N/A,FALSE,"IntercoyAssets";#N/A,#N/A,FALSE,"IntercoyLiab";#N/A,#N/A,FALSE,"Oseaswsheet";#N/A,#N/A,FALSE,"CGTWsheet"}</definedName>
    <definedName name="wrn.Landscape._.schs." localSheetId="4" hidden="1">{#N/A,#N/A,FALSE,"Sch10A-C";#N/A,#N/A,FALSE,"Sch10D-F";#N/A,#N/A,FALSE,"Sch10G";#N/A,#N/A,FALSE,"Sch11A";#N/A,#N/A,FALSE,"Sch11B";#N/A,#N/A,FALSE,"FinLeases";#N/A,#N/A,FALSE,"OpLeases";#N/A,#N/A,FALSE,"IntercoyAssets";#N/A,#N/A,FALSE,"IntercoyLiab";#N/A,#N/A,FALSE,"Oseaswsheet";#N/A,#N/A,FALSE,"CGTWsheet"}</definedName>
    <definedName name="wrn.Landscape._.schs." hidden="1">{#N/A,#N/A,FALSE,"Sch10A-C";#N/A,#N/A,FALSE,"Sch10D-F";#N/A,#N/A,FALSE,"Sch10G";#N/A,#N/A,FALSE,"Sch11A";#N/A,#N/A,FALSE,"Sch11B";#N/A,#N/A,FALSE,"FinLeases";#N/A,#N/A,FALSE,"OpLeases";#N/A,#N/A,FALSE,"IntercoyAssets";#N/A,#N/A,FALSE,"IntercoyLiab";#N/A,#N/A,FALSE,"Oseaswsheet";#N/A,#N/A,FALSE,"CGTWsheet"}</definedName>
    <definedName name="wrn.Modello." localSheetId="3" hidden="1">{#N/A,#N/A,TRUE,"Proposal";#N/A,#N/A,TRUE,"Assumptions";#N/A,#N/A,TRUE,"Net Income";#N/A,#N/A,TRUE,"Balsheet";#N/A,#N/A,TRUE,"Capex";#N/A,#N/A,TRUE,"Volumes";#N/A,#N/A,TRUE,"Revenues";#N/A,#N/A,TRUE,"Var.Costs";#N/A,#N/A,TRUE,"Personnel";#N/A,#N/A,TRUE,"Other costs";#N/A,#N/A,TRUE,"MKTG and G&amp;A"}</definedName>
    <definedName name="wrn.Modello." localSheetId="2" hidden="1">{#N/A,#N/A,TRUE,"Proposal";#N/A,#N/A,TRUE,"Assumptions";#N/A,#N/A,TRUE,"Net Income";#N/A,#N/A,TRUE,"Balsheet";#N/A,#N/A,TRUE,"Capex";#N/A,#N/A,TRUE,"Volumes";#N/A,#N/A,TRUE,"Revenues";#N/A,#N/A,TRUE,"Var.Costs";#N/A,#N/A,TRUE,"Personnel";#N/A,#N/A,TRUE,"Other costs";#N/A,#N/A,TRUE,"MKTG and G&amp;A"}</definedName>
    <definedName name="wrn.Modello." localSheetId="0" hidden="1">{#N/A,#N/A,TRUE,"Proposal";#N/A,#N/A,TRUE,"Assumptions";#N/A,#N/A,TRUE,"Net Income";#N/A,#N/A,TRUE,"Balsheet";#N/A,#N/A,TRUE,"Capex";#N/A,#N/A,TRUE,"Volumes";#N/A,#N/A,TRUE,"Revenues";#N/A,#N/A,TRUE,"Var.Costs";#N/A,#N/A,TRUE,"Personnel";#N/A,#N/A,TRUE,"Other costs";#N/A,#N/A,TRUE,"MKTG and G&amp;A"}</definedName>
    <definedName name="wrn.Modello." localSheetId="4" hidden="1">{#N/A,#N/A,TRUE,"Proposal";#N/A,#N/A,TRUE,"Assumptions";#N/A,#N/A,TRUE,"Net Income";#N/A,#N/A,TRUE,"Balsheet";#N/A,#N/A,TRUE,"Capex";#N/A,#N/A,TRUE,"Volumes";#N/A,#N/A,TRUE,"Revenues";#N/A,#N/A,TRUE,"Var.Costs";#N/A,#N/A,TRUE,"Personnel";#N/A,#N/A,TRUE,"Other costs";#N/A,#N/A,TRUE,"MKTG and G&amp;A"}</definedName>
    <definedName name="wrn.Modello." hidden="1">{#N/A,#N/A,TRUE,"Proposal";#N/A,#N/A,TRUE,"Assumptions";#N/A,#N/A,TRUE,"Net Income";#N/A,#N/A,TRUE,"Balsheet";#N/A,#N/A,TRUE,"Capex";#N/A,#N/A,TRUE,"Volumes";#N/A,#N/A,TRUE,"Revenues";#N/A,#N/A,TRUE,"Var.Costs";#N/A,#N/A,TRUE,"Personnel";#N/A,#N/A,TRUE,"Other costs";#N/A,#N/A,TRUE,"MKTG and G&amp;A"}</definedName>
    <definedName name="wrn.PL." localSheetId="3"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wrn.PL." localSheetId="2"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wrn.PL." localSheetId="0"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wrn.PL." localSheetId="4"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wrn.PL." hidden="1">{#N/A,#N/A,FALSE,"TOTAL";#N/A,#N/A,FALSE,"CORE";#N/A,#N/A,FALSE,"01 INST";#N/A,#N/A,FALSE,"43 INST";#N/A,#N/A,FALSE,"44 INST";#N/A,#N/A,FALSE,"51 INST";#N/A,#N/A,FALSE,"60 INST";#N/A,#N/A,FALSE,"58 INST";#N/A,#N/A,FALSE,"SW";#N/A,#N/A,FALSE,"68 INST";#N/A,#N/A,FALSE,"74 NCS";#N/A,#N/A,FALSE,"75 NCS";#N/A,#N/A,FALSE,"76 NCS";#N/A,#N/A,FALSE,"NCS";#N/A,#N/A,FALSE,"NCS INC SCOT";#N/A,#N/A,FALSE,"86 INST"}</definedName>
    <definedName name="wrn.PLNCS." localSheetId="3" hidden="1">{#N/A,#N/A,FALSE,"NCS INC SCOT";#N/A,#N/A,FALSE,"NCS";#N/A,#N/A,FALSE,"74 NCS";#N/A,#N/A,FALSE,"75 NCS";#N/A,#N/A,FALSE,"76 NCS "}</definedName>
    <definedName name="wrn.PLNCS." localSheetId="2" hidden="1">{#N/A,#N/A,FALSE,"NCS INC SCOT";#N/A,#N/A,FALSE,"NCS";#N/A,#N/A,FALSE,"74 NCS";#N/A,#N/A,FALSE,"75 NCS";#N/A,#N/A,FALSE,"76 NCS "}</definedName>
    <definedName name="wrn.PLNCS." localSheetId="0" hidden="1">{#N/A,#N/A,FALSE,"NCS INC SCOT";#N/A,#N/A,FALSE,"NCS";#N/A,#N/A,FALSE,"74 NCS";#N/A,#N/A,FALSE,"75 NCS";#N/A,#N/A,FALSE,"76 NCS "}</definedName>
    <definedName name="wrn.PLNCS." localSheetId="4" hidden="1">{#N/A,#N/A,FALSE,"NCS INC SCOT";#N/A,#N/A,FALSE,"NCS";#N/A,#N/A,FALSE,"74 NCS";#N/A,#N/A,FALSE,"75 NCS";#N/A,#N/A,FALSE,"76 NCS "}</definedName>
    <definedName name="wrn.PLNCS." hidden="1">{#N/A,#N/A,FALSE,"NCS INC SCOT";#N/A,#N/A,FALSE,"NCS";#N/A,#N/A,FALSE,"74 NCS";#N/A,#N/A,FALSE,"75 NCS";#N/A,#N/A,FALSE,"76 NCS "}</definedName>
    <definedName name="wrn.RDProject." localSheetId="3" hidden="1">{#N/A,#N/A,TRUE,"Prog. Overview Strategic Input";#N/A,#N/A,TRUE,"Program Overview Financials";#N/A,#N/A,TRUE,"Technology Summary Input";#N/A,#N/A,TRUE,"Mkt &amp; Sales Summary Input";#N/A,#N/A,TRUE,"Delivery Summary Input";#N/A,#N/A,TRUE,"Revenue Assump Input";#N/A,#N/A,TRUE,"Financial Summary"}</definedName>
    <definedName name="wrn.RDProject." localSheetId="2" hidden="1">{#N/A,#N/A,TRUE,"Prog. Overview Strategic Input";#N/A,#N/A,TRUE,"Program Overview Financials";#N/A,#N/A,TRUE,"Technology Summary Input";#N/A,#N/A,TRUE,"Mkt &amp; Sales Summary Input";#N/A,#N/A,TRUE,"Delivery Summary Input";#N/A,#N/A,TRUE,"Revenue Assump Input";#N/A,#N/A,TRUE,"Financial Summary"}</definedName>
    <definedName name="wrn.RDProject." localSheetId="0" hidden="1">{#N/A,#N/A,TRUE,"Prog. Overview Strategic Input";#N/A,#N/A,TRUE,"Program Overview Financials";#N/A,#N/A,TRUE,"Technology Summary Input";#N/A,#N/A,TRUE,"Mkt &amp; Sales Summary Input";#N/A,#N/A,TRUE,"Delivery Summary Input";#N/A,#N/A,TRUE,"Revenue Assump Input";#N/A,#N/A,TRUE,"Financial Summary"}</definedName>
    <definedName name="wrn.RDProject." localSheetId="4" hidden="1">{#N/A,#N/A,TRUE,"Prog. Overview Strategic Input";#N/A,#N/A,TRUE,"Program Overview Financials";#N/A,#N/A,TRUE,"Technology Summary Input";#N/A,#N/A,TRUE,"Mkt &amp; Sales Summary Input";#N/A,#N/A,TRUE,"Delivery Summary Input";#N/A,#N/A,TRUE,"Revenue Assump Input";#N/A,#N/A,TRUE,"Financial Summary"}</definedName>
    <definedName name="wrn.RDProject." hidden="1">{#N/A,#N/A,TRUE,"Prog. Overview Strategic Input";#N/A,#N/A,TRUE,"Program Overview Financials";#N/A,#N/A,TRUE,"Technology Summary Input";#N/A,#N/A,TRUE,"Mkt &amp; Sales Summary Input";#N/A,#N/A,TRUE,"Delivery Summary Input";#N/A,#N/A,TRUE,"Revenue Assump Input";#N/A,#N/A,TRUE,"Financial Summary"}</definedName>
    <definedName name="wrn.RDProject1" localSheetId="3" hidden="1">{#N/A,#N/A,TRUE,"Prog. Overview Strategic Input";#N/A,#N/A,TRUE,"Program Overview Financials";#N/A,#N/A,TRUE,"Technology Summary Input";#N/A,#N/A,TRUE,"Mkt &amp; Sales Summary Input";#N/A,#N/A,TRUE,"Delivery Summary Input";#N/A,#N/A,TRUE,"Revenue Assump Input";#N/A,#N/A,TRUE,"Financial Summary"}</definedName>
    <definedName name="wrn.RDProject1" localSheetId="2" hidden="1">{#N/A,#N/A,TRUE,"Prog. Overview Strategic Input";#N/A,#N/A,TRUE,"Program Overview Financials";#N/A,#N/A,TRUE,"Technology Summary Input";#N/A,#N/A,TRUE,"Mkt &amp; Sales Summary Input";#N/A,#N/A,TRUE,"Delivery Summary Input";#N/A,#N/A,TRUE,"Revenue Assump Input";#N/A,#N/A,TRUE,"Financial Summary"}</definedName>
    <definedName name="wrn.RDProject1" localSheetId="0" hidden="1">{#N/A,#N/A,TRUE,"Prog. Overview Strategic Input";#N/A,#N/A,TRUE,"Program Overview Financials";#N/A,#N/A,TRUE,"Technology Summary Input";#N/A,#N/A,TRUE,"Mkt &amp; Sales Summary Input";#N/A,#N/A,TRUE,"Delivery Summary Input";#N/A,#N/A,TRUE,"Revenue Assump Input";#N/A,#N/A,TRUE,"Financial Summary"}</definedName>
    <definedName name="wrn.RDProject1" localSheetId="4" hidden="1">{#N/A,#N/A,TRUE,"Prog. Overview Strategic Input";#N/A,#N/A,TRUE,"Program Overview Financials";#N/A,#N/A,TRUE,"Technology Summary Input";#N/A,#N/A,TRUE,"Mkt &amp; Sales Summary Input";#N/A,#N/A,TRUE,"Delivery Summary Input";#N/A,#N/A,TRUE,"Revenue Assump Input";#N/A,#N/A,TRUE,"Financial Summary"}</definedName>
    <definedName name="wrn.RDProject1" hidden="1">{#N/A,#N/A,TRUE,"Prog. Overview Strategic Input";#N/A,#N/A,TRUE,"Program Overview Financials";#N/A,#N/A,TRUE,"Technology Summary Input";#N/A,#N/A,TRUE,"Mkt &amp; Sales Summary Input";#N/A,#N/A,TRUE,"Delivery Summary Input";#N/A,#N/A,TRUE,"Revenue Assump Input";#N/A,#N/A,TRUE,"Financial Summary"}</definedName>
    <definedName name="wrn.Site._.Report." localSheetId="3" hidden="1">{"Site",#N/A,FALSE,"Net Inventory Turns";"Site",#N/A,FALSE,"LInearity";"Site",#N/A,FALSE,"On Time Delivery";"Site",#N/A,FALSE,"Fill Rate";"Site",#N/A,FALSE,"Days Past Due";"Site",#N/A,FALSE,"COPQ";"Site",#N/A,FALSE,"Customer Returns";"Site",#N/A,FALSE,"LWCAIR";"Site",#N/A,FALSE,"TCIR";"Site",#N/A,FALSE,"TDU";"Site",#N/A,FALSE,"Supplier Defects";"Site",#N/A,FALSE,"Supplier Delivery";"Site",#N/A,FALSE,"OEC";"Site",#N/A,FALSE,"MM"}</definedName>
    <definedName name="wrn.Site._.Report." localSheetId="2" hidden="1">{"Site",#N/A,FALSE,"Net Inventory Turns";"Site",#N/A,FALSE,"LInearity";"Site",#N/A,FALSE,"On Time Delivery";"Site",#N/A,FALSE,"Fill Rate";"Site",#N/A,FALSE,"Days Past Due";"Site",#N/A,FALSE,"COPQ";"Site",#N/A,FALSE,"Customer Returns";"Site",#N/A,FALSE,"LWCAIR";"Site",#N/A,FALSE,"TCIR";"Site",#N/A,FALSE,"TDU";"Site",#N/A,FALSE,"Supplier Defects";"Site",#N/A,FALSE,"Supplier Delivery";"Site",#N/A,FALSE,"OEC";"Site",#N/A,FALSE,"MM"}</definedName>
    <definedName name="wrn.Site._.Report." localSheetId="0" hidden="1">{"Site",#N/A,FALSE,"Net Inventory Turns";"Site",#N/A,FALSE,"LInearity";"Site",#N/A,FALSE,"On Time Delivery";"Site",#N/A,FALSE,"Fill Rate";"Site",#N/A,FALSE,"Days Past Due";"Site",#N/A,FALSE,"COPQ";"Site",#N/A,FALSE,"Customer Returns";"Site",#N/A,FALSE,"LWCAIR";"Site",#N/A,FALSE,"TCIR";"Site",#N/A,FALSE,"TDU";"Site",#N/A,FALSE,"Supplier Defects";"Site",#N/A,FALSE,"Supplier Delivery";"Site",#N/A,FALSE,"OEC";"Site",#N/A,FALSE,"MM"}</definedName>
    <definedName name="wrn.Site._.Report." localSheetId="4" hidden="1">{"Site",#N/A,FALSE,"Net Inventory Turns";"Site",#N/A,FALSE,"LInearity";"Site",#N/A,FALSE,"On Time Delivery";"Site",#N/A,FALSE,"Fill Rate";"Site",#N/A,FALSE,"Days Past Due";"Site",#N/A,FALSE,"COPQ";"Site",#N/A,FALSE,"Customer Returns";"Site",#N/A,FALSE,"LWCAIR";"Site",#N/A,FALSE,"TCIR";"Site",#N/A,FALSE,"TDU";"Site",#N/A,FALSE,"Supplier Defects";"Site",#N/A,FALSE,"Supplier Delivery";"Site",#N/A,FALSE,"OEC";"Site",#N/A,FALSE,"MM"}</definedName>
    <definedName name="wrn.Site._.Report." hidden="1">{"Site",#N/A,FALSE,"Net Inventory Turns";"Site",#N/A,FALSE,"LInearity";"Site",#N/A,FALSE,"On Time Delivery";"Site",#N/A,FALSE,"Fill Rate";"Site",#N/A,FALSE,"Days Past Due";"Site",#N/A,FALSE,"COPQ";"Site",#N/A,FALSE,"Customer Returns";"Site",#N/A,FALSE,"LWCAIR";"Site",#N/A,FALSE,"TCIR";"Site",#N/A,FALSE,"TDU";"Site",#N/A,FALSE,"Supplier Defects";"Site",#N/A,FALSE,"Supplier Delivery";"Site",#N/A,FALSE,"OEC";"Site",#N/A,FALSE,"MM"}</definedName>
    <definedName name="wrn.Summary._.Report." localSheetId="3" hidden="1">{#N/A,#N/A,FALSE,"Cover";"Summary",#N/A,FALSE,"Net Inventory Turns";"Summary",#N/A,FALSE,"LInearity";"Summary",#N/A,FALSE,"On Time Delivery";"Summary",#N/A,FALSE,"Fill Rate";"Summary",#N/A,FALSE,"Days Past Due";"Summary",#N/A,FALSE,"COPQ";"Summary",#N/A,FALSE,"Customer Returns";"Summary",#N/A,FALSE,"LWCAIR";"Summary",#N/A,FALSE,"TCIR";"Summary",#N/A,FALSE,"TDU";"Summary",#N/A,FALSE,"Supplier Defects";"Summary",#N/A,FALSE,"Supplier Delivery";"Summary",#N/A,FALSE,"OEC";"Summary",#N/A,FALSE,"MM"}</definedName>
    <definedName name="wrn.Summary._.Report." localSheetId="2" hidden="1">{#N/A,#N/A,FALSE,"Cover";"Summary",#N/A,FALSE,"Net Inventory Turns";"Summary",#N/A,FALSE,"LInearity";"Summary",#N/A,FALSE,"On Time Delivery";"Summary",#N/A,FALSE,"Fill Rate";"Summary",#N/A,FALSE,"Days Past Due";"Summary",#N/A,FALSE,"COPQ";"Summary",#N/A,FALSE,"Customer Returns";"Summary",#N/A,FALSE,"LWCAIR";"Summary",#N/A,FALSE,"TCIR";"Summary",#N/A,FALSE,"TDU";"Summary",#N/A,FALSE,"Supplier Defects";"Summary",#N/A,FALSE,"Supplier Delivery";"Summary",#N/A,FALSE,"OEC";"Summary",#N/A,FALSE,"MM"}</definedName>
    <definedName name="wrn.Summary._.Report." localSheetId="0" hidden="1">{#N/A,#N/A,FALSE,"Cover";"Summary",#N/A,FALSE,"Net Inventory Turns";"Summary",#N/A,FALSE,"LInearity";"Summary",#N/A,FALSE,"On Time Delivery";"Summary",#N/A,FALSE,"Fill Rate";"Summary",#N/A,FALSE,"Days Past Due";"Summary",#N/A,FALSE,"COPQ";"Summary",#N/A,FALSE,"Customer Returns";"Summary",#N/A,FALSE,"LWCAIR";"Summary",#N/A,FALSE,"TCIR";"Summary",#N/A,FALSE,"TDU";"Summary",#N/A,FALSE,"Supplier Defects";"Summary",#N/A,FALSE,"Supplier Delivery";"Summary",#N/A,FALSE,"OEC";"Summary",#N/A,FALSE,"MM"}</definedName>
    <definedName name="wrn.Summary._.Report." localSheetId="4" hidden="1">{#N/A,#N/A,FALSE,"Cover";"Summary",#N/A,FALSE,"Net Inventory Turns";"Summary",#N/A,FALSE,"LInearity";"Summary",#N/A,FALSE,"On Time Delivery";"Summary",#N/A,FALSE,"Fill Rate";"Summary",#N/A,FALSE,"Days Past Due";"Summary",#N/A,FALSE,"COPQ";"Summary",#N/A,FALSE,"Customer Returns";"Summary",#N/A,FALSE,"LWCAIR";"Summary",#N/A,FALSE,"TCIR";"Summary",#N/A,FALSE,"TDU";"Summary",#N/A,FALSE,"Supplier Defects";"Summary",#N/A,FALSE,"Supplier Delivery";"Summary",#N/A,FALSE,"OEC";"Summary",#N/A,FALSE,"MM"}</definedName>
    <definedName name="wrn.Summary._.Report." hidden="1">{#N/A,#N/A,FALSE,"Cover";"Summary",#N/A,FALSE,"Net Inventory Turns";"Summary",#N/A,FALSE,"LInearity";"Summary",#N/A,FALSE,"On Time Delivery";"Summary",#N/A,FALSE,"Fill Rate";"Summary",#N/A,FALSE,"Days Past Due";"Summary",#N/A,FALSE,"COPQ";"Summary",#N/A,FALSE,"Customer Returns";"Summary",#N/A,FALSE,"LWCAIR";"Summary",#N/A,FALSE,"TCIR";"Summary",#N/A,FALSE,"TDU";"Summary",#N/A,FALSE,"Supplier Defects";"Summary",#N/A,FALSE,"Supplier Delivery";"Summary",#N/A,FALSE,"OEC";"Summary",#N/A,FALSE,"MM"}</definedName>
    <definedName name="wrn.Summary._.results." localSheetId="3" hidden="1">{"key inputs",#N/A,TRUE,"Key Inputs";"key outputs",#N/A,TRUE,"Outputs";"Other inputs",#N/A,TRUE,"Other Inputs";"Revenue",#N/A,TRUE,"Rev"}</definedName>
    <definedName name="wrn.Summary._.results." localSheetId="2" hidden="1">{"key inputs",#N/A,TRUE,"Key Inputs";"key outputs",#N/A,TRUE,"Outputs";"Other inputs",#N/A,TRUE,"Other Inputs";"Revenue",#N/A,TRUE,"Rev"}</definedName>
    <definedName name="wrn.Summary._.results." localSheetId="0" hidden="1">{"key inputs",#N/A,TRUE,"Key Inputs";"key outputs",#N/A,TRUE,"Outputs";"Other inputs",#N/A,TRUE,"Other Inputs";"Revenue",#N/A,TRUE,"Rev"}</definedName>
    <definedName name="wrn.Summary._.results." localSheetId="4" hidden="1">{"key inputs",#N/A,TRUE,"Key Inputs";"key outputs",#N/A,TRUE,"Outputs";"Other inputs",#N/A,TRUE,"Other Inputs";"Revenue",#N/A,TRUE,"Rev"}</definedName>
    <definedName name="wrn.Summary._.results." hidden="1">{"key inputs",#N/A,TRUE,"Key Inputs";"key outputs",#N/A,TRUE,"Outputs";"Other inputs",#N/A,TRUE,"Other Inputs";"Revenue",#N/A,TRUE,"Rev"}</definedName>
    <definedName name="wrn.Summary._.Sheet._.only." localSheetId="3" hidden="1">{#N/A,#N/A,FALSE,"Summary"}</definedName>
    <definedName name="wrn.Summary._.Sheet._.only." localSheetId="2" hidden="1">{#N/A,#N/A,FALSE,"Summary"}</definedName>
    <definedName name="wrn.Summary._.Sheet._.only." localSheetId="0" hidden="1">{#N/A,#N/A,FALSE,"Summary"}</definedName>
    <definedName name="wrn.Summary._.Sheet._.only." localSheetId="4" hidden="1">{#N/A,#N/A,FALSE,"Summary"}</definedName>
    <definedName name="wrn.Summary._.Sheet._.only." hidden="1">{#N/A,#N/A,FALSE,"Summary"}</definedName>
    <definedName name="wrn.tax._.schedules." localSheetId="3"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ax._.schedules." localSheetId="2"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ax._.schedules." localSheetId="0"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ax._.schedules." localSheetId="4"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ax._.schedules."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hings." localSheetId="3" hidden="1">{#N/A,#N/A,FALSE,"Bank Rec Cover Sheet";#N/A,#N/A,FALSE,"Bank Rec Details"}</definedName>
    <definedName name="wrn.Things." localSheetId="2" hidden="1">{#N/A,#N/A,FALSE,"Bank Rec Cover Sheet";#N/A,#N/A,FALSE,"Bank Rec Details"}</definedName>
    <definedName name="wrn.Things." localSheetId="0" hidden="1">{#N/A,#N/A,FALSE,"Bank Rec Cover Sheet";#N/A,#N/A,FALSE,"Bank Rec Details"}</definedName>
    <definedName name="wrn.Things." localSheetId="4" hidden="1">{#N/A,#N/A,FALSE,"Bank Rec Cover Sheet";#N/A,#N/A,FALSE,"Bank Rec Details"}</definedName>
    <definedName name="wrn.Things." hidden="1">{#N/A,#N/A,FALSE,"Bank Rec Cover Sheet";#N/A,#N/A,FALSE,"Bank Rec Details"}</definedName>
    <definedName name="wrn.Valuation." localSheetId="3" hidden="1">{#N/A,#N/A,FALSE,"Colombo";#N/A,#N/A,FALSE,"Colata";#N/A,#N/A,FALSE,"Colombo + Colata"}</definedName>
    <definedName name="wrn.Valuation." localSheetId="2" hidden="1">{#N/A,#N/A,FALSE,"Colombo";#N/A,#N/A,FALSE,"Colata";#N/A,#N/A,FALSE,"Colombo + Colata"}</definedName>
    <definedName name="wrn.Valuation." localSheetId="0" hidden="1">{#N/A,#N/A,FALSE,"Colombo";#N/A,#N/A,FALSE,"Colata";#N/A,#N/A,FALSE,"Colombo + Colata"}</definedName>
    <definedName name="wrn.Valuation." localSheetId="4" hidden="1">{#N/A,#N/A,FALSE,"Colombo";#N/A,#N/A,FALSE,"Colata";#N/A,#N/A,FALSE,"Colombo + Colata"}</definedName>
    <definedName name="wrn.Valuation." hidden="1">{#N/A,#N/A,FALSE,"Colombo";#N/A,#N/A,FALSE,"Colata";#N/A,#N/A,FALSE,"Colombo + Colata"}</definedName>
    <definedName name="wwss" localSheetId="3" hidden="1">{#N/A,#N/A,FALSE,"Summary";#N/A,#N/A,FALSE,"Schedule";#N/A,#N/A,FALSE,"Revenue";#N/A,#N/A,FALSE,"Costs";#N/A,#N/A,FALSE,"Plant Sch";#N/A,#N/A,FALSE,"Plant Cost";#N/A,#N/A,FALSE,"Labour"}</definedName>
    <definedName name="wwss" localSheetId="2" hidden="1">{#N/A,#N/A,FALSE,"Summary";#N/A,#N/A,FALSE,"Schedule";#N/A,#N/A,FALSE,"Revenue";#N/A,#N/A,FALSE,"Costs";#N/A,#N/A,FALSE,"Plant Sch";#N/A,#N/A,FALSE,"Plant Cost";#N/A,#N/A,FALSE,"Labour"}</definedName>
    <definedName name="wwss" localSheetId="0" hidden="1">{#N/A,#N/A,FALSE,"Summary";#N/A,#N/A,FALSE,"Schedule";#N/A,#N/A,FALSE,"Revenue";#N/A,#N/A,FALSE,"Costs";#N/A,#N/A,FALSE,"Plant Sch";#N/A,#N/A,FALSE,"Plant Cost";#N/A,#N/A,FALSE,"Labour"}</definedName>
    <definedName name="wwss" localSheetId="4" hidden="1">{#N/A,#N/A,FALSE,"Summary";#N/A,#N/A,FALSE,"Schedule";#N/A,#N/A,FALSE,"Revenue";#N/A,#N/A,FALSE,"Costs";#N/A,#N/A,FALSE,"Plant Sch";#N/A,#N/A,FALSE,"Plant Cost";#N/A,#N/A,FALSE,"Labour"}</definedName>
    <definedName name="wwss" hidden="1">{#N/A,#N/A,FALSE,"Summary";#N/A,#N/A,FALSE,"Schedule";#N/A,#N/A,FALSE,"Revenue";#N/A,#N/A,FALSE,"Costs";#N/A,#N/A,FALSE,"Plant Sch";#N/A,#N/A,FALSE,"Plant Cost";#N/A,#N/A,FALSE,"Labour"}</definedName>
    <definedName name="x" localSheetId="3" hidden="1">#REF!</definedName>
    <definedName name="x" localSheetId="4" hidden="1">#REF!</definedName>
    <definedName name="x" hidden="1">#REF!</definedName>
    <definedName name="xx" localSheetId="3" hidden="1">#REF!</definedName>
    <definedName name="xx" localSheetId="4" hidden="1">#REF!</definedName>
    <definedName name="xx" hidden="1">#REF!</definedName>
    <definedName name="xxx" localSheetId="3"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xxx" localSheetId="2"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xxx" localSheetId="0"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xxx" localSheetId="4"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xxx"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xyz" localSheetId="3" hidden="1">{"Site",#N/A,FALSE,"Net Inventory Turns";"Site",#N/A,FALSE,"LInearity";"Site",#N/A,FALSE,"On Time Delivery";"Site",#N/A,FALSE,"Fill Rate";"Site",#N/A,FALSE,"Days Past Due";"Site",#N/A,FALSE,"COPQ";"Site",#N/A,FALSE,"Customer Returns";"Site",#N/A,FALSE,"LWCAIR";"Site",#N/A,FALSE,"TCIR";"Site",#N/A,FALSE,"TDU";"Site",#N/A,FALSE,"Supplier Defects";"Site",#N/A,FALSE,"Supplier Delivery";"Site",#N/A,FALSE,"OEC";"Site",#N/A,FALSE,"MM"}</definedName>
    <definedName name="xyz" localSheetId="2" hidden="1">{"Site",#N/A,FALSE,"Net Inventory Turns";"Site",#N/A,FALSE,"LInearity";"Site",#N/A,FALSE,"On Time Delivery";"Site",#N/A,FALSE,"Fill Rate";"Site",#N/A,FALSE,"Days Past Due";"Site",#N/A,FALSE,"COPQ";"Site",#N/A,FALSE,"Customer Returns";"Site",#N/A,FALSE,"LWCAIR";"Site",#N/A,FALSE,"TCIR";"Site",#N/A,FALSE,"TDU";"Site",#N/A,FALSE,"Supplier Defects";"Site",#N/A,FALSE,"Supplier Delivery";"Site",#N/A,FALSE,"OEC";"Site",#N/A,FALSE,"MM"}</definedName>
    <definedName name="xyz" localSheetId="0" hidden="1">{"Site",#N/A,FALSE,"Net Inventory Turns";"Site",#N/A,FALSE,"LInearity";"Site",#N/A,FALSE,"On Time Delivery";"Site",#N/A,FALSE,"Fill Rate";"Site",#N/A,FALSE,"Days Past Due";"Site",#N/A,FALSE,"COPQ";"Site",#N/A,FALSE,"Customer Returns";"Site",#N/A,FALSE,"LWCAIR";"Site",#N/A,FALSE,"TCIR";"Site",#N/A,FALSE,"TDU";"Site",#N/A,FALSE,"Supplier Defects";"Site",#N/A,FALSE,"Supplier Delivery";"Site",#N/A,FALSE,"OEC";"Site",#N/A,FALSE,"MM"}</definedName>
    <definedName name="xyz" localSheetId="4" hidden="1">{"Site",#N/A,FALSE,"Net Inventory Turns";"Site",#N/A,FALSE,"LInearity";"Site",#N/A,FALSE,"On Time Delivery";"Site",#N/A,FALSE,"Fill Rate";"Site",#N/A,FALSE,"Days Past Due";"Site",#N/A,FALSE,"COPQ";"Site",#N/A,FALSE,"Customer Returns";"Site",#N/A,FALSE,"LWCAIR";"Site",#N/A,FALSE,"TCIR";"Site",#N/A,FALSE,"TDU";"Site",#N/A,FALSE,"Supplier Defects";"Site",#N/A,FALSE,"Supplier Delivery";"Site",#N/A,FALSE,"OEC";"Site",#N/A,FALSE,"MM"}</definedName>
    <definedName name="xyz" hidden="1">{"Site",#N/A,FALSE,"Net Inventory Turns";"Site",#N/A,FALSE,"LInearity";"Site",#N/A,FALSE,"On Time Delivery";"Site",#N/A,FALSE,"Fill Rate";"Site",#N/A,FALSE,"Days Past Due";"Site",#N/A,FALSE,"COPQ";"Site",#N/A,FALSE,"Customer Returns";"Site",#N/A,FALSE,"LWCAIR";"Site",#N/A,FALSE,"TCIR";"Site",#N/A,FALSE,"TDU";"Site",#N/A,FALSE,"Supplier Defects";"Site",#N/A,FALSE,"Supplier Delivery";"Site",#N/A,FALSE,"OEC";"Site",#N/A,FALSE,"MM"}</definedName>
    <definedName name="YRE" localSheetId="3" hidden="1">{#N/A,#N/A,TRUE,"Prog. Overview Strategic Input";#N/A,#N/A,TRUE,"Program Overview Financials";#N/A,#N/A,TRUE,"Technology Summary Input";#N/A,#N/A,TRUE,"Mkt &amp; Sales Summary Input";#N/A,#N/A,TRUE,"Delivery Summary Input";#N/A,#N/A,TRUE,"Revenue Assump Input";#N/A,#N/A,TRUE,"Financial Summary"}</definedName>
    <definedName name="YRE" localSheetId="2" hidden="1">{#N/A,#N/A,TRUE,"Prog. Overview Strategic Input";#N/A,#N/A,TRUE,"Program Overview Financials";#N/A,#N/A,TRUE,"Technology Summary Input";#N/A,#N/A,TRUE,"Mkt &amp; Sales Summary Input";#N/A,#N/A,TRUE,"Delivery Summary Input";#N/A,#N/A,TRUE,"Revenue Assump Input";#N/A,#N/A,TRUE,"Financial Summary"}</definedName>
    <definedName name="YRE" localSheetId="0" hidden="1">{#N/A,#N/A,TRUE,"Prog. Overview Strategic Input";#N/A,#N/A,TRUE,"Program Overview Financials";#N/A,#N/A,TRUE,"Technology Summary Input";#N/A,#N/A,TRUE,"Mkt &amp; Sales Summary Input";#N/A,#N/A,TRUE,"Delivery Summary Input";#N/A,#N/A,TRUE,"Revenue Assump Input";#N/A,#N/A,TRUE,"Financial Summary"}</definedName>
    <definedName name="YRE" localSheetId="4" hidden="1">{#N/A,#N/A,TRUE,"Prog. Overview Strategic Input";#N/A,#N/A,TRUE,"Program Overview Financials";#N/A,#N/A,TRUE,"Technology Summary Input";#N/A,#N/A,TRUE,"Mkt &amp; Sales Summary Input";#N/A,#N/A,TRUE,"Delivery Summary Input";#N/A,#N/A,TRUE,"Revenue Assump Input";#N/A,#N/A,TRUE,"Financial Summary"}</definedName>
    <definedName name="YRE" hidden="1">{#N/A,#N/A,TRUE,"Prog. Overview Strategic Input";#N/A,#N/A,TRUE,"Program Overview Financials";#N/A,#N/A,TRUE,"Technology Summary Input";#N/A,#N/A,TRUE,"Mkt &amp; Sales Summary Input";#N/A,#N/A,TRUE,"Delivery Summary Input";#N/A,#N/A,TRUE,"Revenue Assump Input";#N/A,#N/A,TRUE,"Financial Summary"}</definedName>
    <definedName name="YRWS" localSheetId="3" hidden="1">{#N/A,#N/A,TRUE,"Prog. Overview Strategic Input";#N/A,#N/A,TRUE,"Program Overview Financials";#N/A,#N/A,TRUE,"Technology Summary Input";#N/A,#N/A,TRUE,"Mkt &amp; Sales Summary Input";#N/A,#N/A,TRUE,"Delivery Summary Input";#N/A,#N/A,TRUE,"Revenue Assump Input";#N/A,#N/A,TRUE,"Financial Summary"}</definedName>
    <definedName name="YRWS" localSheetId="2" hidden="1">{#N/A,#N/A,TRUE,"Prog. Overview Strategic Input";#N/A,#N/A,TRUE,"Program Overview Financials";#N/A,#N/A,TRUE,"Technology Summary Input";#N/A,#N/A,TRUE,"Mkt &amp; Sales Summary Input";#N/A,#N/A,TRUE,"Delivery Summary Input";#N/A,#N/A,TRUE,"Revenue Assump Input";#N/A,#N/A,TRUE,"Financial Summary"}</definedName>
    <definedName name="YRWS" localSheetId="0" hidden="1">{#N/A,#N/A,TRUE,"Prog. Overview Strategic Input";#N/A,#N/A,TRUE,"Program Overview Financials";#N/A,#N/A,TRUE,"Technology Summary Input";#N/A,#N/A,TRUE,"Mkt &amp; Sales Summary Input";#N/A,#N/A,TRUE,"Delivery Summary Input";#N/A,#N/A,TRUE,"Revenue Assump Input";#N/A,#N/A,TRUE,"Financial Summary"}</definedName>
    <definedName name="YRWS" localSheetId="4" hidden="1">{#N/A,#N/A,TRUE,"Prog. Overview Strategic Input";#N/A,#N/A,TRUE,"Program Overview Financials";#N/A,#N/A,TRUE,"Technology Summary Input";#N/A,#N/A,TRUE,"Mkt &amp; Sales Summary Input";#N/A,#N/A,TRUE,"Delivery Summary Input";#N/A,#N/A,TRUE,"Revenue Assump Input";#N/A,#N/A,TRUE,"Financial Summary"}</definedName>
    <definedName name="YRWS" hidden="1">{#N/A,#N/A,TRUE,"Prog. Overview Strategic Input";#N/A,#N/A,TRUE,"Program Overview Financials";#N/A,#N/A,TRUE,"Technology Summary Input";#N/A,#N/A,TRUE,"Mkt &amp; Sales Summary Input";#N/A,#N/A,TRUE,"Delivery Summary Input";#N/A,#N/A,TRUE,"Revenue Assump Input";#N/A,#N/A,TRUE,"Financial Summary"}</definedName>
    <definedName name="z" localSheetId="3" hidden="1">{#N/A,#N/A,TRUE,"Prog. Overview Strategic Input";#N/A,#N/A,TRUE,"Program Overview Financials";#N/A,#N/A,TRUE,"Technology Summary Input";#N/A,#N/A,TRUE,"Mkt &amp; Sales Summary Input";#N/A,#N/A,TRUE,"Delivery Summary Input";#N/A,#N/A,TRUE,"Revenue Assump Input";#N/A,#N/A,TRUE,"Financial Summary"}</definedName>
    <definedName name="z" localSheetId="2" hidden="1">{#N/A,#N/A,TRUE,"Prog. Overview Strategic Input";#N/A,#N/A,TRUE,"Program Overview Financials";#N/A,#N/A,TRUE,"Technology Summary Input";#N/A,#N/A,TRUE,"Mkt &amp; Sales Summary Input";#N/A,#N/A,TRUE,"Delivery Summary Input";#N/A,#N/A,TRUE,"Revenue Assump Input";#N/A,#N/A,TRUE,"Financial Summary"}</definedName>
    <definedName name="z" localSheetId="0" hidden="1">{#N/A,#N/A,TRUE,"Prog. Overview Strategic Input";#N/A,#N/A,TRUE,"Program Overview Financials";#N/A,#N/A,TRUE,"Technology Summary Input";#N/A,#N/A,TRUE,"Mkt &amp; Sales Summary Input";#N/A,#N/A,TRUE,"Delivery Summary Input";#N/A,#N/A,TRUE,"Revenue Assump Input";#N/A,#N/A,TRUE,"Financial Summary"}</definedName>
    <definedName name="z" localSheetId="4" hidden="1">{#N/A,#N/A,TRUE,"Prog. Overview Strategic Input";#N/A,#N/A,TRUE,"Program Overview Financials";#N/A,#N/A,TRUE,"Technology Summary Input";#N/A,#N/A,TRUE,"Mkt &amp; Sales Summary Input";#N/A,#N/A,TRUE,"Delivery Summary Input";#N/A,#N/A,TRUE,"Revenue Assump Input";#N/A,#N/A,TRUE,"Financial Summary"}</definedName>
    <definedName name="z" hidden="1">{#N/A,#N/A,TRUE,"Prog. Overview Strategic Input";#N/A,#N/A,TRUE,"Program Overview Financials";#N/A,#N/A,TRUE,"Technology Summary Input";#N/A,#N/A,TRUE,"Mkt &amp; Sales Summary Input";#N/A,#N/A,TRUE,"Delivery Summary Input";#N/A,#N/A,TRUE,"Revenue Assump Input";#N/A,#N/A,TRUE,"Financial Summary"}</definedName>
    <definedName name="zzssas" localSheetId="3" hidden="1">{#N/A,#N/A,FALSE,"Summary";#N/A,#N/A,FALSE,"Schedule";#N/A,#N/A,FALSE,"Revenue";#N/A,#N/A,FALSE,"Costs";#N/A,#N/A,FALSE,"Plant Sch";#N/A,#N/A,FALSE,"Plant Cost";#N/A,#N/A,FALSE,"Labour"}</definedName>
    <definedName name="zzssas" localSheetId="2" hidden="1">{#N/A,#N/A,FALSE,"Summary";#N/A,#N/A,FALSE,"Schedule";#N/A,#N/A,FALSE,"Revenue";#N/A,#N/A,FALSE,"Costs";#N/A,#N/A,FALSE,"Plant Sch";#N/A,#N/A,FALSE,"Plant Cost";#N/A,#N/A,FALSE,"Labour"}</definedName>
    <definedName name="zzssas" localSheetId="0" hidden="1">{#N/A,#N/A,FALSE,"Summary";#N/A,#N/A,FALSE,"Schedule";#N/A,#N/A,FALSE,"Revenue";#N/A,#N/A,FALSE,"Costs";#N/A,#N/A,FALSE,"Plant Sch";#N/A,#N/A,FALSE,"Plant Cost";#N/A,#N/A,FALSE,"Labour"}</definedName>
    <definedName name="zzssas" localSheetId="4" hidden="1">{#N/A,#N/A,FALSE,"Summary";#N/A,#N/A,FALSE,"Schedule";#N/A,#N/A,FALSE,"Revenue";#N/A,#N/A,FALSE,"Costs";#N/A,#N/A,FALSE,"Plant Sch";#N/A,#N/A,FALSE,"Plant Cost";#N/A,#N/A,FALSE,"Labour"}</definedName>
    <definedName name="zzssas" hidden="1">{#N/A,#N/A,FALSE,"Summary";#N/A,#N/A,FALSE,"Schedule";#N/A,#N/A,FALSE,"Revenue";#N/A,#N/A,FALSE,"Costs";#N/A,#N/A,FALSE,"Plant Sch";#N/A,#N/A,FALSE,"Plant Cost";#N/A,#N/A,FALSE,"Labour"}</definedName>
  </definedNames>
  <calcPr calcId="191028"/>
  <pivotCaches>
    <pivotCache cacheId="5"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937" i="4" l="1"/>
  <c r="R937" i="4"/>
  <c r="T937" i="4"/>
  <c r="U937" i="4"/>
  <c r="Q936" i="4"/>
  <c r="R936" i="4"/>
  <c r="T936" i="4"/>
  <c r="U936" i="4"/>
  <c r="Q935" i="4"/>
  <c r="R935" i="4" s="1"/>
  <c r="T935" i="4"/>
  <c r="U935" i="4"/>
  <c r="R932" i="4" l="1"/>
  <c r="U932" i="4"/>
  <c r="Q152" i="4" l="1"/>
  <c r="Q658" i="4"/>
  <c r="Q664" i="4"/>
  <c r="Q934" i="4" l="1"/>
  <c r="R934" i="4" s="1"/>
  <c r="T934" i="4"/>
  <c r="U934" i="4"/>
  <c r="Q933" i="4"/>
  <c r="R933" i="4" s="1"/>
  <c r="T933" i="4"/>
  <c r="U933" i="4"/>
  <c r="T603" i="4" l="1"/>
  <c r="R931" i="4"/>
  <c r="T931" i="4"/>
  <c r="U931" i="4"/>
  <c r="R930" i="4"/>
  <c r="R929" i="4"/>
  <c r="R928" i="4"/>
  <c r="R927" i="4"/>
  <c r="R926" i="4"/>
  <c r="R925" i="4"/>
  <c r="R924" i="4"/>
  <c r="W931" i="4" l="1"/>
  <c r="W930" i="4"/>
  <c r="W927" i="4"/>
  <c r="W924" i="4"/>
  <c r="W926" i="4"/>
  <c r="W925" i="4"/>
  <c r="Q356" i="4"/>
  <c r="T110" i="4" l="1"/>
  <c r="Q281" i="4"/>
  <c r="Q302" i="4"/>
  <c r="V632" i="4"/>
  <c r="Q422" i="4" l="1"/>
  <c r="Q423" i="4"/>
  <c r="Q424" i="4"/>
  <c r="Q425" i="4"/>
  <c r="Q426" i="4"/>
  <c r="Q427" i="4"/>
  <c r="Q428" i="4"/>
  <c r="Q429" i="4"/>
  <c r="Q430" i="4"/>
  <c r="Q431" i="4"/>
  <c r="Q432" i="4"/>
  <c r="Q433" i="4"/>
  <c r="Q624" i="4"/>
  <c r="Q434" i="4"/>
  <c r="Q435" i="4"/>
  <c r="Q436" i="4"/>
  <c r="Q437" i="4"/>
  <c r="Q438" i="4"/>
  <c r="Q223" i="4"/>
  <c r="Q224" i="4"/>
  <c r="Q891" i="4"/>
  <c r="Q892" i="4"/>
  <c r="Q558" i="4"/>
  <c r="Q559" i="4"/>
  <c r="Q7" i="4"/>
  <c r="Q8" i="4"/>
  <c r="Q9" i="4"/>
  <c r="Q10" i="4"/>
  <c r="Q11" i="4"/>
  <c r="Q12" i="4"/>
  <c r="Q560" i="4"/>
  <c r="Q561" i="4"/>
  <c r="Q562" i="4"/>
  <c r="Q563" i="4"/>
  <c r="Q13" i="4"/>
  <c r="Q14" i="4"/>
  <c r="Q15" i="4"/>
  <c r="Q16" i="4"/>
  <c r="Q17" i="4"/>
  <c r="Q18" i="4"/>
  <c r="Q19" i="4"/>
  <c r="Q20" i="4"/>
  <c r="Q564" i="4"/>
  <c r="Q625" i="4"/>
  <c r="Q626" i="4"/>
  <c r="Q627" i="4"/>
  <c r="Q21" i="4"/>
  <c r="Q22" i="4"/>
  <c r="Q23" i="4"/>
  <c r="Q24" i="4"/>
  <c r="Q628" i="4"/>
  <c r="Q629" i="4"/>
  <c r="Q630" i="4"/>
  <c r="Q631" i="4"/>
  <c r="Q25" i="4"/>
  <c r="Q26" i="4"/>
  <c r="Q27" i="4"/>
  <c r="Q529" i="4"/>
  <c r="Q530" i="4"/>
  <c r="Q531" i="4"/>
  <c r="Q532" i="4"/>
  <c r="Q533" i="4"/>
  <c r="Q534" i="4"/>
  <c r="Q535" i="4"/>
  <c r="Q536" i="4"/>
  <c r="Q537" i="4"/>
  <c r="Q538" i="4"/>
  <c r="Q539" i="4"/>
  <c r="Q540" i="4"/>
  <c r="Q541" i="4"/>
  <c r="Q542" i="4"/>
  <c r="Q543" i="4"/>
  <c r="Q544" i="4"/>
  <c r="Q545" i="4"/>
  <c r="Q546" i="4"/>
  <c r="Q547" i="4"/>
  <c r="Q548" i="4"/>
  <c r="Q549" i="4"/>
  <c r="Q550" i="4"/>
  <c r="Q551" i="4"/>
  <c r="Q552" i="4"/>
  <c r="Q553" i="4"/>
  <c r="Q554" i="4"/>
  <c r="Q555" i="4"/>
  <c r="Q556" i="4"/>
  <c r="Q557" i="4"/>
  <c r="Q893" i="4"/>
  <c r="Q894" i="4"/>
  <c r="Q895" i="4"/>
  <c r="Q896" i="4"/>
  <c r="Q28" i="4"/>
  <c r="Q29" i="4"/>
  <c r="Q30" i="4"/>
  <c r="Q31" i="4"/>
  <c r="Q32" i="4"/>
  <c r="Q33" i="4"/>
  <c r="Q237" i="4"/>
  <c r="Q238" i="4"/>
  <c r="Q632" i="4"/>
  <c r="Q633" i="4"/>
  <c r="Q634" i="4"/>
  <c r="Q635" i="4"/>
  <c r="Q636" i="4"/>
  <c r="Q637" i="4"/>
  <c r="Q638" i="4"/>
  <c r="Q639" i="4"/>
  <c r="Q640" i="4"/>
  <c r="Q641" i="4"/>
  <c r="Q642" i="4"/>
  <c r="Q643" i="4"/>
  <c r="Q644" i="4"/>
  <c r="Q645" i="4"/>
  <c r="Q646" i="4"/>
  <c r="Q647" i="4"/>
  <c r="Q648" i="4"/>
  <c r="Q649" i="4"/>
  <c r="Q650" i="4"/>
  <c r="Q651" i="4"/>
  <c r="Q652" i="4"/>
  <c r="Q653" i="4"/>
  <c r="Q654" i="4"/>
  <c r="Q655" i="4"/>
  <c r="Q656" i="4"/>
  <c r="Q657" i="4"/>
  <c r="Q439" i="4"/>
  <c r="Q440" i="4"/>
  <c r="Q229" i="4"/>
  <c r="Q230" i="4"/>
  <c r="Q34" i="4"/>
  <c r="Q231" i="4"/>
  <c r="Q232" i="4"/>
  <c r="Q592" i="4"/>
  <c r="Q593" i="4"/>
  <c r="Q594" i="4"/>
  <c r="Q595" i="4"/>
  <c r="Q596" i="4"/>
  <c r="Q900" i="4"/>
  <c r="Q915" i="4"/>
  <c r="Q916" i="4"/>
  <c r="Q917" i="4"/>
  <c r="Q918" i="4"/>
  <c r="Q919" i="4"/>
  <c r="Q920" i="4"/>
  <c r="Q905" i="4"/>
  <c r="Q600" i="4"/>
  <c r="Q601" i="4"/>
  <c r="Q441" i="4"/>
  <c r="Q442"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239" i="4"/>
  <c r="Q659" i="4"/>
  <c r="Q660" i="4"/>
  <c r="Q661" i="4"/>
  <c r="Q662" i="4"/>
  <c r="Q663" i="4"/>
  <c r="Q665" i="4"/>
  <c r="Q666" i="4"/>
  <c r="Q667" i="4"/>
  <c r="Q668" i="4"/>
  <c r="Q669" i="4"/>
  <c r="Q670" i="4"/>
  <c r="Q671" i="4"/>
  <c r="Q672" i="4"/>
  <c r="Q673" i="4"/>
  <c r="Q674" i="4"/>
  <c r="Q675" i="4"/>
  <c r="Q676" i="4"/>
  <c r="Q677" i="4"/>
  <c r="Q678" i="4"/>
  <c r="Q679" i="4"/>
  <c r="Q680" i="4"/>
  <c r="Q681" i="4"/>
  <c r="Q682" i="4"/>
  <c r="Q683" i="4"/>
  <c r="Q684" i="4"/>
  <c r="Q685" i="4"/>
  <c r="Q686" i="4"/>
  <c r="Q687" i="4"/>
  <c r="Q688" i="4"/>
  <c r="Q689" i="4"/>
  <c r="Q690" i="4"/>
  <c r="Q691" i="4"/>
  <c r="Q692" i="4"/>
  <c r="Q693" i="4"/>
  <c r="Q694" i="4"/>
  <c r="Q695" i="4"/>
  <c r="Q696" i="4"/>
  <c r="Q697" i="4"/>
  <c r="Q698" i="4"/>
  <c r="Q699" i="4"/>
  <c r="Q700" i="4"/>
  <c r="Q701" i="4"/>
  <c r="Q702" i="4"/>
  <c r="Q703" i="4"/>
  <c r="Q704" i="4"/>
  <c r="Q705" i="4"/>
  <c r="Q706" i="4"/>
  <c r="Q707" i="4"/>
  <c r="Q708" i="4"/>
  <c r="Q709" i="4"/>
  <c r="Q710" i="4"/>
  <c r="Q711" i="4"/>
  <c r="Q712" i="4"/>
  <c r="Q713" i="4"/>
  <c r="Q714" i="4"/>
  <c r="Q715" i="4"/>
  <c r="Q716" i="4"/>
  <c r="Q717" i="4"/>
  <c r="Q718" i="4"/>
  <c r="Q719" i="4"/>
  <c r="Q720" i="4"/>
  <c r="Q721" i="4"/>
  <c r="Q722" i="4"/>
  <c r="Q723" i="4"/>
  <c r="Q724" i="4"/>
  <c r="Q725" i="4"/>
  <c r="Q726" i="4"/>
  <c r="Q727" i="4"/>
  <c r="Q728" i="4"/>
  <c r="Q729" i="4"/>
  <c r="Q730" i="4"/>
  <c r="Q731" i="4"/>
  <c r="Q732" i="4"/>
  <c r="Q733" i="4"/>
  <c r="Q734" i="4"/>
  <c r="Q735" i="4"/>
  <c r="Q736" i="4"/>
  <c r="Q737" i="4"/>
  <c r="Q738" i="4"/>
  <c r="Q739" i="4"/>
  <c r="Q740" i="4"/>
  <c r="Q741" i="4"/>
  <c r="Q742" i="4"/>
  <c r="Q743" i="4"/>
  <c r="Q744" i="4"/>
  <c r="Q745" i="4"/>
  <c r="Q443" i="4"/>
  <c r="Q444" i="4"/>
  <c r="Q445" i="4"/>
  <c r="Q446" i="4"/>
  <c r="Q447" i="4"/>
  <c r="Q448" i="4"/>
  <c r="Q449" i="4"/>
  <c r="Q450" i="4"/>
  <c r="Q451" i="4"/>
  <c r="Q565" i="4"/>
  <c r="Q746" i="4"/>
  <c r="Q225" i="4"/>
  <c r="Q226" i="4"/>
  <c r="Q233" i="4"/>
  <c r="Q23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2" i="4"/>
  <c r="Q283" i="4"/>
  <c r="Q284" i="4"/>
  <c r="Q285" i="4"/>
  <c r="Q286" i="4"/>
  <c r="Q287" i="4"/>
  <c r="Q288" i="4"/>
  <c r="Q289" i="4"/>
  <c r="Q290" i="4"/>
  <c r="Q291" i="4"/>
  <c r="Q292" i="4"/>
  <c r="Q293" i="4"/>
  <c r="Q294" i="4"/>
  <c r="Q295" i="4"/>
  <c r="Q296" i="4"/>
  <c r="Q297" i="4"/>
  <c r="Q298" i="4"/>
  <c r="Q299" i="4"/>
  <c r="Q300" i="4"/>
  <c r="Q301" i="4"/>
  <c r="Q303" i="4"/>
  <c r="Q304" i="4"/>
  <c r="Q305" i="4"/>
  <c r="Q306" i="4"/>
  <c r="Q307" i="4"/>
  <c r="Q308" i="4"/>
  <c r="Q309" i="4"/>
  <c r="Q310" i="4"/>
  <c r="Q901" i="4"/>
  <c r="Q902" i="4"/>
  <c r="Q602" i="4"/>
  <c r="Q603" i="4"/>
  <c r="Q604" i="4"/>
  <c r="Q605" i="4"/>
  <c r="Q606" i="4"/>
  <c r="Q607" i="4"/>
  <c r="Q608" i="4"/>
  <c r="Q609" i="4"/>
  <c r="Q610" i="4"/>
  <c r="Q611" i="4"/>
  <c r="Q612" i="4"/>
  <c r="Q613" i="4"/>
  <c r="Q614" i="4"/>
  <c r="Q615" i="4"/>
  <c r="Q616" i="4"/>
  <c r="Q617" i="4"/>
  <c r="Q618" i="4"/>
  <c r="Q619" i="4"/>
  <c r="Q620" i="4"/>
  <c r="Q621" i="4"/>
  <c r="Q622" i="4"/>
  <c r="Q623" i="4"/>
  <c r="Q240" i="4"/>
  <c r="Q241" i="4"/>
  <c r="Q242" i="4"/>
  <c r="Q243" i="4"/>
  <c r="Q509" i="4"/>
  <c r="Q318" i="4"/>
  <c r="Q319" i="4"/>
  <c r="Q320" i="4"/>
  <c r="Q321" i="4"/>
  <c r="Q322" i="4"/>
  <c r="Q323" i="4"/>
  <c r="Q324" i="4"/>
  <c r="Q325" i="4"/>
  <c r="Q326" i="4"/>
  <c r="Q327" i="4"/>
  <c r="Q328" i="4"/>
  <c r="Q329" i="4"/>
  <c r="Q330" i="4"/>
  <c r="Q331" i="4"/>
  <c r="Q332" i="4"/>
  <c r="Q333" i="4"/>
  <c r="Q334" i="4"/>
  <c r="Q335" i="4"/>
  <c r="Q336" i="4"/>
  <c r="Q337" i="4"/>
  <c r="Q338" i="4"/>
  <c r="Q339" i="4"/>
  <c r="Q753" i="4"/>
  <c r="Q754" i="4"/>
  <c r="Q755" i="4"/>
  <c r="Q756" i="4"/>
  <c r="Q757" i="4"/>
  <c r="Q758" i="4"/>
  <c r="Q759" i="4"/>
  <c r="Q760" i="4"/>
  <c r="Q761" i="4"/>
  <c r="Q762" i="4"/>
  <c r="Q763" i="4"/>
  <c r="Q764" i="4"/>
  <c r="Q765" i="4"/>
  <c r="Q766" i="4"/>
  <c r="Q767" i="4"/>
  <c r="Q768" i="4"/>
  <c r="Q769" i="4"/>
  <c r="Q770" i="4"/>
  <c r="Q771" i="4"/>
  <c r="Q772" i="4"/>
  <c r="Q773" i="4"/>
  <c r="Q774" i="4"/>
  <c r="Q452" i="4"/>
  <c r="Q453" i="4"/>
  <c r="Q454" i="4"/>
  <c r="Q455" i="4"/>
  <c r="Q566" i="4"/>
  <c r="Q775" i="4"/>
  <c r="Q456" i="4"/>
  <c r="Q457" i="4"/>
  <c r="Q125" i="4"/>
  <c r="Q126" i="4"/>
  <c r="Q776" i="4"/>
  <c r="Q777" i="4"/>
  <c r="Q906" i="4"/>
  <c r="Q921" i="4"/>
  <c r="Q907" i="4"/>
  <c r="Q911" i="4"/>
  <c r="Q912" i="4"/>
  <c r="Q913" i="4"/>
  <c r="Q458" i="4"/>
  <c r="Q459" i="4"/>
  <c r="Q460" i="4"/>
  <c r="Q461" i="4"/>
  <c r="Q462" i="4"/>
  <c r="Q463" i="4"/>
  <c r="Q464" i="4"/>
  <c r="Q465" i="4"/>
  <c r="Q466" i="4"/>
  <c r="Q467" i="4"/>
  <c r="Q468" i="4"/>
  <c r="Q469" i="4"/>
  <c r="Q470" i="4"/>
  <c r="Q471" i="4"/>
  <c r="Q472" i="4"/>
  <c r="Q473" i="4"/>
  <c r="Q474" i="4"/>
  <c r="Q475" i="4"/>
  <c r="Q476" i="4"/>
  <c r="Q477" i="4"/>
  <c r="Q478" i="4"/>
  <c r="Q479" i="4"/>
  <c r="Q480" i="4"/>
  <c r="Q481" i="4"/>
  <c r="Q127" i="4"/>
  <c r="Q128" i="4"/>
  <c r="Q129" i="4"/>
  <c r="Q130" i="4"/>
  <c r="Q131" i="4"/>
  <c r="Q132" i="4"/>
  <c r="Q133" i="4"/>
  <c r="Q134" i="4"/>
  <c r="Q135" i="4"/>
  <c r="Q136" i="4"/>
  <c r="Q137" i="4"/>
  <c r="Q140" i="4"/>
  <c r="Q510" i="4"/>
  <c r="Q511" i="4"/>
  <c r="Q512" i="4"/>
  <c r="Q778" i="4"/>
  <c r="Q779" i="4"/>
  <c r="Q780" i="4"/>
  <c r="Q781" i="4"/>
  <c r="Q782" i="4"/>
  <c r="Q783" i="4"/>
  <c r="Q784" i="4"/>
  <c r="Q785" i="4"/>
  <c r="Q786" i="4"/>
  <c r="Q787" i="4"/>
  <c r="Q788" i="4"/>
  <c r="Q791" i="4"/>
  <c r="Q482" i="4"/>
  <c r="Q483" i="4"/>
  <c r="Q484" i="4"/>
  <c r="Q485" i="4"/>
  <c r="Q486" i="4"/>
  <c r="Q487" i="4"/>
  <c r="Q488" i="4"/>
  <c r="Q489" i="4"/>
  <c r="Q490" i="4"/>
  <c r="Q491" i="4"/>
  <c r="Q922" i="4"/>
  <c r="Q141" i="4"/>
  <c r="Q227" i="4"/>
  <c r="Q228" i="4"/>
  <c r="Q235" i="4"/>
  <c r="Q236" i="4"/>
  <c r="Q142" i="4"/>
  <c r="Q143" i="4"/>
  <c r="Q144" i="4"/>
  <c r="Q145" i="4"/>
  <c r="Q146" i="4"/>
  <c r="Q147" i="4"/>
  <c r="Q148" i="4"/>
  <c r="Q149" i="4"/>
  <c r="Q150" i="4"/>
  <c r="Q151" i="4"/>
  <c r="Q340" i="4"/>
  <c r="Q341" i="4"/>
  <c r="Q342" i="4"/>
  <c r="Q343" i="4"/>
  <c r="Q344" i="4"/>
  <c r="Q345" i="4"/>
  <c r="Q346" i="4"/>
  <c r="Q347" i="4"/>
  <c r="Q348" i="4"/>
  <c r="Q349" i="4"/>
  <c r="Q350" i="4"/>
  <c r="Q351" i="4"/>
  <c r="Q352" i="4"/>
  <c r="Q353" i="4"/>
  <c r="Q354" i="4"/>
  <c r="Q355" i="4"/>
  <c r="Q903" i="4"/>
  <c r="Q904" i="4"/>
  <c r="Q914" i="4"/>
  <c r="Q923" i="4"/>
  <c r="Q513" i="4"/>
  <c r="Q514" i="4"/>
  <c r="Q515" i="4"/>
  <c r="Q516" i="4"/>
  <c r="Q517" i="4"/>
  <c r="Q518" i="4"/>
  <c r="Q519" i="4"/>
  <c r="Q520" i="4"/>
  <c r="Q521" i="4"/>
  <c r="Q522" i="4"/>
  <c r="Q523" i="4"/>
  <c r="Q524" i="4"/>
  <c r="Q525" i="4"/>
  <c r="Q526" i="4"/>
  <c r="Q527" i="4"/>
  <c r="Q528" i="4"/>
  <c r="Q492" i="4"/>
  <c r="Q493" i="4"/>
  <c r="Q494" i="4"/>
  <c r="Q495"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44" i="4"/>
  <c r="Q567" i="4"/>
  <c r="Q568" i="4"/>
  <c r="Q569" i="4"/>
  <c r="Q570" i="4"/>
  <c r="Q571" i="4"/>
  <c r="Q572" i="4"/>
  <c r="Q573" i="4"/>
  <c r="Q574" i="4"/>
  <c r="Q575" i="4"/>
  <c r="Q576" i="4"/>
  <c r="Q577" i="4"/>
  <c r="Q578" i="4"/>
  <c r="Q579" i="4"/>
  <c r="Q580" i="4"/>
  <c r="Q581" i="4"/>
  <c r="Q582" i="4"/>
  <c r="Q583" i="4"/>
  <c r="Q584" i="4"/>
  <c r="Q585" i="4"/>
  <c r="Q586" i="4"/>
  <c r="Q587" i="4"/>
  <c r="Q588"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792" i="4"/>
  <c r="Q793" i="4"/>
  <c r="Q794" i="4"/>
  <c r="Q795" i="4"/>
  <c r="Q796" i="4"/>
  <c r="Q797" i="4"/>
  <c r="Q798" i="4"/>
  <c r="Q799" i="4"/>
  <c r="Q800" i="4"/>
  <c r="Q801" i="4"/>
  <c r="Q802" i="4"/>
  <c r="Q803" i="4"/>
  <c r="Q804" i="4"/>
  <c r="Q805" i="4"/>
  <c r="Q806" i="4"/>
  <c r="Q807" i="4"/>
  <c r="Q808" i="4"/>
  <c r="Q809" i="4"/>
  <c r="Q810" i="4"/>
  <c r="Q811" i="4"/>
  <c r="Q812" i="4"/>
  <c r="Q813" i="4"/>
  <c r="Q814" i="4"/>
  <c r="Q815" i="4"/>
  <c r="Q816" i="4"/>
  <c r="Q817" i="4"/>
  <c r="Q818" i="4"/>
  <c r="Q819" i="4"/>
  <c r="Q820" i="4"/>
  <c r="Q821" i="4"/>
  <c r="Q822" i="4"/>
  <c r="Q823" i="4"/>
  <c r="Q824" i="4"/>
  <c r="Q825" i="4"/>
  <c r="Q826" i="4"/>
  <c r="Q827" i="4"/>
  <c r="Q828" i="4"/>
  <c r="Q829" i="4"/>
  <c r="Q830" i="4"/>
  <c r="Q831" i="4"/>
  <c r="Q832" i="4"/>
  <c r="Q833" i="4"/>
  <c r="Q834" i="4"/>
  <c r="Q835" i="4"/>
  <c r="Q836" i="4"/>
  <c r="Q837" i="4"/>
  <c r="Q838" i="4"/>
  <c r="Q839" i="4"/>
  <c r="Q840" i="4"/>
  <c r="Q841" i="4"/>
  <c r="Q842" i="4"/>
  <c r="Q843" i="4"/>
  <c r="Q844" i="4"/>
  <c r="Q845" i="4"/>
  <c r="Q846" i="4"/>
  <c r="Q847" i="4"/>
  <c r="Q848" i="4"/>
  <c r="Q849" i="4"/>
  <c r="Q850" i="4"/>
  <c r="Q851" i="4"/>
  <c r="Q852" i="4"/>
  <c r="Q853" i="4"/>
  <c r="Q854" i="4"/>
  <c r="Q855" i="4"/>
  <c r="Q856" i="4"/>
  <c r="Q857" i="4"/>
  <c r="Q858" i="4"/>
  <c r="Q859" i="4"/>
  <c r="Q860" i="4"/>
  <c r="Q861" i="4"/>
  <c r="Q862" i="4"/>
  <c r="Q863" i="4"/>
  <c r="Q864" i="4"/>
  <c r="Q865" i="4"/>
  <c r="Q866" i="4"/>
  <c r="Q867" i="4"/>
  <c r="Q868" i="4"/>
  <c r="Q869" i="4"/>
  <c r="Q870" i="4"/>
  <c r="Q871" i="4"/>
  <c r="Q872" i="4"/>
  <c r="Q873" i="4"/>
  <c r="Q874" i="4"/>
  <c r="Q875" i="4"/>
  <c r="Q876" i="4"/>
  <c r="Q877" i="4"/>
  <c r="Q878" i="4"/>
  <c r="Q879" i="4"/>
  <c r="Q880" i="4"/>
  <c r="Q881" i="4"/>
  <c r="Q882" i="4"/>
  <c r="Q883" i="4"/>
  <c r="Q884" i="4"/>
  <c r="Q885" i="4"/>
  <c r="Q589" i="4"/>
  <c r="Q590" i="4"/>
  <c r="Q591" i="4"/>
  <c r="Q886" i="4"/>
  <c r="Q887" i="4"/>
  <c r="Q888" i="4"/>
  <c r="Q496" i="4"/>
  <c r="Q497" i="4"/>
  <c r="Q498" i="4"/>
  <c r="Q499" i="4"/>
  <c r="Q500" i="4"/>
  <c r="Q501" i="4"/>
  <c r="Q502" i="4"/>
  <c r="Q503" i="4"/>
  <c r="Q504" i="4"/>
  <c r="Q505" i="4"/>
  <c r="Q506" i="4"/>
  <c r="Q507" i="4"/>
  <c r="Q508" i="4"/>
  <c r="Q221" i="4"/>
  <c r="Q222" i="4"/>
  <c r="Q889" i="4"/>
  <c r="Q890" i="4"/>
  <c r="Q405" i="4"/>
  <c r="Q406" i="4"/>
  <c r="Q407" i="4"/>
  <c r="Q408" i="4"/>
  <c r="Q409" i="4"/>
  <c r="Q410" i="4"/>
  <c r="Q411" i="4"/>
  <c r="Q412" i="4"/>
  <c r="Q413" i="4"/>
  <c r="Q414" i="4"/>
  <c r="Q415" i="4"/>
  <c r="Q416" i="4"/>
  <c r="Q417" i="4"/>
  <c r="Q418" i="4"/>
  <c r="Q419" i="4"/>
  <c r="Q420" i="4"/>
  <c r="O603" i="4"/>
  <c r="N603" i="4"/>
  <c r="M603" i="4"/>
  <c r="L603" i="4"/>
  <c r="K603" i="4"/>
  <c r="O602" i="4"/>
  <c r="N602" i="4"/>
  <c r="M602" i="4"/>
  <c r="L602" i="4"/>
  <c r="K602" i="4"/>
  <c r="O601" i="4"/>
  <c r="N601" i="4"/>
  <c r="M601" i="4"/>
  <c r="L601" i="4"/>
  <c r="K601" i="4"/>
  <c r="O600" i="4"/>
  <c r="N600" i="4"/>
  <c r="M600" i="4"/>
  <c r="L600" i="4"/>
  <c r="K600" i="4"/>
  <c r="O599" i="4"/>
  <c r="N599" i="4"/>
  <c r="M599" i="4"/>
  <c r="L599" i="4"/>
  <c r="K599" i="4"/>
  <c r="O598" i="4"/>
  <c r="N598" i="4"/>
  <c r="M598" i="4"/>
  <c r="L598" i="4"/>
  <c r="K598" i="4"/>
  <c r="O597" i="4"/>
  <c r="N597" i="4"/>
  <c r="M597" i="4"/>
  <c r="L597" i="4"/>
  <c r="K597" i="4"/>
  <c r="O564" i="4"/>
  <c r="N564" i="4"/>
  <c r="M564" i="4"/>
  <c r="L564" i="4"/>
  <c r="K564" i="4"/>
  <c r="O563" i="4"/>
  <c r="N563" i="4"/>
  <c r="M563" i="4"/>
  <c r="L563" i="4"/>
  <c r="K563" i="4"/>
  <c r="O658" i="4"/>
  <c r="N658" i="4"/>
  <c r="M658" i="4"/>
  <c r="L658" i="4"/>
  <c r="K658" i="4"/>
  <c r="K419" i="4"/>
  <c r="L419" i="4"/>
  <c r="M419" i="4"/>
  <c r="N419" i="4"/>
  <c r="O419" i="4"/>
  <c r="K420" i="4"/>
  <c r="L420" i="4"/>
  <c r="M420" i="4"/>
  <c r="N420" i="4"/>
  <c r="O420" i="4"/>
  <c r="T419" i="4"/>
  <c r="T420" i="4"/>
  <c r="U419" i="4"/>
  <c r="U420" i="4"/>
  <c r="V419" i="4"/>
  <c r="V420" i="4"/>
  <c r="O418" i="4"/>
  <c r="N418" i="4"/>
  <c r="M418" i="4"/>
  <c r="L418" i="4"/>
  <c r="K418" i="4"/>
  <c r="O417" i="4"/>
  <c r="N417" i="4"/>
  <c r="M417" i="4"/>
  <c r="L417" i="4"/>
  <c r="K417" i="4"/>
  <c r="O416" i="4"/>
  <c r="N416" i="4"/>
  <c r="M416" i="4"/>
  <c r="L416" i="4"/>
  <c r="K416" i="4"/>
  <c r="O415" i="4"/>
  <c r="N415" i="4"/>
  <c r="M415" i="4"/>
  <c r="L415" i="4"/>
  <c r="K415" i="4"/>
  <c r="O414" i="4"/>
  <c r="N414" i="4"/>
  <c r="M414" i="4"/>
  <c r="L414" i="4"/>
  <c r="K414" i="4"/>
  <c r="T418" i="4"/>
  <c r="U418" i="4"/>
  <c r="V418" i="4"/>
  <c r="T417" i="4"/>
  <c r="U417" i="4"/>
  <c r="V417" i="4"/>
  <c r="T416" i="4"/>
  <c r="U416" i="4"/>
  <c r="V416" i="4"/>
  <c r="T415" i="4"/>
  <c r="U415" i="4"/>
  <c r="V415" i="4"/>
  <c r="T414" i="4"/>
  <c r="U414" i="4"/>
  <c r="V414" i="4"/>
  <c r="T409" i="4"/>
  <c r="T410" i="4"/>
  <c r="T411" i="4"/>
  <c r="T412" i="4"/>
  <c r="T413" i="4"/>
  <c r="U409" i="4"/>
  <c r="U410" i="4"/>
  <c r="U411" i="4"/>
  <c r="U412" i="4"/>
  <c r="U413" i="4"/>
  <c r="V409" i="4"/>
  <c r="V410" i="4"/>
  <c r="V411" i="4"/>
  <c r="V412" i="4"/>
  <c r="V413" i="4"/>
  <c r="F406" i="4"/>
  <c r="F405" i="4"/>
  <c r="O408" i="4"/>
  <c r="N408" i="4"/>
  <c r="M408" i="4"/>
  <c r="L408" i="4"/>
  <c r="K408" i="4"/>
  <c r="O407" i="4"/>
  <c r="N407" i="4"/>
  <c r="M407" i="4"/>
  <c r="L407" i="4"/>
  <c r="K407" i="4"/>
  <c r="O406" i="4"/>
  <c r="N406" i="4"/>
  <c r="M406" i="4"/>
  <c r="L406" i="4"/>
  <c r="K406" i="4"/>
  <c r="O405" i="4"/>
  <c r="N405" i="4"/>
  <c r="M405" i="4"/>
  <c r="L405" i="4"/>
  <c r="K405" i="4"/>
  <c r="T408" i="4"/>
  <c r="U408" i="4"/>
  <c r="V408" i="4"/>
  <c r="T407" i="4"/>
  <c r="U407" i="4"/>
  <c r="V407" i="4"/>
  <c r="U406" i="4"/>
  <c r="V406" i="4"/>
  <c r="U405" i="4"/>
  <c r="V405" i="4"/>
  <c r="O12" i="4"/>
  <c r="N12" i="4"/>
  <c r="M12" i="4"/>
  <c r="L12" i="4"/>
  <c r="K12" i="4"/>
  <c r="O11" i="4"/>
  <c r="N11" i="4"/>
  <c r="M11" i="4"/>
  <c r="L11" i="4"/>
  <c r="K11" i="4"/>
  <c r="O10" i="4"/>
  <c r="N10" i="4"/>
  <c r="M10" i="4"/>
  <c r="L10" i="4"/>
  <c r="K10" i="4"/>
  <c r="O9" i="4"/>
  <c r="N9" i="4"/>
  <c r="M9" i="4"/>
  <c r="L9" i="4"/>
  <c r="K9" i="4"/>
  <c r="O8" i="4"/>
  <c r="N8" i="4"/>
  <c r="M8" i="4"/>
  <c r="L8" i="4"/>
  <c r="K8" i="4"/>
  <c r="O7" i="4"/>
  <c r="N7" i="4"/>
  <c r="M7" i="4"/>
  <c r="L7" i="4"/>
  <c r="K7" i="4"/>
  <c r="O20" i="4"/>
  <c r="N20" i="4"/>
  <c r="M20" i="4"/>
  <c r="L20" i="4"/>
  <c r="K20" i="4"/>
  <c r="O19" i="4"/>
  <c r="N19" i="4"/>
  <c r="M19" i="4"/>
  <c r="L19" i="4"/>
  <c r="K19" i="4"/>
  <c r="O18" i="4"/>
  <c r="N18" i="4"/>
  <c r="M18" i="4"/>
  <c r="L18" i="4"/>
  <c r="K18" i="4"/>
  <c r="O17" i="4"/>
  <c r="N17" i="4"/>
  <c r="M17" i="4"/>
  <c r="L17" i="4"/>
  <c r="K17" i="4"/>
  <c r="O16" i="4"/>
  <c r="N16" i="4"/>
  <c r="M16" i="4"/>
  <c r="L16" i="4"/>
  <c r="K16" i="4"/>
  <c r="O15" i="4"/>
  <c r="N15" i="4"/>
  <c r="M15" i="4"/>
  <c r="L15" i="4"/>
  <c r="K15" i="4"/>
  <c r="O14" i="4"/>
  <c r="N14" i="4"/>
  <c r="M14" i="4"/>
  <c r="L14" i="4"/>
  <c r="K14" i="4"/>
  <c r="O13" i="4"/>
  <c r="N13" i="4"/>
  <c r="M13" i="4"/>
  <c r="L13" i="4"/>
  <c r="K13" i="4"/>
  <c r="O24" i="4"/>
  <c r="N24" i="4"/>
  <c r="M24" i="4"/>
  <c r="L24" i="4"/>
  <c r="K24" i="4"/>
  <c r="O23" i="4"/>
  <c r="N23" i="4"/>
  <c r="M23" i="4"/>
  <c r="L23" i="4"/>
  <c r="K23" i="4"/>
  <c r="O22" i="4"/>
  <c r="N22" i="4"/>
  <c r="M22" i="4"/>
  <c r="L22" i="4"/>
  <c r="K22" i="4"/>
  <c r="O21" i="4"/>
  <c r="N21" i="4"/>
  <c r="M21" i="4"/>
  <c r="L21" i="4"/>
  <c r="K21" i="4"/>
  <c r="O27" i="4"/>
  <c r="N27" i="4"/>
  <c r="M27" i="4"/>
  <c r="L27" i="4"/>
  <c r="K27" i="4"/>
  <c r="O26" i="4"/>
  <c r="N26" i="4"/>
  <c r="M26" i="4"/>
  <c r="L26" i="4"/>
  <c r="K26" i="4"/>
  <c r="O25" i="4"/>
  <c r="N25" i="4"/>
  <c r="M25" i="4"/>
  <c r="L25" i="4"/>
  <c r="K25" i="4"/>
  <c r="O656" i="4"/>
  <c r="N656" i="4"/>
  <c r="M656" i="4"/>
  <c r="L656" i="4"/>
  <c r="K656" i="4"/>
  <c r="O655" i="4"/>
  <c r="N655" i="4"/>
  <c r="M655" i="4"/>
  <c r="L655" i="4"/>
  <c r="K655" i="4"/>
  <c r="O654" i="4"/>
  <c r="N654" i="4"/>
  <c r="M654" i="4"/>
  <c r="L654" i="4"/>
  <c r="K654" i="4"/>
  <c r="O653" i="4"/>
  <c r="N653" i="4"/>
  <c r="M653" i="4"/>
  <c r="L653" i="4"/>
  <c r="K653" i="4"/>
  <c r="O652" i="4"/>
  <c r="N652" i="4"/>
  <c r="M652" i="4"/>
  <c r="L652" i="4"/>
  <c r="K652" i="4"/>
  <c r="O651" i="4"/>
  <c r="N651" i="4"/>
  <c r="M651" i="4"/>
  <c r="L651" i="4"/>
  <c r="K651" i="4"/>
  <c r="O650" i="4"/>
  <c r="N650" i="4"/>
  <c r="M650" i="4"/>
  <c r="L650" i="4"/>
  <c r="K650" i="4"/>
  <c r="O649" i="4"/>
  <c r="N649" i="4"/>
  <c r="M649" i="4"/>
  <c r="L649" i="4"/>
  <c r="K649" i="4"/>
  <c r="O648" i="4"/>
  <c r="N648" i="4"/>
  <c r="M648" i="4"/>
  <c r="L648" i="4"/>
  <c r="K648" i="4"/>
  <c r="O647" i="4"/>
  <c r="N647" i="4"/>
  <c r="M647" i="4"/>
  <c r="L647" i="4"/>
  <c r="K647" i="4"/>
  <c r="O646" i="4"/>
  <c r="N646" i="4"/>
  <c r="M646" i="4"/>
  <c r="L646" i="4"/>
  <c r="K646" i="4"/>
  <c r="O645" i="4"/>
  <c r="N645" i="4"/>
  <c r="M645" i="4"/>
  <c r="L645" i="4"/>
  <c r="K645" i="4"/>
  <c r="O644" i="4"/>
  <c r="N644" i="4"/>
  <c r="M644" i="4"/>
  <c r="L644" i="4"/>
  <c r="K644" i="4"/>
  <c r="O643" i="4"/>
  <c r="N643" i="4"/>
  <c r="M643" i="4"/>
  <c r="L643" i="4"/>
  <c r="K643" i="4"/>
  <c r="O642" i="4"/>
  <c r="N642" i="4"/>
  <c r="M642" i="4"/>
  <c r="L642" i="4"/>
  <c r="K642" i="4"/>
  <c r="O641" i="4"/>
  <c r="N641" i="4"/>
  <c r="M641" i="4"/>
  <c r="L641" i="4"/>
  <c r="K641" i="4"/>
  <c r="O640" i="4"/>
  <c r="N640" i="4"/>
  <c r="M640" i="4"/>
  <c r="L640" i="4"/>
  <c r="K640" i="4"/>
  <c r="O639" i="4"/>
  <c r="N639" i="4"/>
  <c r="M639" i="4"/>
  <c r="L639" i="4"/>
  <c r="K639" i="4"/>
  <c r="O638" i="4"/>
  <c r="N638" i="4"/>
  <c r="M638" i="4"/>
  <c r="L638" i="4"/>
  <c r="K638" i="4"/>
  <c r="O637" i="4"/>
  <c r="N637" i="4"/>
  <c r="M637" i="4"/>
  <c r="L637" i="4"/>
  <c r="K637" i="4"/>
  <c r="O636" i="4"/>
  <c r="N636" i="4"/>
  <c r="M636" i="4"/>
  <c r="L636" i="4"/>
  <c r="K636" i="4"/>
  <c r="O635" i="4"/>
  <c r="N635" i="4"/>
  <c r="M635" i="4"/>
  <c r="L635" i="4"/>
  <c r="K635" i="4"/>
  <c r="O634" i="4"/>
  <c r="N634" i="4"/>
  <c r="M634" i="4"/>
  <c r="L634" i="4"/>
  <c r="K634" i="4"/>
  <c r="O633" i="4"/>
  <c r="N633" i="4"/>
  <c r="M633" i="4"/>
  <c r="L633" i="4"/>
  <c r="K633" i="4"/>
  <c r="O632" i="4"/>
  <c r="N632" i="4"/>
  <c r="M632" i="4"/>
  <c r="L632" i="4"/>
  <c r="K632" i="4"/>
  <c r="O238" i="4"/>
  <c r="N238" i="4"/>
  <c r="M238" i="4"/>
  <c r="L238" i="4"/>
  <c r="K238" i="4"/>
  <c r="O237" i="4"/>
  <c r="N237" i="4"/>
  <c r="M237" i="4"/>
  <c r="L237" i="4"/>
  <c r="K237" i="4"/>
  <c r="O33" i="4"/>
  <c r="N33" i="4"/>
  <c r="M33" i="4"/>
  <c r="L33" i="4"/>
  <c r="K33" i="4"/>
  <c r="O32" i="4"/>
  <c r="N32" i="4"/>
  <c r="M32" i="4"/>
  <c r="L32" i="4"/>
  <c r="K32" i="4"/>
  <c r="O31" i="4"/>
  <c r="N31" i="4"/>
  <c r="M31" i="4"/>
  <c r="L31" i="4"/>
  <c r="K31" i="4"/>
  <c r="O30" i="4"/>
  <c r="N30" i="4"/>
  <c r="M30" i="4"/>
  <c r="L30" i="4"/>
  <c r="K30" i="4"/>
  <c r="O29" i="4"/>
  <c r="N29" i="4"/>
  <c r="M29" i="4"/>
  <c r="L29" i="4"/>
  <c r="K29" i="4"/>
  <c r="K240" i="4"/>
  <c r="L240" i="4"/>
  <c r="M240" i="4"/>
  <c r="N240" i="4"/>
  <c r="O240" i="4"/>
  <c r="K241" i="4"/>
  <c r="L241" i="4"/>
  <c r="M241" i="4"/>
  <c r="N241" i="4"/>
  <c r="O241" i="4"/>
  <c r="O623" i="4"/>
  <c r="N623" i="4"/>
  <c r="M623" i="4"/>
  <c r="L623" i="4"/>
  <c r="K623" i="4"/>
  <c r="O622" i="4"/>
  <c r="N622" i="4"/>
  <c r="M622" i="4"/>
  <c r="L622" i="4"/>
  <c r="K622" i="4"/>
  <c r="O621" i="4"/>
  <c r="N621" i="4"/>
  <c r="M621" i="4"/>
  <c r="L621" i="4"/>
  <c r="K621" i="4"/>
  <c r="O620" i="4"/>
  <c r="N620" i="4"/>
  <c r="M620" i="4"/>
  <c r="L620" i="4"/>
  <c r="K620" i="4"/>
  <c r="O619" i="4"/>
  <c r="N619" i="4"/>
  <c r="M619" i="4"/>
  <c r="L619" i="4"/>
  <c r="K619" i="4"/>
  <c r="O618" i="4"/>
  <c r="N618" i="4"/>
  <c r="M618" i="4"/>
  <c r="L618" i="4"/>
  <c r="K618" i="4"/>
  <c r="O617" i="4"/>
  <c r="N617" i="4"/>
  <c r="M617" i="4"/>
  <c r="L617" i="4"/>
  <c r="K617" i="4"/>
  <c r="O616" i="4"/>
  <c r="N616" i="4"/>
  <c r="M616" i="4"/>
  <c r="L616" i="4"/>
  <c r="K616" i="4"/>
  <c r="O615" i="4"/>
  <c r="N615" i="4"/>
  <c r="M615" i="4"/>
  <c r="L615" i="4"/>
  <c r="K615" i="4"/>
  <c r="O614" i="4"/>
  <c r="N614" i="4"/>
  <c r="M614" i="4"/>
  <c r="L614" i="4"/>
  <c r="K614" i="4"/>
  <c r="O613" i="4"/>
  <c r="N613" i="4"/>
  <c r="M613" i="4"/>
  <c r="L613" i="4"/>
  <c r="K613" i="4"/>
  <c r="O612" i="4"/>
  <c r="N612" i="4"/>
  <c r="M612" i="4"/>
  <c r="L612" i="4"/>
  <c r="K612" i="4"/>
  <c r="O611" i="4"/>
  <c r="N611" i="4"/>
  <c r="M611" i="4"/>
  <c r="L611" i="4"/>
  <c r="K611" i="4"/>
  <c r="O610" i="4"/>
  <c r="N610" i="4"/>
  <c r="M610" i="4"/>
  <c r="L610" i="4"/>
  <c r="K610" i="4"/>
  <c r="O609" i="4"/>
  <c r="N609" i="4"/>
  <c r="M609" i="4"/>
  <c r="L609" i="4"/>
  <c r="K609" i="4"/>
  <c r="O608" i="4"/>
  <c r="N608" i="4"/>
  <c r="M608" i="4"/>
  <c r="L608" i="4"/>
  <c r="K608" i="4"/>
  <c r="O607" i="4"/>
  <c r="N607" i="4"/>
  <c r="M607" i="4"/>
  <c r="L607" i="4"/>
  <c r="K607" i="4"/>
  <c r="O606" i="4"/>
  <c r="N606" i="4"/>
  <c r="M606" i="4"/>
  <c r="L606" i="4"/>
  <c r="K606" i="4"/>
  <c r="O605" i="4"/>
  <c r="N605" i="4"/>
  <c r="M605" i="4"/>
  <c r="L605" i="4"/>
  <c r="K605" i="4"/>
  <c r="O604" i="4"/>
  <c r="N604" i="4"/>
  <c r="M604" i="4"/>
  <c r="L604" i="4"/>
  <c r="K604" i="4"/>
  <c r="O890" i="4"/>
  <c r="N890" i="4"/>
  <c r="M890" i="4"/>
  <c r="L890" i="4"/>
  <c r="K890" i="4"/>
  <c r="O889" i="4"/>
  <c r="N889" i="4"/>
  <c r="M889" i="4"/>
  <c r="L889" i="4"/>
  <c r="K889" i="4"/>
  <c r="O222" i="4"/>
  <c r="N222" i="4"/>
  <c r="M222" i="4"/>
  <c r="L222" i="4"/>
  <c r="K222" i="4"/>
  <c r="O221" i="4"/>
  <c r="N221" i="4"/>
  <c r="M221" i="4"/>
  <c r="L221" i="4"/>
  <c r="K221" i="4"/>
  <c r="O888" i="4"/>
  <c r="N888" i="4"/>
  <c r="M888" i="4"/>
  <c r="L888" i="4"/>
  <c r="K888" i="4"/>
  <c r="O887" i="4"/>
  <c r="N887" i="4"/>
  <c r="M887" i="4"/>
  <c r="L887" i="4"/>
  <c r="K887" i="4"/>
  <c r="O886" i="4"/>
  <c r="N886" i="4"/>
  <c r="M886" i="4"/>
  <c r="L886" i="4"/>
  <c r="K886" i="4"/>
  <c r="O591" i="4"/>
  <c r="N591" i="4"/>
  <c r="M591" i="4"/>
  <c r="L591" i="4"/>
  <c r="K591" i="4"/>
  <c r="O590" i="4"/>
  <c r="N590" i="4"/>
  <c r="M590" i="4"/>
  <c r="L590" i="4"/>
  <c r="K590" i="4"/>
  <c r="O589" i="4"/>
  <c r="N589" i="4"/>
  <c r="M589" i="4"/>
  <c r="L589" i="4"/>
  <c r="K589" i="4"/>
  <c r="O885" i="4"/>
  <c r="N885" i="4"/>
  <c r="M885" i="4"/>
  <c r="L885" i="4"/>
  <c r="K885" i="4"/>
  <c r="O884" i="4"/>
  <c r="N884" i="4"/>
  <c r="M884" i="4"/>
  <c r="L884" i="4"/>
  <c r="K884" i="4"/>
  <c r="O883" i="4"/>
  <c r="N883" i="4"/>
  <c r="M883" i="4"/>
  <c r="L883" i="4"/>
  <c r="K883" i="4"/>
  <c r="O882" i="4"/>
  <c r="N882" i="4"/>
  <c r="M882" i="4"/>
  <c r="L882" i="4"/>
  <c r="K882" i="4"/>
  <c r="O881" i="4"/>
  <c r="N881" i="4"/>
  <c r="M881" i="4"/>
  <c r="L881" i="4"/>
  <c r="K881" i="4"/>
  <c r="O880" i="4"/>
  <c r="N880" i="4"/>
  <c r="M880" i="4"/>
  <c r="L880" i="4"/>
  <c r="K880" i="4"/>
  <c r="O879" i="4"/>
  <c r="N879" i="4"/>
  <c r="M879" i="4"/>
  <c r="L879" i="4"/>
  <c r="K879" i="4"/>
  <c r="O878" i="4"/>
  <c r="N878" i="4"/>
  <c r="M878" i="4"/>
  <c r="L878" i="4"/>
  <c r="K878" i="4"/>
  <c r="O877" i="4"/>
  <c r="N877" i="4"/>
  <c r="M877" i="4"/>
  <c r="L877" i="4"/>
  <c r="K877" i="4"/>
  <c r="O876" i="4"/>
  <c r="N876" i="4"/>
  <c r="M876" i="4"/>
  <c r="L876" i="4"/>
  <c r="K876" i="4"/>
  <c r="O875" i="4"/>
  <c r="N875" i="4"/>
  <c r="M875" i="4"/>
  <c r="L875" i="4"/>
  <c r="K875" i="4"/>
  <c r="O874" i="4"/>
  <c r="N874" i="4"/>
  <c r="M874" i="4"/>
  <c r="L874" i="4"/>
  <c r="K874" i="4"/>
  <c r="O873" i="4"/>
  <c r="N873" i="4"/>
  <c r="M873" i="4"/>
  <c r="L873" i="4"/>
  <c r="K873" i="4"/>
  <c r="O872" i="4"/>
  <c r="N872" i="4"/>
  <c r="M872" i="4"/>
  <c r="L872" i="4"/>
  <c r="K872" i="4"/>
  <c r="O871" i="4"/>
  <c r="N871" i="4"/>
  <c r="M871" i="4"/>
  <c r="L871" i="4"/>
  <c r="K871" i="4"/>
  <c r="O870" i="4"/>
  <c r="N870" i="4"/>
  <c r="M870" i="4"/>
  <c r="L870" i="4"/>
  <c r="K870" i="4"/>
  <c r="O869" i="4"/>
  <c r="N869" i="4"/>
  <c r="M869" i="4"/>
  <c r="L869" i="4"/>
  <c r="K869" i="4"/>
  <c r="O868" i="4"/>
  <c r="N868" i="4"/>
  <c r="M868" i="4"/>
  <c r="L868" i="4"/>
  <c r="K868" i="4"/>
  <c r="O867" i="4"/>
  <c r="N867" i="4"/>
  <c r="M867" i="4"/>
  <c r="L867" i="4"/>
  <c r="K867" i="4"/>
  <c r="O866" i="4"/>
  <c r="N866" i="4"/>
  <c r="M866" i="4"/>
  <c r="L866" i="4"/>
  <c r="K866" i="4"/>
  <c r="O865" i="4"/>
  <c r="N865" i="4"/>
  <c r="M865" i="4"/>
  <c r="L865" i="4"/>
  <c r="K865" i="4"/>
  <c r="O864" i="4"/>
  <c r="N864" i="4"/>
  <c r="M864" i="4"/>
  <c r="L864" i="4"/>
  <c r="K864" i="4"/>
  <c r="O863" i="4"/>
  <c r="N863" i="4"/>
  <c r="M863" i="4"/>
  <c r="L863" i="4"/>
  <c r="K863" i="4"/>
  <c r="O862" i="4"/>
  <c r="N862" i="4"/>
  <c r="M862" i="4"/>
  <c r="L862" i="4"/>
  <c r="K862" i="4"/>
  <c r="O861" i="4"/>
  <c r="N861" i="4"/>
  <c r="M861" i="4"/>
  <c r="L861" i="4"/>
  <c r="K861" i="4"/>
  <c r="O860" i="4"/>
  <c r="N860" i="4"/>
  <c r="M860" i="4"/>
  <c r="L860" i="4"/>
  <c r="K860" i="4"/>
  <c r="O859" i="4"/>
  <c r="N859" i="4"/>
  <c r="M859" i="4"/>
  <c r="L859" i="4"/>
  <c r="K859" i="4"/>
  <c r="O858" i="4"/>
  <c r="N858" i="4"/>
  <c r="M858" i="4"/>
  <c r="L858" i="4"/>
  <c r="K858" i="4"/>
  <c r="O857" i="4"/>
  <c r="N857" i="4"/>
  <c r="M857" i="4"/>
  <c r="L857" i="4"/>
  <c r="K857" i="4"/>
  <c r="O856" i="4"/>
  <c r="N856" i="4"/>
  <c r="M856" i="4"/>
  <c r="L856" i="4"/>
  <c r="K856" i="4"/>
  <c r="O855" i="4"/>
  <c r="N855" i="4"/>
  <c r="M855" i="4"/>
  <c r="L855" i="4"/>
  <c r="K855" i="4"/>
  <c r="O854" i="4"/>
  <c r="N854" i="4"/>
  <c r="M854" i="4"/>
  <c r="L854" i="4"/>
  <c r="K854" i="4"/>
  <c r="O853" i="4"/>
  <c r="N853" i="4"/>
  <c r="M853" i="4"/>
  <c r="L853" i="4"/>
  <c r="K853" i="4"/>
  <c r="O852" i="4"/>
  <c r="N852" i="4"/>
  <c r="M852" i="4"/>
  <c r="L852" i="4"/>
  <c r="K852" i="4"/>
  <c r="O851" i="4"/>
  <c r="N851" i="4"/>
  <c r="M851" i="4"/>
  <c r="L851" i="4"/>
  <c r="K851" i="4"/>
  <c r="O850" i="4"/>
  <c r="N850" i="4"/>
  <c r="M850" i="4"/>
  <c r="L850" i="4"/>
  <c r="K850" i="4"/>
  <c r="O849" i="4"/>
  <c r="N849" i="4"/>
  <c r="M849" i="4"/>
  <c r="L849" i="4"/>
  <c r="K849" i="4"/>
  <c r="O848" i="4"/>
  <c r="N848" i="4"/>
  <c r="M848" i="4"/>
  <c r="L848" i="4"/>
  <c r="K848" i="4"/>
  <c r="O847" i="4"/>
  <c r="N847" i="4"/>
  <c r="M847" i="4"/>
  <c r="L847" i="4"/>
  <c r="K847" i="4"/>
  <c r="O846" i="4"/>
  <c r="N846" i="4"/>
  <c r="M846" i="4"/>
  <c r="L846" i="4"/>
  <c r="K846" i="4"/>
  <c r="O845" i="4"/>
  <c r="N845" i="4"/>
  <c r="M845" i="4"/>
  <c r="L845" i="4"/>
  <c r="K845" i="4"/>
  <c r="O844" i="4"/>
  <c r="N844" i="4"/>
  <c r="M844" i="4"/>
  <c r="L844" i="4"/>
  <c r="K844" i="4"/>
  <c r="O843" i="4"/>
  <c r="N843" i="4"/>
  <c r="M843" i="4"/>
  <c r="L843" i="4"/>
  <c r="K843" i="4"/>
  <c r="O842" i="4"/>
  <c r="N842" i="4"/>
  <c r="M842" i="4"/>
  <c r="L842" i="4"/>
  <c r="K842" i="4"/>
  <c r="O841" i="4"/>
  <c r="N841" i="4"/>
  <c r="M841" i="4"/>
  <c r="L841" i="4"/>
  <c r="K841" i="4"/>
  <c r="O840" i="4"/>
  <c r="N840" i="4"/>
  <c r="M840" i="4"/>
  <c r="L840" i="4"/>
  <c r="K840" i="4"/>
  <c r="O839" i="4"/>
  <c r="N839" i="4"/>
  <c r="M839" i="4"/>
  <c r="L839" i="4"/>
  <c r="K839" i="4"/>
  <c r="O838" i="4"/>
  <c r="N838" i="4"/>
  <c r="M838" i="4"/>
  <c r="L838" i="4"/>
  <c r="K838" i="4"/>
  <c r="O837" i="4"/>
  <c r="N837" i="4"/>
  <c r="M837" i="4"/>
  <c r="L837" i="4"/>
  <c r="K837" i="4"/>
  <c r="O836" i="4"/>
  <c r="N836" i="4"/>
  <c r="M836" i="4"/>
  <c r="L836" i="4"/>
  <c r="K836" i="4"/>
  <c r="O835" i="4"/>
  <c r="N835" i="4"/>
  <c r="M835" i="4"/>
  <c r="L835" i="4"/>
  <c r="K835" i="4"/>
  <c r="O834" i="4"/>
  <c r="N834" i="4"/>
  <c r="M834" i="4"/>
  <c r="L834" i="4"/>
  <c r="K834" i="4"/>
  <c r="O833" i="4"/>
  <c r="N833" i="4"/>
  <c r="M833" i="4"/>
  <c r="L833" i="4"/>
  <c r="K833" i="4"/>
  <c r="O832" i="4"/>
  <c r="N832" i="4"/>
  <c r="M832" i="4"/>
  <c r="L832" i="4"/>
  <c r="K832" i="4"/>
  <c r="O831" i="4"/>
  <c r="N831" i="4"/>
  <c r="M831" i="4"/>
  <c r="L831" i="4"/>
  <c r="K831" i="4"/>
  <c r="O830" i="4"/>
  <c r="N830" i="4"/>
  <c r="M830" i="4"/>
  <c r="L830" i="4"/>
  <c r="K830" i="4"/>
  <c r="O829" i="4"/>
  <c r="N829" i="4"/>
  <c r="M829" i="4"/>
  <c r="L829" i="4"/>
  <c r="K829" i="4"/>
  <c r="O828" i="4"/>
  <c r="N828" i="4"/>
  <c r="M828" i="4"/>
  <c r="L828" i="4"/>
  <c r="K828" i="4"/>
  <c r="O827" i="4"/>
  <c r="N827" i="4"/>
  <c r="M827" i="4"/>
  <c r="L827" i="4"/>
  <c r="K827" i="4"/>
  <c r="O826" i="4"/>
  <c r="N826" i="4"/>
  <c r="M826" i="4"/>
  <c r="L826" i="4"/>
  <c r="K826" i="4"/>
  <c r="O825" i="4"/>
  <c r="N825" i="4"/>
  <c r="M825" i="4"/>
  <c r="L825" i="4"/>
  <c r="K825" i="4"/>
  <c r="O824" i="4"/>
  <c r="N824" i="4"/>
  <c r="M824" i="4"/>
  <c r="L824" i="4"/>
  <c r="K824" i="4"/>
  <c r="O823" i="4"/>
  <c r="N823" i="4"/>
  <c r="M823" i="4"/>
  <c r="L823" i="4"/>
  <c r="K823" i="4"/>
  <c r="O822" i="4"/>
  <c r="N822" i="4"/>
  <c r="M822" i="4"/>
  <c r="L822" i="4"/>
  <c r="K822" i="4"/>
  <c r="O821" i="4"/>
  <c r="N821" i="4"/>
  <c r="M821" i="4"/>
  <c r="L821" i="4"/>
  <c r="K821" i="4"/>
  <c r="O820" i="4"/>
  <c r="N820" i="4"/>
  <c r="M820" i="4"/>
  <c r="L820" i="4"/>
  <c r="K820" i="4"/>
  <c r="O819" i="4"/>
  <c r="N819" i="4"/>
  <c r="M819" i="4"/>
  <c r="L819" i="4"/>
  <c r="K819" i="4"/>
  <c r="O818" i="4"/>
  <c r="N818" i="4"/>
  <c r="M818" i="4"/>
  <c r="L818" i="4"/>
  <c r="K818" i="4"/>
  <c r="O817" i="4"/>
  <c r="N817" i="4"/>
  <c r="M817" i="4"/>
  <c r="L817" i="4"/>
  <c r="K817" i="4"/>
  <c r="O816" i="4"/>
  <c r="N816" i="4"/>
  <c r="M816" i="4"/>
  <c r="L816" i="4"/>
  <c r="K816" i="4"/>
  <c r="O815" i="4"/>
  <c r="N815" i="4"/>
  <c r="M815" i="4"/>
  <c r="L815" i="4"/>
  <c r="K815" i="4"/>
  <c r="O814" i="4"/>
  <c r="N814" i="4"/>
  <c r="M814" i="4"/>
  <c r="L814" i="4"/>
  <c r="K814" i="4"/>
  <c r="O813" i="4"/>
  <c r="N813" i="4"/>
  <c r="M813" i="4"/>
  <c r="L813" i="4"/>
  <c r="K813" i="4"/>
  <c r="O812" i="4"/>
  <c r="N812" i="4"/>
  <c r="M812" i="4"/>
  <c r="L812" i="4"/>
  <c r="K812" i="4"/>
  <c r="O811" i="4"/>
  <c r="N811" i="4"/>
  <c r="M811" i="4"/>
  <c r="L811" i="4"/>
  <c r="K811" i="4"/>
  <c r="O810" i="4"/>
  <c r="N810" i="4"/>
  <c r="M810" i="4"/>
  <c r="L810" i="4"/>
  <c r="K810" i="4"/>
  <c r="O809" i="4"/>
  <c r="N809" i="4"/>
  <c r="M809" i="4"/>
  <c r="L809" i="4"/>
  <c r="K809" i="4"/>
  <c r="O808" i="4"/>
  <c r="N808" i="4"/>
  <c r="M808" i="4"/>
  <c r="L808" i="4"/>
  <c r="K808" i="4"/>
  <c r="O807" i="4"/>
  <c r="N807" i="4"/>
  <c r="M807" i="4"/>
  <c r="L807" i="4"/>
  <c r="K807" i="4"/>
  <c r="O806" i="4"/>
  <c r="N806" i="4"/>
  <c r="M806" i="4"/>
  <c r="L806" i="4"/>
  <c r="K806" i="4"/>
  <c r="O805" i="4"/>
  <c r="N805" i="4"/>
  <c r="M805" i="4"/>
  <c r="L805" i="4"/>
  <c r="K805" i="4"/>
  <c r="O804" i="4"/>
  <c r="N804" i="4"/>
  <c r="M804" i="4"/>
  <c r="L804" i="4"/>
  <c r="K804" i="4"/>
  <c r="O803" i="4"/>
  <c r="N803" i="4"/>
  <c r="M803" i="4"/>
  <c r="L803" i="4"/>
  <c r="K803" i="4"/>
  <c r="O802" i="4"/>
  <c r="N802" i="4"/>
  <c r="M802" i="4"/>
  <c r="L802" i="4"/>
  <c r="K802" i="4"/>
  <c r="O801" i="4"/>
  <c r="N801" i="4"/>
  <c r="M801" i="4"/>
  <c r="L801" i="4"/>
  <c r="K801" i="4"/>
  <c r="O800" i="4"/>
  <c r="N800" i="4"/>
  <c r="M800" i="4"/>
  <c r="L800" i="4"/>
  <c r="K800" i="4"/>
  <c r="O799" i="4"/>
  <c r="N799" i="4"/>
  <c r="M799" i="4"/>
  <c r="L799" i="4"/>
  <c r="K799" i="4"/>
  <c r="O798" i="4"/>
  <c r="N798" i="4"/>
  <c r="M798" i="4"/>
  <c r="L798" i="4"/>
  <c r="K798" i="4"/>
  <c r="O797" i="4"/>
  <c r="N797" i="4"/>
  <c r="M797" i="4"/>
  <c r="L797" i="4"/>
  <c r="K797" i="4"/>
  <c r="O796" i="4"/>
  <c r="N796" i="4"/>
  <c r="M796" i="4"/>
  <c r="L796" i="4"/>
  <c r="K796" i="4"/>
  <c r="O795" i="4"/>
  <c r="N795" i="4"/>
  <c r="M795" i="4"/>
  <c r="L795" i="4"/>
  <c r="K795" i="4"/>
  <c r="O794" i="4"/>
  <c r="N794" i="4"/>
  <c r="M794" i="4"/>
  <c r="L794" i="4"/>
  <c r="K794" i="4"/>
  <c r="O793" i="4"/>
  <c r="N793" i="4"/>
  <c r="M793" i="4"/>
  <c r="L793" i="4"/>
  <c r="K793" i="4"/>
  <c r="O792" i="4"/>
  <c r="N792" i="4"/>
  <c r="M792" i="4"/>
  <c r="L792" i="4"/>
  <c r="K792" i="4"/>
  <c r="O404" i="4"/>
  <c r="N404" i="4"/>
  <c r="M404" i="4"/>
  <c r="L404" i="4"/>
  <c r="K404" i="4"/>
  <c r="O403" i="4"/>
  <c r="N403" i="4"/>
  <c r="M403" i="4"/>
  <c r="L403" i="4"/>
  <c r="K403" i="4"/>
  <c r="O402" i="4"/>
  <c r="N402" i="4"/>
  <c r="M402" i="4"/>
  <c r="L402" i="4"/>
  <c r="K402" i="4"/>
  <c r="O401" i="4"/>
  <c r="N401" i="4"/>
  <c r="M401" i="4"/>
  <c r="L401" i="4"/>
  <c r="K401" i="4"/>
  <c r="O400" i="4"/>
  <c r="N400" i="4"/>
  <c r="M400" i="4"/>
  <c r="L400" i="4"/>
  <c r="K400" i="4"/>
  <c r="O399" i="4"/>
  <c r="N399" i="4"/>
  <c r="M399" i="4"/>
  <c r="L399" i="4"/>
  <c r="K399" i="4"/>
  <c r="O398" i="4"/>
  <c r="N398" i="4"/>
  <c r="M398" i="4"/>
  <c r="L398" i="4"/>
  <c r="K398" i="4"/>
  <c r="O397" i="4"/>
  <c r="N397" i="4"/>
  <c r="M397" i="4"/>
  <c r="L397" i="4"/>
  <c r="K397" i="4"/>
  <c r="O396" i="4"/>
  <c r="N396" i="4"/>
  <c r="M396" i="4"/>
  <c r="L396" i="4"/>
  <c r="K396" i="4"/>
  <c r="O395" i="4"/>
  <c r="N395" i="4"/>
  <c r="M395" i="4"/>
  <c r="L395" i="4"/>
  <c r="K395" i="4"/>
  <c r="O394" i="4"/>
  <c r="N394" i="4"/>
  <c r="M394" i="4"/>
  <c r="L394" i="4"/>
  <c r="K394" i="4"/>
  <c r="O393" i="4"/>
  <c r="N393" i="4"/>
  <c r="M393" i="4"/>
  <c r="L393" i="4"/>
  <c r="K393" i="4"/>
  <c r="O392" i="4"/>
  <c r="N392" i="4"/>
  <c r="M392" i="4"/>
  <c r="L392" i="4"/>
  <c r="K392" i="4"/>
  <c r="O391" i="4"/>
  <c r="N391" i="4"/>
  <c r="M391" i="4"/>
  <c r="L391" i="4"/>
  <c r="K391" i="4"/>
  <c r="O390" i="4"/>
  <c r="N390" i="4"/>
  <c r="M390" i="4"/>
  <c r="L390" i="4"/>
  <c r="K390" i="4"/>
  <c r="O389" i="4"/>
  <c r="N389" i="4"/>
  <c r="M389" i="4"/>
  <c r="L389" i="4"/>
  <c r="K389" i="4"/>
  <c r="O388" i="4"/>
  <c r="N388" i="4"/>
  <c r="M388" i="4"/>
  <c r="L388" i="4"/>
  <c r="K388" i="4"/>
  <c r="O387" i="4"/>
  <c r="N387" i="4"/>
  <c r="M387" i="4"/>
  <c r="L387" i="4"/>
  <c r="K387" i="4"/>
  <c r="O386" i="4"/>
  <c r="N386" i="4"/>
  <c r="M386" i="4"/>
  <c r="L386" i="4"/>
  <c r="K386" i="4"/>
  <c r="O385" i="4"/>
  <c r="N385" i="4"/>
  <c r="M385" i="4"/>
  <c r="L385" i="4"/>
  <c r="K385" i="4"/>
  <c r="O384" i="4"/>
  <c r="N384" i="4"/>
  <c r="M384" i="4"/>
  <c r="L384" i="4"/>
  <c r="K384" i="4"/>
  <c r="O383" i="4"/>
  <c r="N383" i="4"/>
  <c r="M383" i="4"/>
  <c r="L383" i="4"/>
  <c r="K383" i="4"/>
  <c r="O382" i="4"/>
  <c r="N382" i="4"/>
  <c r="M382" i="4"/>
  <c r="L382" i="4"/>
  <c r="K382" i="4"/>
  <c r="O381" i="4"/>
  <c r="N381" i="4"/>
  <c r="M381" i="4"/>
  <c r="L381" i="4"/>
  <c r="K381" i="4"/>
  <c r="O380" i="4"/>
  <c r="N380" i="4"/>
  <c r="M380" i="4"/>
  <c r="L380" i="4"/>
  <c r="K380" i="4"/>
  <c r="O379" i="4"/>
  <c r="N379" i="4"/>
  <c r="M379" i="4"/>
  <c r="L379" i="4"/>
  <c r="K379" i="4"/>
  <c r="O378" i="4"/>
  <c r="N378" i="4"/>
  <c r="M378" i="4"/>
  <c r="L378" i="4"/>
  <c r="K378" i="4"/>
  <c r="O377" i="4"/>
  <c r="N377" i="4"/>
  <c r="M377" i="4"/>
  <c r="L377" i="4"/>
  <c r="K377" i="4"/>
  <c r="O376" i="4"/>
  <c r="N376" i="4"/>
  <c r="M376" i="4"/>
  <c r="L376" i="4"/>
  <c r="K376" i="4"/>
  <c r="O375" i="4"/>
  <c r="N375" i="4"/>
  <c r="M375" i="4"/>
  <c r="L375" i="4"/>
  <c r="K375" i="4"/>
  <c r="O374" i="4"/>
  <c r="N374" i="4"/>
  <c r="M374" i="4"/>
  <c r="L374" i="4"/>
  <c r="K374" i="4"/>
  <c r="O373" i="4"/>
  <c r="N373" i="4"/>
  <c r="M373" i="4"/>
  <c r="L373" i="4"/>
  <c r="K373" i="4"/>
  <c r="O372" i="4"/>
  <c r="N372" i="4"/>
  <c r="M372" i="4"/>
  <c r="L372" i="4"/>
  <c r="K372" i="4"/>
  <c r="O371" i="4"/>
  <c r="N371" i="4"/>
  <c r="M371" i="4"/>
  <c r="L371" i="4"/>
  <c r="K371" i="4"/>
  <c r="O370" i="4"/>
  <c r="N370" i="4"/>
  <c r="M370" i="4"/>
  <c r="L370" i="4"/>
  <c r="K370" i="4"/>
  <c r="O369" i="4"/>
  <c r="N369" i="4"/>
  <c r="M369" i="4"/>
  <c r="L369" i="4"/>
  <c r="K369" i="4"/>
  <c r="O368" i="4"/>
  <c r="N368" i="4"/>
  <c r="M368" i="4"/>
  <c r="L368" i="4"/>
  <c r="K368" i="4"/>
  <c r="O367" i="4"/>
  <c r="N367" i="4"/>
  <c r="M367" i="4"/>
  <c r="L367" i="4"/>
  <c r="K367" i="4"/>
  <c r="O366" i="4"/>
  <c r="N366" i="4"/>
  <c r="M366" i="4"/>
  <c r="L366" i="4"/>
  <c r="K366" i="4"/>
  <c r="O365" i="4"/>
  <c r="N365" i="4"/>
  <c r="M365" i="4"/>
  <c r="L365" i="4"/>
  <c r="K365" i="4"/>
  <c r="O364" i="4"/>
  <c r="N364" i="4"/>
  <c r="M364" i="4"/>
  <c r="L364" i="4"/>
  <c r="K364" i="4"/>
  <c r="O363" i="4"/>
  <c r="N363" i="4"/>
  <c r="M363" i="4"/>
  <c r="L363" i="4"/>
  <c r="K363" i="4"/>
  <c r="O362" i="4"/>
  <c r="N362" i="4"/>
  <c r="M362" i="4"/>
  <c r="L362" i="4"/>
  <c r="K362" i="4"/>
  <c r="O361" i="4"/>
  <c r="N361" i="4"/>
  <c r="M361" i="4"/>
  <c r="L361" i="4"/>
  <c r="K361" i="4"/>
  <c r="O360" i="4"/>
  <c r="N360" i="4"/>
  <c r="M360" i="4"/>
  <c r="L360" i="4"/>
  <c r="K360" i="4"/>
  <c r="O359" i="4"/>
  <c r="N359" i="4"/>
  <c r="M359" i="4"/>
  <c r="L359" i="4"/>
  <c r="K359" i="4"/>
  <c r="O358" i="4"/>
  <c r="N358" i="4"/>
  <c r="M358" i="4"/>
  <c r="L358" i="4"/>
  <c r="K358" i="4"/>
  <c r="O357" i="4"/>
  <c r="N357" i="4"/>
  <c r="M357" i="4"/>
  <c r="L357" i="4"/>
  <c r="K357" i="4"/>
  <c r="O356" i="4"/>
  <c r="N356" i="4"/>
  <c r="M356" i="4"/>
  <c r="L356" i="4"/>
  <c r="K356" i="4"/>
  <c r="O588" i="4"/>
  <c r="N588" i="4"/>
  <c r="M588" i="4"/>
  <c r="L588" i="4"/>
  <c r="K588" i="4"/>
  <c r="O587" i="4"/>
  <c r="N587" i="4"/>
  <c r="M587" i="4"/>
  <c r="L587" i="4"/>
  <c r="K587" i="4"/>
  <c r="O586" i="4"/>
  <c r="N586" i="4"/>
  <c r="M586" i="4"/>
  <c r="L586" i="4"/>
  <c r="K586" i="4"/>
  <c r="O585" i="4"/>
  <c r="N585" i="4"/>
  <c r="M585" i="4"/>
  <c r="L585" i="4"/>
  <c r="K585" i="4"/>
  <c r="O584" i="4"/>
  <c r="N584" i="4"/>
  <c r="M584" i="4"/>
  <c r="L584" i="4"/>
  <c r="K584" i="4"/>
  <c r="O583" i="4"/>
  <c r="N583" i="4"/>
  <c r="M583" i="4"/>
  <c r="L583" i="4"/>
  <c r="K583" i="4"/>
  <c r="O582" i="4"/>
  <c r="N582" i="4"/>
  <c r="M582" i="4"/>
  <c r="L582" i="4"/>
  <c r="K582" i="4"/>
  <c r="O581" i="4"/>
  <c r="N581" i="4"/>
  <c r="M581" i="4"/>
  <c r="L581" i="4"/>
  <c r="K581" i="4"/>
  <c r="O580" i="4"/>
  <c r="N580" i="4"/>
  <c r="M580" i="4"/>
  <c r="L580" i="4"/>
  <c r="K580" i="4"/>
  <c r="O579" i="4"/>
  <c r="N579" i="4"/>
  <c r="M579" i="4"/>
  <c r="L579" i="4"/>
  <c r="K579" i="4"/>
  <c r="O578" i="4"/>
  <c r="N578" i="4"/>
  <c r="M578" i="4"/>
  <c r="L578" i="4"/>
  <c r="K578" i="4"/>
  <c r="O577" i="4"/>
  <c r="N577" i="4"/>
  <c r="M577" i="4"/>
  <c r="L577" i="4"/>
  <c r="K577" i="4"/>
  <c r="O576" i="4"/>
  <c r="N576" i="4"/>
  <c r="M576" i="4"/>
  <c r="L576" i="4"/>
  <c r="K576" i="4"/>
  <c r="O575" i="4"/>
  <c r="N575" i="4"/>
  <c r="M575" i="4"/>
  <c r="L575" i="4"/>
  <c r="K575" i="4"/>
  <c r="O574" i="4"/>
  <c r="N574" i="4"/>
  <c r="M574" i="4"/>
  <c r="L574" i="4"/>
  <c r="K574" i="4"/>
  <c r="O573" i="4"/>
  <c r="N573" i="4"/>
  <c r="M573" i="4"/>
  <c r="L573" i="4"/>
  <c r="K573" i="4"/>
  <c r="O572" i="4"/>
  <c r="N572" i="4"/>
  <c r="M572" i="4"/>
  <c r="L572" i="4"/>
  <c r="K572" i="4"/>
  <c r="O571" i="4"/>
  <c r="N571" i="4"/>
  <c r="M571" i="4"/>
  <c r="L571" i="4"/>
  <c r="K571" i="4"/>
  <c r="O570" i="4"/>
  <c r="N570" i="4"/>
  <c r="M570" i="4"/>
  <c r="L570" i="4"/>
  <c r="K570" i="4"/>
  <c r="O569" i="4"/>
  <c r="N569" i="4"/>
  <c r="M569" i="4"/>
  <c r="L569" i="4"/>
  <c r="K569" i="4"/>
  <c r="O568" i="4"/>
  <c r="N568" i="4"/>
  <c r="M568" i="4"/>
  <c r="L568" i="4"/>
  <c r="K568" i="4"/>
  <c r="O567" i="4"/>
  <c r="N567" i="4"/>
  <c r="M567" i="4"/>
  <c r="L567" i="4"/>
  <c r="K567" i="4"/>
  <c r="O244" i="4"/>
  <c r="N244" i="4"/>
  <c r="M244" i="4"/>
  <c r="L244" i="4"/>
  <c r="K244" i="4"/>
  <c r="O220" i="4"/>
  <c r="N220" i="4"/>
  <c r="M220" i="4"/>
  <c r="L220" i="4"/>
  <c r="K220" i="4"/>
  <c r="O219" i="4"/>
  <c r="N219" i="4"/>
  <c r="M219" i="4"/>
  <c r="L219" i="4"/>
  <c r="K219" i="4"/>
  <c r="O218" i="4"/>
  <c r="N218" i="4"/>
  <c r="M218" i="4"/>
  <c r="L218" i="4"/>
  <c r="K218" i="4"/>
  <c r="O217" i="4"/>
  <c r="N217" i="4"/>
  <c r="M217" i="4"/>
  <c r="L217" i="4"/>
  <c r="K217" i="4"/>
  <c r="O216" i="4"/>
  <c r="N216" i="4"/>
  <c r="M216" i="4"/>
  <c r="L216" i="4"/>
  <c r="K216" i="4"/>
  <c r="O215" i="4"/>
  <c r="N215" i="4"/>
  <c r="M215" i="4"/>
  <c r="L215" i="4"/>
  <c r="K215" i="4"/>
  <c r="O214" i="4"/>
  <c r="N214" i="4"/>
  <c r="M214" i="4"/>
  <c r="L214" i="4"/>
  <c r="K214" i="4"/>
  <c r="O213" i="4"/>
  <c r="N213" i="4"/>
  <c r="M213" i="4"/>
  <c r="L213" i="4"/>
  <c r="K213" i="4"/>
  <c r="O212" i="4"/>
  <c r="N212" i="4"/>
  <c r="M212" i="4"/>
  <c r="L212" i="4"/>
  <c r="K212" i="4"/>
  <c r="O211" i="4"/>
  <c r="N211" i="4"/>
  <c r="M211" i="4"/>
  <c r="L211" i="4"/>
  <c r="K211" i="4"/>
  <c r="O210" i="4"/>
  <c r="N210" i="4"/>
  <c r="M210" i="4"/>
  <c r="L210" i="4"/>
  <c r="K210" i="4"/>
  <c r="O209" i="4"/>
  <c r="N209" i="4"/>
  <c r="M209" i="4"/>
  <c r="L209" i="4"/>
  <c r="K209" i="4"/>
  <c r="O208" i="4"/>
  <c r="N208" i="4"/>
  <c r="M208" i="4"/>
  <c r="L208" i="4"/>
  <c r="K208" i="4"/>
  <c r="O207" i="4"/>
  <c r="N207" i="4"/>
  <c r="M207" i="4"/>
  <c r="L207" i="4"/>
  <c r="K207" i="4"/>
  <c r="O206" i="4"/>
  <c r="N206" i="4"/>
  <c r="M206" i="4"/>
  <c r="L206" i="4"/>
  <c r="K206" i="4"/>
  <c r="O205" i="4"/>
  <c r="N205" i="4"/>
  <c r="M205" i="4"/>
  <c r="L205" i="4"/>
  <c r="K205" i="4"/>
  <c r="O204" i="4"/>
  <c r="N204" i="4"/>
  <c r="M204" i="4"/>
  <c r="L204" i="4"/>
  <c r="K204" i="4"/>
  <c r="O203" i="4"/>
  <c r="N203" i="4"/>
  <c r="M203" i="4"/>
  <c r="L203" i="4"/>
  <c r="K203" i="4"/>
  <c r="O202" i="4"/>
  <c r="N202" i="4"/>
  <c r="M202" i="4"/>
  <c r="L202" i="4"/>
  <c r="K202" i="4"/>
  <c r="O201" i="4"/>
  <c r="N201" i="4"/>
  <c r="M201" i="4"/>
  <c r="L201" i="4"/>
  <c r="K201" i="4"/>
  <c r="O200" i="4"/>
  <c r="N200" i="4"/>
  <c r="M200" i="4"/>
  <c r="L200" i="4"/>
  <c r="K200" i="4"/>
  <c r="O199" i="4"/>
  <c r="N199" i="4"/>
  <c r="M199" i="4"/>
  <c r="L199" i="4"/>
  <c r="K199" i="4"/>
  <c r="O198" i="4"/>
  <c r="N198" i="4"/>
  <c r="M198" i="4"/>
  <c r="L198" i="4"/>
  <c r="K198" i="4"/>
  <c r="O197" i="4"/>
  <c r="N197" i="4"/>
  <c r="M197" i="4"/>
  <c r="L197" i="4"/>
  <c r="K197" i="4"/>
  <c r="O196" i="4"/>
  <c r="N196" i="4"/>
  <c r="M196" i="4"/>
  <c r="L196" i="4"/>
  <c r="K196" i="4"/>
  <c r="O195" i="4"/>
  <c r="N195" i="4"/>
  <c r="M195" i="4"/>
  <c r="L195" i="4"/>
  <c r="K195" i="4"/>
  <c r="O194" i="4"/>
  <c r="N194" i="4"/>
  <c r="M194" i="4"/>
  <c r="L194" i="4"/>
  <c r="K194" i="4"/>
  <c r="O193" i="4"/>
  <c r="N193" i="4"/>
  <c r="M193" i="4"/>
  <c r="L193" i="4"/>
  <c r="K193" i="4"/>
  <c r="O192" i="4"/>
  <c r="N192" i="4"/>
  <c r="M192" i="4"/>
  <c r="L192" i="4"/>
  <c r="K192" i="4"/>
  <c r="O191" i="4"/>
  <c r="N191" i="4"/>
  <c r="M191" i="4"/>
  <c r="L191" i="4"/>
  <c r="K191" i="4"/>
  <c r="O190" i="4"/>
  <c r="N190" i="4"/>
  <c r="M190" i="4"/>
  <c r="L190" i="4"/>
  <c r="K190" i="4"/>
  <c r="O189" i="4"/>
  <c r="N189" i="4"/>
  <c r="M189" i="4"/>
  <c r="L189" i="4"/>
  <c r="K189" i="4"/>
  <c r="O188" i="4"/>
  <c r="N188" i="4"/>
  <c r="M188" i="4"/>
  <c r="L188" i="4"/>
  <c r="K188" i="4"/>
  <c r="O187" i="4"/>
  <c r="N187" i="4"/>
  <c r="M187" i="4"/>
  <c r="L187" i="4"/>
  <c r="K187" i="4"/>
  <c r="O186" i="4"/>
  <c r="N186" i="4"/>
  <c r="M186" i="4"/>
  <c r="L186" i="4"/>
  <c r="K186" i="4"/>
  <c r="O185" i="4"/>
  <c r="N185" i="4"/>
  <c r="M185" i="4"/>
  <c r="L185" i="4"/>
  <c r="K185" i="4"/>
  <c r="O184" i="4"/>
  <c r="N184" i="4"/>
  <c r="M184" i="4"/>
  <c r="L184" i="4"/>
  <c r="K184" i="4"/>
  <c r="O183" i="4"/>
  <c r="N183" i="4"/>
  <c r="M183" i="4"/>
  <c r="L183" i="4"/>
  <c r="K183" i="4"/>
  <c r="O182" i="4"/>
  <c r="N182" i="4"/>
  <c r="M182" i="4"/>
  <c r="L182" i="4"/>
  <c r="K182" i="4"/>
  <c r="O181" i="4"/>
  <c r="N181" i="4"/>
  <c r="M181" i="4"/>
  <c r="L181" i="4"/>
  <c r="K181" i="4"/>
  <c r="O180" i="4"/>
  <c r="N180" i="4"/>
  <c r="M180" i="4"/>
  <c r="L180" i="4"/>
  <c r="K180" i="4"/>
  <c r="O179" i="4"/>
  <c r="N179" i="4"/>
  <c r="M179" i="4"/>
  <c r="L179" i="4"/>
  <c r="K179" i="4"/>
  <c r="O178" i="4"/>
  <c r="N178" i="4"/>
  <c r="M178" i="4"/>
  <c r="L178" i="4"/>
  <c r="K178" i="4"/>
  <c r="O177" i="4"/>
  <c r="N177" i="4"/>
  <c r="M177" i="4"/>
  <c r="L177" i="4"/>
  <c r="K177" i="4"/>
  <c r="O176" i="4"/>
  <c r="N176" i="4"/>
  <c r="M176" i="4"/>
  <c r="L176" i="4"/>
  <c r="K176" i="4"/>
  <c r="O175" i="4"/>
  <c r="N175" i="4"/>
  <c r="M175" i="4"/>
  <c r="L175" i="4"/>
  <c r="K175" i="4"/>
  <c r="O174" i="4"/>
  <c r="N174" i="4"/>
  <c r="M174" i="4"/>
  <c r="L174" i="4"/>
  <c r="K174" i="4"/>
  <c r="O173" i="4"/>
  <c r="N173" i="4"/>
  <c r="M173" i="4"/>
  <c r="L173" i="4"/>
  <c r="K173" i="4"/>
  <c r="O172" i="4"/>
  <c r="N172" i="4"/>
  <c r="M172" i="4"/>
  <c r="L172" i="4"/>
  <c r="K172" i="4"/>
  <c r="O528" i="4"/>
  <c r="N528" i="4"/>
  <c r="M528" i="4"/>
  <c r="L528" i="4"/>
  <c r="K528" i="4"/>
  <c r="O527" i="4"/>
  <c r="N527" i="4"/>
  <c r="M527" i="4"/>
  <c r="L527" i="4"/>
  <c r="K527" i="4"/>
  <c r="O526" i="4"/>
  <c r="N526" i="4"/>
  <c r="M526" i="4"/>
  <c r="L526" i="4"/>
  <c r="K526" i="4"/>
  <c r="O525" i="4"/>
  <c r="N525" i="4"/>
  <c r="M525" i="4"/>
  <c r="L525" i="4"/>
  <c r="K525" i="4"/>
  <c r="O524" i="4"/>
  <c r="N524" i="4"/>
  <c r="M524" i="4"/>
  <c r="L524" i="4"/>
  <c r="K524" i="4"/>
  <c r="O523" i="4"/>
  <c r="N523" i="4"/>
  <c r="M523" i="4"/>
  <c r="L523" i="4"/>
  <c r="K523" i="4"/>
  <c r="O522" i="4"/>
  <c r="N522" i="4"/>
  <c r="M522" i="4"/>
  <c r="L522" i="4"/>
  <c r="K522" i="4"/>
  <c r="O521" i="4"/>
  <c r="N521" i="4"/>
  <c r="M521" i="4"/>
  <c r="L521" i="4"/>
  <c r="K521" i="4"/>
  <c r="O923" i="4"/>
  <c r="N923" i="4"/>
  <c r="M923" i="4"/>
  <c r="L923" i="4"/>
  <c r="K923" i="4"/>
  <c r="O914" i="4"/>
  <c r="N914" i="4"/>
  <c r="M914" i="4"/>
  <c r="L914" i="4"/>
  <c r="K914" i="4"/>
  <c r="O904" i="4"/>
  <c r="N904" i="4"/>
  <c r="M904" i="4"/>
  <c r="L904" i="4"/>
  <c r="K904" i="4"/>
  <c r="O152" i="4"/>
  <c r="N152" i="4"/>
  <c r="M152" i="4"/>
  <c r="L152" i="4"/>
  <c r="K152" i="4"/>
  <c r="O903" i="4"/>
  <c r="N903" i="4"/>
  <c r="M903" i="4"/>
  <c r="L903" i="4"/>
  <c r="K903" i="4"/>
  <c r="O355" i="4"/>
  <c r="N355" i="4"/>
  <c r="M355" i="4"/>
  <c r="L355" i="4"/>
  <c r="K355" i="4"/>
  <c r="O354" i="4"/>
  <c r="N354" i="4"/>
  <c r="M354" i="4"/>
  <c r="L354" i="4"/>
  <c r="K354" i="4"/>
  <c r="O353" i="4"/>
  <c r="N353" i="4"/>
  <c r="M353" i="4"/>
  <c r="L353" i="4"/>
  <c r="K353" i="4"/>
  <c r="O352" i="4"/>
  <c r="N352" i="4"/>
  <c r="M352" i="4"/>
  <c r="L352" i="4"/>
  <c r="K352" i="4"/>
  <c r="O351" i="4"/>
  <c r="N351" i="4"/>
  <c r="M351" i="4"/>
  <c r="L351" i="4"/>
  <c r="K351" i="4"/>
  <c r="O350" i="4"/>
  <c r="N350" i="4"/>
  <c r="M350" i="4"/>
  <c r="L350" i="4"/>
  <c r="K350" i="4"/>
  <c r="O349" i="4"/>
  <c r="N349" i="4"/>
  <c r="M349" i="4"/>
  <c r="L349" i="4"/>
  <c r="K349" i="4"/>
  <c r="O348" i="4"/>
  <c r="N348" i="4"/>
  <c r="M348" i="4"/>
  <c r="L348" i="4"/>
  <c r="K348" i="4"/>
  <c r="O347" i="4"/>
  <c r="N347" i="4"/>
  <c r="M347" i="4"/>
  <c r="L347" i="4"/>
  <c r="K347" i="4"/>
  <c r="O346" i="4"/>
  <c r="N346" i="4"/>
  <c r="M346" i="4"/>
  <c r="L346" i="4"/>
  <c r="K346" i="4"/>
  <c r="O345" i="4"/>
  <c r="N345" i="4"/>
  <c r="M345" i="4"/>
  <c r="L345" i="4"/>
  <c r="K345" i="4"/>
  <c r="O344" i="4"/>
  <c r="N344" i="4"/>
  <c r="M344" i="4"/>
  <c r="L344" i="4"/>
  <c r="K344" i="4"/>
  <c r="O343" i="4"/>
  <c r="N343" i="4"/>
  <c r="M343" i="4"/>
  <c r="L343" i="4"/>
  <c r="K343" i="4"/>
  <c r="O342" i="4"/>
  <c r="N342" i="4"/>
  <c r="M342" i="4"/>
  <c r="L342" i="4"/>
  <c r="K342" i="4"/>
  <c r="O341" i="4"/>
  <c r="N341" i="4"/>
  <c r="M341" i="4"/>
  <c r="L341" i="4"/>
  <c r="K341" i="4"/>
  <c r="O340" i="4"/>
  <c r="N340" i="4"/>
  <c r="M340" i="4"/>
  <c r="L340" i="4"/>
  <c r="K340" i="4"/>
  <c r="O151" i="4"/>
  <c r="N151" i="4"/>
  <c r="M151" i="4"/>
  <c r="L151" i="4"/>
  <c r="K151" i="4"/>
  <c r="O150" i="4"/>
  <c r="N150" i="4"/>
  <c r="M150" i="4"/>
  <c r="L150" i="4"/>
  <c r="K150" i="4"/>
  <c r="O149" i="4"/>
  <c r="N149" i="4"/>
  <c r="M149" i="4"/>
  <c r="L149" i="4"/>
  <c r="K149" i="4"/>
  <c r="O148" i="4"/>
  <c r="N148" i="4"/>
  <c r="M148" i="4"/>
  <c r="L148" i="4"/>
  <c r="K148" i="4"/>
  <c r="O147" i="4"/>
  <c r="N147" i="4"/>
  <c r="M147" i="4"/>
  <c r="L147" i="4"/>
  <c r="K147" i="4"/>
  <c r="O146" i="4"/>
  <c r="N146" i="4"/>
  <c r="M146" i="4"/>
  <c r="L146" i="4"/>
  <c r="K146" i="4"/>
  <c r="O145" i="4"/>
  <c r="N145" i="4"/>
  <c r="M145" i="4"/>
  <c r="L145" i="4"/>
  <c r="K145" i="4"/>
  <c r="O144" i="4"/>
  <c r="N144" i="4"/>
  <c r="M144" i="4"/>
  <c r="L144" i="4"/>
  <c r="K144" i="4"/>
  <c r="O236" i="4"/>
  <c r="N236" i="4"/>
  <c r="M236" i="4"/>
  <c r="L236" i="4"/>
  <c r="K236" i="4"/>
  <c r="O235" i="4"/>
  <c r="N235" i="4"/>
  <c r="M235" i="4"/>
  <c r="L235" i="4"/>
  <c r="K235" i="4"/>
  <c r="O228" i="4"/>
  <c r="N228" i="4"/>
  <c r="M228" i="4"/>
  <c r="L228" i="4"/>
  <c r="K228" i="4"/>
  <c r="O227" i="4"/>
  <c r="N227" i="4"/>
  <c r="M227" i="4"/>
  <c r="L227" i="4"/>
  <c r="K227" i="4"/>
  <c r="O141" i="4"/>
  <c r="N141" i="4"/>
  <c r="M141" i="4"/>
  <c r="L141" i="4"/>
  <c r="K141" i="4"/>
  <c r="O922" i="4"/>
  <c r="N922" i="4"/>
  <c r="M922" i="4"/>
  <c r="L922" i="4"/>
  <c r="K922" i="4"/>
  <c r="O791" i="4"/>
  <c r="N791" i="4"/>
  <c r="M791" i="4"/>
  <c r="L791" i="4"/>
  <c r="K791" i="4"/>
  <c r="O790" i="4"/>
  <c r="N790" i="4"/>
  <c r="M790" i="4"/>
  <c r="L790" i="4"/>
  <c r="K790" i="4"/>
  <c r="O789" i="4"/>
  <c r="N789" i="4"/>
  <c r="M789" i="4"/>
  <c r="L789" i="4"/>
  <c r="K789" i="4"/>
  <c r="O788" i="4"/>
  <c r="N788" i="4"/>
  <c r="M788" i="4"/>
  <c r="L788" i="4"/>
  <c r="K788" i="4"/>
  <c r="O787" i="4"/>
  <c r="N787" i="4"/>
  <c r="M787" i="4"/>
  <c r="L787" i="4"/>
  <c r="K787" i="4"/>
  <c r="O786" i="4"/>
  <c r="N786" i="4"/>
  <c r="M786" i="4"/>
  <c r="L786" i="4"/>
  <c r="K786" i="4"/>
  <c r="O785" i="4"/>
  <c r="N785" i="4"/>
  <c r="M785" i="4"/>
  <c r="L785" i="4"/>
  <c r="K785" i="4"/>
  <c r="O784" i="4"/>
  <c r="N784" i="4"/>
  <c r="M784" i="4"/>
  <c r="L784" i="4"/>
  <c r="K784" i="4"/>
  <c r="O783" i="4"/>
  <c r="N783" i="4"/>
  <c r="M783" i="4"/>
  <c r="L783" i="4"/>
  <c r="K783" i="4"/>
  <c r="O782" i="4"/>
  <c r="N782" i="4"/>
  <c r="M782" i="4"/>
  <c r="L782" i="4"/>
  <c r="K782" i="4"/>
  <c r="O781" i="4"/>
  <c r="N781" i="4"/>
  <c r="M781" i="4"/>
  <c r="L781" i="4"/>
  <c r="K781" i="4"/>
  <c r="O780" i="4"/>
  <c r="N780" i="4"/>
  <c r="M780" i="4"/>
  <c r="L780" i="4"/>
  <c r="K780" i="4"/>
  <c r="O779" i="4"/>
  <c r="N779" i="4"/>
  <c r="M779" i="4"/>
  <c r="L779" i="4"/>
  <c r="K779" i="4"/>
  <c r="O778" i="4"/>
  <c r="N778" i="4"/>
  <c r="M778" i="4"/>
  <c r="L778" i="4"/>
  <c r="K778" i="4"/>
  <c r="O512" i="4"/>
  <c r="N512" i="4"/>
  <c r="M512" i="4"/>
  <c r="L512" i="4"/>
  <c r="K512" i="4"/>
  <c r="O511" i="4"/>
  <c r="N511" i="4"/>
  <c r="M511" i="4"/>
  <c r="L511" i="4"/>
  <c r="K511" i="4"/>
  <c r="O510" i="4"/>
  <c r="N510" i="4"/>
  <c r="M510" i="4"/>
  <c r="L510" i="4"/>
  <c r="K510" i="4"/>
  <c r="O913" i="4"/>
  <c r="N913" i="4"/>
  <c r="M913" i="4"/>
  <c r="L913" i="4"/>
  <c r="K913" i="4"/>
  <c r="O912" i="4"/>
  <c r="N912" i="4"/>
  <c r="M912" i="4"/>
  <c r="L912" i="4"/>
  <c r="K912" i="4"/>
  <c r="O911" i="4"/>
  <c r="N911" i="4"/>
  <c r="M911" i="4"/>
  <c r="L911" i="4"/>
  <c r="K911" i="4"/>
  <c r="O910" i="4"/>
  <c r="N910" i="4"/>
  <c r="M910" i="4"/>
  <c r="L910" i="4"/>
  <c r="K910" i="4"/>
  <c r="O909" i="4"/>
  <c r="N909" i="4"/>
  <c r="M909" i="4"/>
  <c r="L909" i="4"/>
  <c r="K909" i="4"/>
  <c r="O908" i="4"/>
  <c r="N908" i="4"/>
  <c r="M908" i="4"/>
  <c r="L908" i="4"/>
  <c r="K908" i="4"/>
  <c r="O907" i="4"/>
  <c r="N907" i="4"/>
  <c r="M907" i="4"/>
  <c r="L907" i="4"/>
  <c r="K907" i="4"/>
  <c r="O921" i="4"/>
  <c r="N921" i="4"/>
  <c r="M921" i="4"/>
  <c r="L921" i="4"/>
  <c r="K921" i="4"/>
  <c r="O906" i="4"/>
  <c r="N906" i="4"/>
  <c r="M906" i="4"/>
  <c r="L906" i="4"/>
  <c r="K906" i="4"/>
  <c r="O777" i="4"/>
  <c r="N777" i="4"/>
  <c r="M777" i="4"/>
  <c r="L777" i="4"/>
  <c r="K777" i="4"/>
  <c r="O776" i="4"/>
  <c r="N776" i="4"/>
  <c r="M776" i="4"/>
  <c r="L776" i="4"/>
  <c r="K776" i="4"/>
  <c r="O126" i="4"/>
  <c r="N126" i="4"/>
  <c r="M126" i="4"/>
  <c r="L126" i="4"/>
  <c r="K126" i="4"/>
  <c r="O125" i="4"/>
  <c r="N125" i="4"/>
  <c r="M125" i="4"/>
  <c r="L125" i="4"/>
  <c r="K125" i="4"/>
  <c r="O775" i="4"/>
  <c r="N775" i="4"/>
  <c r="M775" i="4"/>
  <c r="L775" i="4"/>
  <c r="K775" i="4"/>
  <c r="O339" i="4"/>
  <c r="N339" i="4"/>
  <c r="M339" i="4"/>
  <c r="L339" i="4"/>
  <c r="K339" i="4"/>
  <c r="O338" i="4"/>
  <c r="N338" i="4"/>
  <c r="M338" i="4"/>
  <c r="L338" i="4"/>
  <c r="K338" i="4"/>
  <c r="O337" i="4"/>
  <c r="N337" i="4"/>
  <c r="M337" i="4"/>
  <c r="L337" i="4"/>
  <c r="K337" i="4"/>
  <c r="O336" i="4"/>
  <c r="N336" i="4"/>
  <c r="M336" i="4"/>
  <c r="L336" i="4"/>
  <c r="K336" i="4"/>
  <c r="O335" i="4"/>
  <c r="N335" i="4"/>
  <c r="M335" i="4"/>
  <c r="L335" i="4"/>
  <c r="K335" i="4"/>
  <c r="O334" i="4"/>
  <c r="N334" i="4"/>
  <c r="M334" i="4"/>
  <c r="L334" i="4"/>
  <c r="K334" i="4"/>
  <c r="O333" i="4"/>
  <c r="N333" i="4"/>
  <c r="M333" i="4"/>
  <c r="L333" i="4"/>
  <c r="K333" i="4"/>
  <c r="O332" i="4"/>
  <c r="N332" i="4"/>
  <c r="M332" i="4"/>
  <c r="L332" i="4"/>
  <c r="K332" i="4"/>
  <c r="O331" i="4"/>
  <c r="N331" i="4"/>
  <c r="M331" i="4"/>
  <c r="L331" i="4"/>
  <c r="K331" i="4"/>
  <c r="O330" i="4"/>
  <c r="N330" i="4"/>
  <c r="M330" i="4"/>
  <c r="L330" i="4"/>
  <c r="K330" i="4"/>
  <c r="O329" i="4"/>
  <c r="N329" i="4"/>
  <c r="M329" i="4"/>
  <c r="L329" i="4"/>
  <c r="K329" i="4"/>
  <c r="O328" i="4"/>
  <c r="N328" i="4"/>
  <c r="M328" i="4"/>
  <c r="L328" i="4"/>
  <c r="K328" i="4"/>
  <c r="O327" i="4"/>
  <c r="N327" i="4"/>
  <c r="M327" i="4"/>
  <c r="L327" i="4"/>
  <c r="K327" i="4"/>
  <c r="O326" i="4"/>
  <c r="N326" i="4"/>
  <c r="M326" i="4"/>
  <c r="L326" i="4"/>
  <c r="K326" i="4"/>
  <c r="O325" i="4"/>
  <c r="N325" i="4"/>
  <c r="M325" i="4"/>
  <c r="L325" i="4"/>
  <c r="K325" i="4"/>
  <c r="O324" i="4"/>
  <c r="N324" i="4"/>
  <c r="M324" i="4"/>
  <c r="L324" i="4"/>
  <c r="K324" i="4"/>
  <c r="O323" i="4"/>
  <c r="N323" i="4"/>
  <c r="M323" i="4"/>
  <c r="L323" i="4"/>
  <c r="K323" i="4"/>
  <c r="O322" i="4"/>
  <c r="N322" i="4"/>
  <c r="M322" i="4"/>
  <c r="L322" i="4"/>
  <c r="K322" i="4"/>
  <c r="O321" i="4"/>
  <c r="N321" i="4"/>
  <c r="M321" i="4"/>
  <c r="L321" i="4"/>
  <c r="K321" i="4"/>
  <c r="O320" i="4"/>
  <c r="N320" i="4"/>
  <c r="M320" i="4"/>
  <c r="L320" i="4"/>
  <c r="K320" i="4"/>
  <c r="O319" i="4"/>
  <c r="N319" i="4"/>
  <c r="M319" i="4"/>
  <c r="L319" i="4"/>
  <c r="K319" i="4"/>
  <c r="O318" i="4"/>
  <c r="N318" i="4"/>
  <c r="M318" i="4"/>
  <c r="L318" i="4"/>
  <c r="K318" i="4"/>
  <c r="O509" i="4"/>
  <c r="N509" i="4"/>
  <c r="M509" i="4"/>
  <c r="L509" i="4"/>
  <c r="K509" i="4"/>
  <c r="O243" i="4"/>
  <c r="N243" i="4"/>
  <c r="M243" i="4"/>
  <c r="L243" i="4"/>
  <c r="K243" i="4"/>
  <c r="O242" i="4"/>
  <c r="N242" i="4"/>
  <c r="M242" i="4"/>
  <c r="L242" i="4"/>
  <c r="K242" i="4"/>
  <c r="O124" i="4"/>
  <c r="N124" i="4"/>
  <c r="M124" i="4"/>
  <c r="L124" i="4"/>
  <c r="K124" i="4"/>
  <c r="O902" i="4"/>
  <c r="N902" i="4"/>
  <c r="M902" i="4"/>
  <c r="L902" i="4"/>
  <c r="K902" i="4"/>
  <c r="O901" i="4"/>
  <c r="N901" i="4"/>
  <c r="M901" i="4"/>
  <c r="L901" i="4"/>
  <c r="K901" i="4"/>
  <c r="O123" i="4"/>
  <c r="N123" i="4"/>
  <c r="M123" i="4"/>
  <c r="L123" i="4"/>
  <c r="K123" i="4"/>
  <c r="O310" i="4"/>
  <c r="N310" i="4"/>
  <c r="M310" i="4"/>
  <c r="L310" i="4"/>
  <c r="K310" i="4"/>
  <c r="O309" i="4"/>
  <c r="N309" i="4"/>
  <c r="M309" i="4"/>
  <c r="L309" i="4"/>
  <c r="K309" i="4"/>
  <c r="O308" i="4"/>
  <c r="N308" i="4"/>
  <c r="M308" i="4"/>
  <c r="L308" i="4"/>
  <c r="K308" i="4"/>
  <c r="O307" i="4"/>
  <c r="N307" i="4"/>
  <c r="M307" i="4"/>
  <c r="L307" i="4"/>
  <c r="K307" i="4"/>
  <c r="O306" i="4"/>
  <c r="N306" i="4"/>
  <c r="M306" i="4"/>
  <c r="L306" i="4"/>
  <c r="K306" i="4"/>
  <c r="O305" i="4"/>
  <c r="N305" i="4"/>
  <c r="M305" i="4"/>
  <c r="L305" i="4"/>
  <c r="K305" i="4"/>
  <c r="O304" i="4"/>
  <c r="N304" i="4"/>
  <c r="M304" i="4"/>
  <c r="L304" i="4"/>
  <c r="K304" i="4"/>
  <c r="O303" i="4"/>
  <c r="N303" i="4"/>
  <c r="M303" i="4"/>
  <c r="L303" i="4"/>
  <c r="K303" i="4"/>
  <c r="O302" i="4"/>
  <c r="N302" i="4"/>
  <c r="M302" i="4"/>
  <c r="L302" i="4"/>
  <c r="K302" i="4"/>
  <c r="O301" i="4"/>
  <c r="N301" i="4"/>
  <c r="M301" i="4"/>
  <c r="L301" i="4"/>
  <c r="K301" i="4"/>
  <c r="O300" i="4"/>
  <c r="N300" i="4"/>
  <c r="M300" i="4"/>
  <c r="L300" i="4"/>
  <c r="K300" i="4"/>
  <c r="O299" i="4"/>
  <c r="N299" i="4"/>
  <c r="M299" i="4"/>
  <c r="L299" i="4"/>
  <c r="K299" i="4"/>
  <c r="O298" i="4"/>
  <c r="N298" i="4"/>
  <c r="M298" i="4"/>
  <c r="L298" i="4"/>
  <c r="K298" i="4"/>
  <c r="O297" i="4"/>
  <c r="N297" i="4"/>
  <c r="M297" i="4"/>
  <c r="L297" i="4"/>
  <c r="K297" i="4"/>
  <c r="O296" i="4"/>
  <c r="N296" i="4"/>
  <c r="M296" i="4"/>
  <c r="L296" i="4"/>
  <c r="K296" i="4"/>
  <c r="O295" i="4"/>
  <c r="N295" i="4"/>
  <c r="M295" i="4"/>
  <c r="L295" i="4"/>
  <c r="K295" i="4"/>
  <c r="O294" i="4"/>
  <c r="N294" i="4"/>
  <c r="M294" i="4"/>
  <c r="L294" i="4"/>
  <c r="K294" i="4"/>
  <c r="O293" i="4"/>
  <c r="N293" i="4"/>
  <c r="M293" i="4"/>
  <c r="L293" i="4"/>
  <c r="K293" i="4"/>
  <c r="O292" i="4"/>
  <c r="N292" i="4"/>
  <c r="M292" i="4"/>
  <c r="L292" i="4"/>
  <c r="K292" i="4"/>
  <c r="O291" i="4"/>
  <c r="N291" i="4"/>
  <c r="M291" i="4"/>
  <c r="L291" i="4"/>
  <c r="K291" i="4"/>
  <c r="O290" i="4"/>
  <c r="N290" i="4"/>
  <c r="M290" i="4"/>
  <c r="L290" i="4"/>
  <c r="K290" i="4"/>
  <c r="O289" i="4"/>
  <c r="N289" i="4"/>
  <c r="M289" i="4"/>
  <c r="L289" i="4"/>
  <c r="K289" i="4"/>
  <c r="O288" i="4"/>
  <c r="N288" i="4"/>
  <c r="M288" i="4"/>
  <c r="L288" i="4"/>
  <c r="K288" i="4"/>
  <c r="O287" i="4"/>
  <c r="N287" i="4"/>
  <c r="M287" i="4"/>
  <c r="L287" i="4"/>
  <c r="K287" i="4"/>
  <c r="O286" i="4"/>
  <c r="N286" i="4"/>
  <c r="M286" i="4"/>
  <c r="L286" i="4"/>
  <c r="K286" i="4"/>
  <c r="O285" i="4"/>
  <c r="N285" i="4"/>
  <c r="M285" i="4"/>
  <c r="L285" i="4"/>
  <c r="K285" i="4"/>
  <c r="O284" i="4"/>
  <c r="N284" i="4"/>
  <c r="M284" i="4"/>
  <c r="L284" i="4"/>
  <c r="K284" i="4"/>
  <c r="O283" i="4"/>
  <c r="N283" i="4"/>
  <c r="M283" i="4"/>
  <c r="L283" i="4"/>
  <c r="K283" i="4"/>
  <c r="O282" i="4"/>
  <c r="N282" i="4"/>
  <c r="M282" i="4"/>
  <c r="L282" i="4"/>
  <c r="K282" i="4"/>
  <c r="O281" i="4"/>
  <c r="N281" i="4"/>
  <c r="M281" i="4"/>
  <c r="L281" i="4"/>
  <c r="K281" i="4"/>
  <c r="O280" i="4"/>
  <c r="N280" i="4"/>
  <c r="M280" i="4"/>
  <c r="L280" i="4"/>
  <c r="K280" i="4"/>
  <c r="O279" i="4"/>
  <c r="N279" i="4"/>
  <c r="M279" i="4"/>
  <c r="L279" i="4"/>
  <c r="K279" i="4"/>
  <c r="O278" i="4"/>
  <c r="N278" i="4"/>
  <c r="M278" i="4"/>
  <c r="L278" i="4"/>
  <c r="K278" i="4"/>
  <c r="O277" i="4"/>
  <c r="N277" i="4"/>
  <c r="M277" i="4"/>
  <c r="L277" i="4"/>
  <c r="K277" i="4"/>
  <c r="O276" i="4"/>
  <c r="N276" i="4"/>
  <c r="M276" i="4"/>
  <c r="L276" i="4"/>
  <c r="K276" i="4"/>
  <c r="O275" i="4"/>
  <c r="N275" i="4"/>
  <c r="M275" i="4"/>
  <c r="L275" i="4"/>
  <c r="K275" i="4"/>
  <c r="O274" i="4"/>
  <c r="N274" i="4"/>
  <c r="M274" i="4"/>
  <c r="L274" i="4"/>
  <c r="K274" i="4"/>
  <c r="O273" i="4"/>
  <c r="N273" i="4"/>
  <c r="M273" i="4"/>
  <c r="L273" i="4"/>
  <c r="K273" i="4"/>
  <c r="O272" i="4"/>
  <c r="N272" i="4"/>
  <c r="M272" i="4"/>
  <c r="L272" i="4"/>
  <c r="K272" i="4"/>
  <c r="O271" i="4"/>
  <c r="N271" i="4"/>
  <c r="M271" i="4"/>
  <c r="L271" i="4"/>
  <c r="K271" i="4"/>
  <c r="O270" i="4"/>
  <c r="N270" i="4"/>
  <c r="M270" i="4"/>
  <c r="L270" i="4"/>
  <c r="K270" i="4"/>
  <c r="O269" i="4"/>
  <c r="N269" i="4"/>
  <c r="M269" i="4"/>
  <c r="L269" i="4"/>
  <c r="K269" i="4"/>
  <c r="O268" i="4"/>
  <c r="N268" i="4"/>
  <c r="M268" i="4"/>
  <c r="L268" i="4"/>
  <c r="K268" i="4"/>
  <c r="O267" i="4"/>
  <c r="N267" i="4"/>
  <c r="M267" i="4"/>
  <c r="L267" i="4"/>
  <c r="K267" i="4"/>
  <c r="O266" i="4"/>
  <c r="N266" i="4"/>
  <c r="M266" i="4"/>
  <c r="L266" i="4"/>
  <c r="K266" i="4"/>
  <c r="O265" i="4"/>
  <c r="N265" i="4"/>
  <c r="M265" i="4"/>
  <c r="L265" i="4"/>
  <c r="K265" i="4"/>
  <c r="O264" i="4"/>
  <c r="N264" i="4"/>
  <c r="M264" i="4"/>
  <c r="L264" i="4"/>
  <c r="K264" i="4"/>
  <c r="O263" i="4"/>
  <c r="N263" i="4"/>
  <c r="M263" i="4"/>
  <c r="L263" i="4"/>
  <c r="K263" i="4"/>
  <c r="O262" i="4"/>
  <c r="N262" i="4"/>
  <c r="M262" i="4"/>
  <c r="L262" i="4"/>
  <c r="K262" i="4"/>
  <c r="O261" i="4"/>
  <c r="N261" i="4"/>
  <c r="M261" i="4"/>
  <c r="L261" i="4"/>
  <c r="K261" i="4"/>
  <c r="O260" i="4"/>
  <c r="N260" i="4"/>
  <c r="M260" i="4"/>
  <c r="L260" i="4"/>
  <c r="K260" i="4"/>
  <c r="O259" i="4"/>
  <c r="N259" i="4"/>
  <c r="M259" i="4"/>
  <c r="L259" i="4"/>
  <c r="K259" i="4"/>
  <c r="O258" i="4"/>
  <c r="N258" i="4"/>
  <c r="M258" i="4"/>
  <c r="L258" i="4"/>
  <c r="K258" i="4"/>
  <c r="O257" i="4"/>
  <c r="N257" i="4"/>
  <c r="M257" i="4"/>
  <c r="L257" i="4"/>
  <c r="K257" i="4"/>
  <c r="O256" i="4"/>
  <c r="N256" i="4"/>
  <c r="M256" i="4"/>
  <c r="L256" i="4"/>
  <c r="K256" i="4"/>
  <c r="O255" i="4"/>
  <c r="N255" i="4"/>
  <c r="M255" i="4"/>
  <c r="L255" i="4"/>
  <c r="K255" i="4"/>
  <c r="O254" i="4"/>
  <c r="N254" i="4"/>
  <c r="M254" i="4"/>
  <c r="L254" i="4"/>
  <c r="K254" i="4"/>
  <c r="O253" i="4"/>
  <c r="N253" i="4"/>
  <c r="M253" i="4"/>
  <c r="L253" i="4"/>
  <c r="K253" i="4"/>
  <c r="O252" i="4"/>
  <c r="N252" i="4"/>
  <c r="M252" i="4"/>
  <c r="L252" i="4"/>
  <c r="K252" i="4"/>
  <c r="O251" i="4"/>
  <c r="N251" i="4"/>
  <c r="M251" i="4"/>
  <c r="L251" i="4"/>
  <c r="K251" i="4"/>
  <c r="O250" i="4"/>
  <c r="N250" i="4"/>
  <c r="M250" i="4"/>
  <c r="L250" i="4"/>
  <c r="K250" i="4"/>
  <c r="O249" i="4"/>
  <c r="N249" i="4"/>
  <c r="M249" i="4"/>
  <c r="L249" i="4"/>
  <c r="K249" i="4"/>
  <c r="O248" i="4"/>
  <c r="N248" i="4"/>
  <c r="M248" i="4"/>
  <c r="L248" i="4"/>
  <c r="K248" i="4"/>
  <c r="O247" i="4"/>
  <c r="N247" i="4"/>
  <c r="M247" i="4"/>
  <c r="L247" i="4"/>
  <c r="K247" i="4"/>
  <c r="O246" i="4"/>
  <c r="N246" i="4"/>
  <c r="M246" i="4"/>
  <c r="L246" i="4"/>
  <c r="K246" i="4"/>
  <c r="O245" i="4"/>
  <c r="N245" i="4"/>
  <c r="M245" i="4"/>
  <c r="L245" i="4"/>
  <c r="K245" i="4"/>
  <c r="O234" i="4"/>
  <c r="N234" i="4"/>
  <c r="M234" i="4"/>
  <c r="L234" i="4"/>
  <c r="K234" i="4"/>
  <c r="O233" i="4"/>
  <c r="N233" i="4"/>
  <c r="M233" i="4"/>
  <c r="L233" i="4"/>
  <c r="K233" i="4"/>
  <c r="O226" i="4"/>
  <c r="N226" i="4"/>
  <c r="M226" i="4"/>
  <c r="L226" i="4"/>
  <c r="K226" i="4"/>
  <c r="O225" i="4"/>
  <c r="N225" i="4"/>
  <c r="M225" i="4"/>
  <c r="L225" i="4"/>
  <c r="K225" i="4"/>
  <c r="O752" i="4"/>
  <c r="N752" i="4"/>
  <c r="M752" i="4"/>
  <c r="L752" i="4"/>
  <c r="K752" i="4"/>
  <c r="O751" i="4"/>
  <c r="N751" i="4"/>
  <c r="M751" i="4"/>
  <c r="L751" i="4"/>
  <c r="K751" i="4"/>
  <c r="O750" i="4"/>
  <c r="N750" i="4"/>
  <c r="M750" i="4"/>
  <c r="L750" i="4"/>
  <c r="K750" i="4"/>
  <c r="O749" i="4"/>
  <c r="N749" i="4"/>
  <c r="M749" i="4"/>
  <c r="L749" i="4"/>
  <c r="K749" i="4"/>
  <c r="O748" i="4"/>
  <c r="N748" i="4"/>
  <c r="M748" i="4"/>
  <c r="L748" i="4"/>
  <c r="K748" i="4"/>
  <c r="O747" i="4"/>
  <c r="N747" i="4"/>
  <c r="M747" i="4"/>
  <c r="L747" i="4"/>
  <c r="K747" i="4"/>
  <c r="O746" i="4"/>
  <c r="N746" i="4"/>
  <c r="M746" i="4"/>
  <c r="L746" i="4"/>
  <c r="K746" i="4"/>
  <c r="O565" i="4"/>
  <c r="N565" i="4"/>
  <c r="M565" i="4"/>
  <c r="L565" i="4"/>
  <c r="K565" i="4"/>
  <c r="O745" i="4"/>
  <c r="N745" i="4"/>
  <c r="M745" i="4"/>
  <c r="L745" i="4"/>
  <c r="K745" i="4"/>
  <c r="O744" i="4"/>
  <c r="N744" i="4"/>
  <c r="M744" i="4"/>
  <c r="L744" i="4"/>
  <c r="K744" i="4"/>
  <c r="O743" i="4"/>
  <c r="N743" i="4"/>
  <c r="M743" i="4"/>
  <c r="L743" i="4"/>
  <c r="K743" i="4"/>
  <c r="O742" i="4"/>
  <c r="N742" i="4"/>
  <c r="M742" i="4"/>
  <c r="L742" i="4"/>
  <c r="K742" i="4"/>
  <c r="O741" i="4"/>
  <c r="N741" i="4"/>
  <c r="M741" i="4"/>
  <c r="L741" i="4"/>
  <c r="K741" i="4"/>
  <c r="O740" i="4"/>
  <c r="N740" i="4"/>
  <c r="M740" i="4"/>
  <c r="L740" i="4"/>
  <c r="K740" i="4"/>
  <c r="O739" i="4"/>
  <c r="N739" i="4"/>
  <c r="M739" i="4"/>
  <c r="L739" i="4"/>
  <c r="K739" i="4"/>
  <c r="O738" i="4"/>
  <c r="N738" i="4"/>
  <c r="M738" i="4"/>
  <c r="L738" i="4"/>
  <c r="K738" i="4"/>
  <c r="O737" i="4"/>
  <c r="N737" i="4"/>
  <c r="M737" i="4"/>
  <c r="L737" i="4"/>
  <c r="K737" i="4"/>
  <c r="O736" i="4"/>
  <c r="N736" i="4"/>
  <c r="M736" i="4"/>
  <c r="L736" i="4"/>
  <c r="K736" i="4"/>
  <c r="O735" i="4"/>
  <c r="N735" i="4"/>
  <c r="M735" i="4"/>
  <c r="L735" i="4"/>
  <c r="K735" i="4"/>
  <c r="O734" i="4"/>
  <c r="N734" i="4"/>
  <c r="M734" i="4"/>
  <c r="L734" i="4"/>
  <c r="K734" i="4"/>
  <c r="O733" i="4"/>
  <c r="N733" i="4"/>
  <c r="M733" i="4"/>
  <c r="L733" i="4"/>
  <c r="K733" i="4"/>
  <c r="O732" i="4"/>
  <c r="N732" i="4"/>
  <c r="M732" i="4"/>
  <c r="L732" i="4"/>
  <c r="K732" i="4"/>
  <c r="O731" i="4"/>
  <c r="N731" i="4"/>
  <c r="M731" i="4"/>
  <c r="L731" i="4"/>
  <c r="K731" i="4"/>
  <c r="O730" i="4"/>
  <c r="N730" i="4"/>
  <c r="M730" i="4"/>
  <c r="L730" i="4"/>
  <c r="K730" i="4"/>
  <c r="O729" i="4"/>
  <c r="N729" i="4"/>
  <c r="M729" i="4"/>
  <c r="L729" i="4"/>
  <c r="K729" i="4"/>
  <c r="O728" i="4"/>
  <c r="N728" i="4"/>
  <c r="M728" i="4"/>
  <c r="L728" i="4"/>
  <c r="K728" i="4"/>
  <c r="O727" i="4"/>
  <c r="N727" i="4"/>
  <c r="M727" i="4"/>
  <c r="L727" i="4"/>
  <c r="K727" i="4"/>
  <c r="O726" i="4"/>
  <c r="N726" i="4"/>
  <c r="M726" i="4"/>
  <c r="L726" i="4"/>
  <c r="K726" i="4"/>
  <c r="O725" i="4"/>
  <c r="N725" i="4"/>
  <c r="M725" i="4"/>
  <c r="L725" i="4"/>
  <c r="K725" i="4"/>
  <c r="O724" i="4"/>
  <c r="N724" i="4"/>
  <c r="M724" i="4"/>
  <c r="L724" i="4"/>
  <c r="K724" i="4"/>
  <c r="O723" i="4"/>
  <c r="N723" i="4"/>
  <c r="M723" i="4"/>
  <c r="L723" i="4"/>
  <c r="K723" i="4"/>
  <c r="O722" i="4"/>
  <c r="N722" i="4"/>
  <c r="M722" i="4"/>
  <c r="L722" i="4"/>
  <c r="K722" i="4"/>
  <c r="O721" i="4"/>
  <c r="N721" i="4"/>
  <c r="M721" i="4"/>
  <c r="L721" i="4"/>
  <c r="K721" i="4"/>
  <c r="O720" i="4"/>
  <c r="N720" i="4"/>
  <c r="M720" i="4"/>
  <c r="L720" i="4"/>
  <c r="K720" i="4"/>
  <c r="O719" i="4"/>
  <c r="N719" i="4"/>
  <c r="M719" i="4"/>
  <c r="L719" i="4"/>
  <c r="K719" i="4"/>
  <c r="O718" i="4"/>
  <c r="N718" i="4"/>
  <c r="M718" i="4"/>
  <c r="L718" i="4"/>
  <c r="K718" i="4"/>
  <c r="O717" i="4"/>
  <c r="N717" i="4"/>
  <c r="M717" i="4"/>
  <c r="L717" i="4"/>
  <c r="K717" i="4"/>
  <c r="O716" i="4"/>
  <c r="N716" i="4"/>
  <c r="M716" i="4"/>
  <c r="L716" i="4"/>
  <c r="K716" i="4"/>
  <c r="O715" i="4"/>
  <c r="N715" i="4"/>
  <c r="M715" i="4"/>
  <c r="L715" i="4"/>
  <c r="K715" i="4"/>
  <c r="O714" i="4"/>
  <c r="N714" i="4"/>
  <c r="M714" i="4"/>
  <c r="L714" i="4"/>
  <c r="K714" i="4"/>
  <c r="O713" i="4"/>
  <c r="N713" i="4"/>
  <c r="M713" i="4"/>
  <c r="L713" i="4"/>
  <c r="K713" i="4"/>
  <c r="O712" i="4"/>
  <c r="N712" i="4"/>
  <c r="M712" i="4"/>
  <c r="L712" i="4"/>
  <c r="K712" i="4"/>
  <c r="O711" i="4"/>
  <c r="N711" i="4"/>
  <c r="M711" i="4"/>
  <c r="L711" i="4"/>
  <c r="K711" i="4"/>
  <c r="O710" i="4"/>
  <c r="N710" i="4"/>
  <c r="M710" i="4"/>
  <c r="L710" i="4"/>
  <c r="K710" i="4"/>
  <c r="O709" i="4"/>
  <c r="N709" i="4"/>
  <c r="M709" i="4"/>
  <c r="L709" i="4"/>
  <c r="K709" i="4"/>
  <c r="O708" i="4"/>
  <c r="N708" i="4"/>
  <c r="M708" i="4"/>
  <c r="L708" i="4"/>
  <c r="K708" i="4"/>
  <c r="O707" i="4"/>
  <c r="N707" i="4"/>
  <c r="M707" i="4"/>
  <c r="L707" i="4"/>
  <c r="K707" i="4"/>
  <c r="O706" i="4"/>
  <c r="N706" i="4"/>
  <c r="M706" i="4"/>
  <c r="L706" i="4"/>
  <c r="K706" i="4"/>
  <c r="O705" i="4"/>
  <c r="N705" i="4"/>
  <c r="M705" i="4"/>
  <c r="L705" i="4"/>
  <c r="K705" i="4"/>
  <c r="O704" i="4"/>
  <c r="N704" i="4"/>
  <c r="M704" i="4"/>
  <c r="L704" i="4"/>
  <c r="K704" i="4"/>
  <c r="O703" i="4"/>
  <c r="N703" i="4"/>
  <c r="M703" i="4"/>
  <c r="L703" i="4"/>
  <c r="K703" i="4"/>
  <c r="O702" i="4"/>
  <c r="N702" i="4"/>
  <c r="M702" i="4"/>
  <c r="L702" i="4"/>
  <c r="K702" i="4"/>
  <c r="O701" i="4"/>
  <c r="N701" i="4"/>
  <c r="M701" i="4"/>
  <c r="L701" i="4"/>
  <c r="K701" i="4"/>
  <c r="O700" i="4"/>
  <c r="N700" i="4"/>
  <c r="M700" i="4"/>
  <c r="L700" i="4"/>
  <c r="K700" i="4"/>
  <c r="O699" i="4"/>
  <c r="N699" i="4"/>
  <c r="M699" i="4"/>
  <c r="L699" i="4"/>
  <c r="K699" i="4"/>
  <c r="O698" i="4"/>
  <c r="N698" i="4"/>
  <c r="M698" i="4"/>
  <c r="L698" i="4"/>
  <c r="K698" i="4"/>
  <c r="O697" i="4"/>
  <c r="N697" i="4"/>
  <c r="M697" i="4"/>
  <c r="L697" i="4"/>
  <c r="K697" i="4"/>
  <c r="O696" i="4"/>
  <c r="N696" i="4"/>
  <c r="M696" i="4"/>
  <c r="L696" i="4"/>
  <c r="K696" i="4"/>
  <c r="O695" i="4"/>
  <c r="N695" i="4"/>
  <c r="M695" i="4"/>
  <c r="L695" i="4"/>
  <c r="K695" i="4"/>
  <c r="O694" i="4"/>
  <c r="N694" i="4"/>
  <c r="M694" i="4"/>
  <c r="L694" i="4"/>
  <c r="K694" i="4"/>
  <c r="O693" i="4"/>
  <c r="N693" i="4"/>
  <c r="M693" i="4"/>
  <c r="L693" i="4"/>
  <c r="K693" i="4"/>
  <c r="O692" i="4"/>
  <c r="N692" i="4"/>
  <c r="M692" i="4"/>
  <c r="L692" i="4"/>
  <c r="K692" i="4"/>
  <c r="O691" i="4"/>
  <c r="N691" i="4"/>
  <c r="M691" i="4"/>
  <c r="L691" i="4"/>
  <c r="K691" i="4"/>
  <c r="O690" i="4"/>
  <c r="N690" i="4"/>
  <c r="M690" i="4"/>
  <c r="L690" i="4"/>
  <c r="K690" i="4"/>
  <c r="O689" i="4"/>
  <c r="N689" i="4"/>
  <c r="M689" i="4"/>
  <c r="L689" i="4"/>
  <c r="K689" i="4"/>
  <c r="O688" i="4"/>
  <c r="N688" i="4"/>
  <c r="M688" i="4"/>
  <c r="L688" i="4"/>
  <c r="K688" i="4"/>
  <c r="O687" i="4"/>
  <c r="N687" i="4"/>
  <c r="M687" i="4"/>
  <c r="L687" i="4"/>
  <c r="K687" i="4"/>
  <c r="O686" i="4"/>
  <c r="N686" i="4"/>
  <c r="M686" i="4"/>
  <c r="L686" i="4"/>
  <c r="K686" i="4"/>
  <c r="O685" i="4"/>
  <c r="N685" i="4"/>
  <c r="M685" i="4"/>
  <c r="L685" i="4"/>
  <c r="K685" i="4"/>
  <c r="O684" i="4"/>
  <c r="N684" i="4"/>
  <c r="M684" i="4"/>
  <c r="L684" i="4"/>
  <c r="K684" i="4"/>
  <c r="O683" i="4"/>
  <c r="N683" i="4"/>
  <c r="M683" i="4"/>
  <c r="L683" i="4"/>
  <c r="K683" i="4"/>
  <c r="O682" i="4"/>
  <c r="N682" i="4"/>
  <c r="M682" i="4"/>
  <c r="L682" i="4"/>
  <c r="K682" i="4"/>
  <c r="O681" i="4"/>
  <c r="N681" i="4"/>
  <c r="M681" i="4"/>
  <c r="L681" i="4"/>
  <c r="K681" i="4"/>
  <c r="O680" i="4"/>
  <c r="N680" i="4"/>
  <c r="M680" i="4"/>
  <c r="L680" i="4"/>
  <c r="K680" i="4"/>
  <c r="O679" i="4"/>
  <c r="N679" i="4"/>
  <c r="M679" i="4"/>
  <c r="L679" i="4"/>
  <c r="K679" i="4"/>
  <c r="O678" i="4"/>
  <c r="N678" i="4"/>
  <c r="M678" i="4"/>
  <c r="L678" i="4"/>
  <c r="K678" i="4"/>
  <c r="O677" i="4"/>
  <c r="N677" i="4"/>
  <c r="M677" i="4"/>
  <c r="L677" i="4"/>
  <c r="K677" i="4"/>
  <c r="O676" i="4"/>
  <c r="N676" i="4"/>
  <c r="M676" i="4"/>
  <c r="L676" i="4"/>
  <c r="K676" i="4"/>
  <c r="O675" i="4"/>
  <c r="N675" i="4"/>
  <c r="M675" i="4"/>
  <c r="L675" i="4"/>
  <c r="K675" i="4"/>
  <c r="O674" i="4"/>
  <c r="N674" i="4"/>
  <c r="M674" i="4"/>
  <c r="L674" i="4"/>
  <c r="K674" i="4"/>
  <c r="O673" i="4"/>
  <c r="N673" i="4"/>
  <c r="M673" i="4"/>
  <c r="L673" i="4"/>
  <c r="K673" i="4"/>
  <c r="O672" i="4"/>
  <c r="N672" i="4"/>
  <c r="M672" i="4"/>
  <c r="L672" i="4"/>
  <c r="K672" i="4"/>
  <c r="O671" i="4"/>
  <c r="N671" i="4"/>
  <c r="M671" i="4"/>
  <c r="L671" i="4"/>
  <c r="K671" i="4"/>
  <c r="O670" i="4"/>
  <c r="N670" i="4"/>
  <c r="M670" i="4"/>
  <c r="L670" i="4"/>
  <c r="K670" i="4"/>
  <c r="O669" i="4"/>
  <c r="N669" i="4"/>
  <c r="M669" i="4"/>
  <c r="L669" i="4"/>
  <c r="K669" i="4"/>
  <c r="O668" i="4"/>
  <c r="N668" i="4"/>
  <c r="M668" i="4"/>
  <c r="L668" i="4"/>
  <c r="K668" i="4"/>
  <c r="O667" i="4"/>
  <c r="N667" i="4"/>
  <c r="M667" i="4"/>
  <c r="L667" i="4"/>
  <c r="K667" i="4"/>
  <c r="O666" i="4"/>
  <c r="N666" i="4"/>
  <c r="M666" i="4"/>
  <c r="L666" i="4"/>
  <c r="K666" i="4"/>
  <c r="O665" i="4"/>
  <c r="N665" i="4"/>
  <c r="M665" i="4"/>
  <c r="L665" i="4"/>
  <c r="K665" i="4"/>
  <c r="O664" i="4"/>
  <c r="N664" i="4"/>
  <c r="M664" i="4"/>
  <c r="L664" i="4"/>
  <c r="K664" i="4"/>
  <c r="O663" i="4"/>
  <c r="N663" i="4"/>
  <c r="M663" i="4"/>
  <c r="L663" i="4"/>
  <c r="K663" i="4"/>
  <c r="O662" i="4"/>
  <c r="N662" i="4"/>
  <c r="M662" i="4"/>
  <c r="L662" i="4"/>
  <c r="K662" i="4"/>
  <c r="O661" i="4"/>
  <c r="N661" i="4"/>
  <c r="M661" i="4"/>
  <c r="L661" i="4"/>
  <c r="K661" i="4"/>
  <c r="O660" i="4"/>
  <c r="N660" i="4"/>
  <c r="M660" i="4"/>
  <c r="L660" i="4"/>
  <c r="K660" i="4"/>
  <c r="O659" i="4"/>
  <c r="N659" i="4"/>
  <c r="M659" i="4"/>
  <c r="L659" i="4"/>
  <c r="K659" i="4"/>
  <c r="O239" i="4"/>
  <c r="N239" i="4"/>
  <c r="M239" i="4"/>
  <c r="L239" i="4"/>
  <c r="K239" i="4"/>
  <c r="O110" i="4"/>
  <c r="N110" i="4"/>
  <c r="M110" i="4"/>
  <c r="L110" i="4"/>
  <c r="K110" i="4"/>
  <c r="O62" i="4"/>
  <c r="N62" i="4"/>
  <c r="M62" i="4"/>
  <c r="L62" i="4"/>
  <c r="K62" i="4"/>
  <c r="O61" i="4"/>
  <c r="N61" i="4"/>
  <c r="M61" i="4"/>
  <c r="L61" i="4"/>
  <c r="K61" i="4"/>
  <c r="O60" i="4"/>
  <c r="N60" i="4"/>
  <c r="M60" i="4"/>
  <c r="L60" i="4"/>
  <c r="K60" i="4"/>
  <c r="O59" i="4"/>
  <c r="N59" i="4"/>
  <c r="M59" i="4"/>
  <c r="L59" i="4"/>
  <c r="K59" i="4"/>
  <c r="O58" i="4"/>
  <c r="N58" i="4"/>
  <c r="M58" i="4"/>
  <c r="L58" i="4"/>
  <c r="K58" i="4"/>
  <c r="O57" i="4"/>
  <c r="N57" i="4"/>
  <c r="M57" i="4"/>
  <c r="L57" i="4"/>
  <c r="K57" i="4"/>
  <c r="O56" i="4"/>
  <c r="N56" i="4"/>
  <c r="M56" i="4"/>
  <c r="L56" i="4"/>
  <c r="K56" i="4"/>
  <c r="O55" i="4"/>
  <c r="N55" i="4"/>
  <c r="M55" i="4"/>
  <c r="L55" i="4"/>
  <c r="K55" i="4"/>
  <c r="O54" i="4"/>
  <c r="N54" i="4"/>
  <c r="M54" i="4"/>
  <c r="L54" i="4"/>
  <c r="K54" i="4"/>
  <c r="O53" i="4"/>
  <c r="N53" i="4"/>
  <c r="M53" i="4"/>
  <c r="L53" i="4"/>
  <c r="K53" i="4"/>
  <c r="O52" i="4"/>
  <c r="N52" i="4"/>
  <c r="M52" i="4"/>
  <c r="L52" i="4"/>
  <c r="K52" i="4"/>
  <c r="O51" i="4"/>
  <c r="N51" i="4"/>
  <c r="M51" i="4"/>
  <c r="L51" i="4"/>
  <c r="K51" i="4"/>
  <c r="O37" i="4"/>
  <c r="N37" i="4"/>
  <c r="M37" i="4"/>
  <c r="L37" i="4"/>
  <c r="K37" i="4"/>
  <c r="O70" i="4"/>
  <c r="N70" i="4"/>
  <c r="M70" i="4"/>
  <c r="L70" i="4"/>
  <c r="K70" i="4"/>
  <c r="O69" i="4"/>
  <c r="N69" i="4"/>
  <c r="M69" i="4"/>
  <c r="L69" i="4"/>
  <c r="K69" i="4"/>
  <c r="O68" i="4"/>
  <c r="N68" i="4"/>
  <c r="M68" i="4"/>
  <c r="L68" i="4"/>
  <c r="K68" i="4"/>
  <c r="O50" i="4"/>
  <c r="N50" i="4"/>
  <c r="M50" i="4"/>
  <c r="L50" i="4"/>
  <c r="K50" i="4"/>
  <c r="O49" i="4"/>
  <c r="N49" i="4"/>
  <c r="M49" i="4"/>
  <c r="L49" i="4"/>
  <c r="K49" i="4"/>
  <c r="O48" i="4"/>
  <c r="N48" i="4"/>
  <c r="M48" i="4"/>
  <c r="L48" i="4"/>
  <c r="K48" i="4"/>
  <c r="O47" i="4"/>
  <c r="N47" i="4"/>
  <c r="M47" i="4"/>
  <c r="L47" i="4"/>
  <c r="K47" i="4"/>
  <c r="O46" i="4"/>
  <c r="N46" i="4"/>
  <c r="M46" i="4"/>
  <c r="L46" i="4"/>
  <c r="K46" i="4"/>
  <c r="O67" i="4"/>
  <c r="N67" i="4"/>
  <c r="M67" i="4"/>
  <c r="L67" i="4"/>
  <c r="K67" i="4"/>
  <c r="O36" i="4"/>
  <c r="N36" i="4"/>
  <c r="M36" i="4"/>
  <c r="L36" i="4"/>
  <c r="K36" i="4"/>
  <c r="O45" i="4"/>
  <c r="N45" i="4"/>
  <c r="M45" i="4"/>
  <c r="L45" i="4"/>
  <c r="K45" i="4"/>
  <c r="O97" i="4"/>
  <c r="N97" i="4"/>
  <c r="M97" i="4"/>
  <c r="L97" i="4"/>
  <c r="K97" i="4"/>
  <c r="O96" i="4"/>
  <c r="N96" i="4"/>
  <c r="M96" i="4"/>
  <c r="L96" i="4"/>
  <c r="K96" i="4"/>
  <c r="O66" i="4"/>
  <c r="N66" i="4"/>
  <c r="M66" i="4"/>
  <c r="L66" i="4"/>
  <c r="K66" i="4"/>
  <c r="O95" i="4"/>
  <c r="N95" i="4"/>
  <c r="M95" i="4"/>
  <c r="L95" i="4"/>
  <c r="K95" i="4"/>
  <c r="O94" i="4"/>
  <c r="N94" i="4"/>
  <c r="M94" i="4"/>
  <c r="L94" i="4"/>
  <c r="K94" i="4"/>
  <c r="O93" i="4"/>
  <c r="N93" i="4"/>
  <c r="M93" i="4"/>
  <c r="L93" i="4"/>
  <c r="K93" i="4"/>
  <c r="O92" i="4"/>
  <c r="N92" i="4"/>
  <c r="M92" i="4"/>
  <c r="L92" i="4"/>
  <c r="K92" i="4"/>
  <c r="O91" i="4"/>
  <c r="N91" i="4"/>
  <c r="M91" i="4"/>
  <c r="L91" i="4"/>
  <c r="K91" i="4"/>
  <c r="O90" i="4"/>
  <c r="N90" i="4"/>
  <c r="M90" i="4"/>
  <c r="L90" i="4"/>
  <c r="K90" i="4"/>
  <c r="O101" i="4"/>
  <c r="N101" i="4"/>
  <c r="M101" i="4"/>
  <c r="L101" i="4"/>
  <c r="K101" i="4"/>
  <c r="O100" i="4"/>
  <c r="N100" i="4"/>
  <c r="M100" i="4"/>
  <c r="L100" i="4"/>
  <c r="K100" i="4"/>
  <c r="O65" i="4"/>
  <c r="N65" i="4"/>
  <c r="M65" i="4"/>
  <c r="L65" i="4"/>
  <c r="K65" i="4"/>
  <c r="O89" i="4"/>
  <c r="N89" i="4"/>
  <c r="M89" i="4"/>
  <c r="L89" i="4"/>
  <c r="K89" i="4"/>
  <c r="O88" i="4"/>
  <c r="N88" i="4"/>
  <c r="M88" i="4"/>
  <c r="L88" i="4"/>
  <c r="K88" i="4"/>
  <c r="O87" i="4"/>
  <c r="N87" i="4"/>
  <c r="M87" i="4"/>
  <c r="L87" i="4"/>
  <c r="K87" i="4"/>
  <c r="O86" i="4"/>
  <c r="N86" i="4"/>
  <c r="M86" i="4"/>
  <c r="L86" i="4"/>
  <c r="K86" i="4"/>
  <c r="O85" i="4"/>
  <c r="N85" i="4"/>
  <c r="M85" i="4"/>
  <c r="L85" i="4"/>
  <c r="K85" i="4"/>
  <c r="O84" i="4"/>
  <c r="N84" i="4"/>
  <c r="M84" i="4"/>
  <c r="L84" i="4"/>
  <c r="K84" i="4"/>
  <c r="O83" i="4"/>
  <c r="N83" i="4"/>
  <c r="M83" i="4"/>
  <c r="L83" i="4"/>
  <c r="K83" i="4"/>
  <c r="O99" i="4"/>
  <c r="N99" i="4"/>
  <c r="M99" i="4"/>
  <c r="L99" i="4"/>
  <c r="K99" i="4"/>
  <c r="O64" i="4"/>
  <c r="N64" i="4"/>
  <c r="M64" i="4"/>
  <c r="L64" i="4"/>
  <c r="K64" i="4"/>
  <c r="O82" i="4"/>
  <c r="N82" i="4"/>
  <c r="M82" i="4"/>
  <c r="L82" i="4"/>
  <c r="K82" i="4"/>
  <c r="O81" i="4"/>
  <c r="N81" i="4"/>
  <c r="M81" i="4"/>
  <c r="L81" i="4"/>
  <c r="K81" i="4"/>
  <c r="O98" i="4"/>
  <c r="N98" i="4"/>
  <c r="M98" i="4"/>
  <c r="L98" i="4"/>
  <c r="K98" i="4"/>
  <c r="O80" i="4"/>
  <c r="N80" i="4"/>
  <c r="M80" i="4"/>
  <c r="L80" i="4"/>
  <c r="K80" i="4"/>
  <c r="O63" i="4"/>
  <c r="N63" i="4"/>
  <c r="M63" i="4"/>
  <c r="L63" i="4"/>
  <c r="K63" i="4"/>
  <c r="O79" i="4"/>
  <c r="N79" i="4"/>
  <c r="M79" i="4"/>
  <c r="L79" i="4"/>
  <c r="K79" i="4"/>
  <c r="O78" i="4"/>
  <c r="N78" i="4"/>
  <c r="M78" i="4"/>
  <c r="L78" i="4"/>
  <c r="K78" i="4"/>
  <c r="O77" i="4"/>
  <c r="N77" i="4"/>
  <c r="M77" i="4"/>
  <c r="L77" i="4"/>
  <c r="K77" i="4"/>
  <c r="O38" i="4"/>
  <c r="N38" i="4"/>
  <c r="M38" i="4"/>
  <c r="L38" i="4"/>
  <c r="K38" i="4"/>
  <c r="O76" i="4"/>
  <c r="N76" i="4"/>
  <c r="M76" i="4"/>
  <c r="L76" i="4"/>
  <c r="K76" i="4"/>
  <c r="O75" i="4"/>
  <c r="N75" i="4"/>
  <c r="M75" i="4"/>
  <c r="L75" i="4"/>
  <c r="K75" i="4"/>
  <c r="O74" i="4"/>
  <c r="N74" i="4"/>
  <c r="M74" i="4"/>
  <c r="L74" i="4"/>
  <c r="K74" i="4"/>
  <c r="O73" i="4"/>
  <c r="N73" i="4"/>
  <c r="M73" i="4"/>
  <c r="L73" i="4"/>
  <c r="K73" i="4"/>
  <c r="O72" i="4"/>
  <c r="N72" i="4"/>
  <c r="M72" i="4"/>
  <c r="L72" i="4"/>
  <c r="K72" i="4"/>
  <c r="O71" i="4"/>
  <c r="N71" i="4"/>
  <c r="M71" i="4"/>
  <c r="L71" i="4"/>
  <c r="K71" i="4"/>
  <c r="O41" i="4"/>
  <c r="N41" i="4"/>
  <c r="M41" i="4"/>
  <c r="L41" i="4"/>
  <c r="K41" i="4"/>
  <c r="O103" i="4"/>
  <c r="N103" i="4"/>
  <c r="M103" i="4"/>
  <c r="L103" i="4"/>
  <c r="K103" i="4"/>
  <c r="O102" i="4"/>
  <c r="N102" i="4"/>
  <c r="M102" i="4"/>
  <c r="L102" i="4"/>
  <c r="K102" i="4"/>
  <c r="O116" i="4"/>
  <c r="N116" i="4"/>
  <c r="M116" i="4"/>
  <c r="L116" i="4"/>
  <c r="K116" i="4"/>
  <c r="O44" i="4"/>
  <c r="N44" i="4"/>
  <c r="M44" i="4"/>
  <c r="L44" i="4"/>
  <c r="K44" i="4"/>
  <c r="O115" i="4"/>
  <c r="N115" i="4"/>
  <c r="M115" i="4"/>
  <c r="L115" i="4"/>
  <c r="K115" i="4"/>
  <c r="O114" i="4"/>
  <c r="N114" i="4"/>
  <c r="M114" i="4"/>
  <c r="L114" i="4"/>
  <c r="K114" i="4"/>
  <c r="O40" i="4"/>
  <c r="N40" i="4"/>
  <c r="M40" i="4"/>
  <c r="L40" i="4"/>
  <c r="K40" i="4"/>
  <c r="O39" i="4"/>
  <c r="N39" i="4"/>
  <c r="M39" i="4"/>
  <c r="L39" i="4"/>
  <c r="K39" i="4"/>
  <c r="O113" i="4"/>
  <c r="N113" i="4"/>
  <c r="M113" i="4"/>
  <c r="L113" i="4"/>
  <c r="K113" i="4"/>
  <c r="O112" i="4"/>
  <c r="N112" i="4"/>
  <c r="M112" i="4"/>
  <c r="L112" i="4"/>
  <c r="K112" i="4"/>
  <c r="O111" i="4"/>
  <c r="N111" i="4"/>
  <c r="M111" i="4"/>
  <c r="L111" i="4"/>
  <c r="K111" i="4"/>
  <c r="O43" i="4"/>
  <c r="N43" i="4"/>
  <c r="M43" i="4"/>
  <c r="L43" i="4"/>
  <c r="K43" i="4"/>
  <c r="O42" i="4"/>
  <c r="N42" i="4"/>
  <c r="M42" i="4"/>
  <c r="L42" i="4"/>
  <c r="K42" i="4"/>
  <c r="O109" i="4"/>
  <c r="N109" i="4"/>
  <c r="M109" i="4"/>
  <c r="L109" i="4"/>
  <c r="K109" i="4"/>
  <c r="O108" i="4"/>
  <c r="N108" i="4"/>
  <c r="M108" i="4"/>
  <c r="L108" i="4"/>
  <c r="K108" i="4"/>
  <c r="O107" i="4"/>
  <c r="N107" i="4"/>
  <c r="M107" i="4"/>
  <c r="L107" i="4"/>
  <c r="K107" i="4"/>
  <c r="O106" i="4"/>
  <c r="N106" i="4"/>
  <c r="M106" i="4"/>
  <c r="L106" i="4"/>
  <c r="K106" i="4"/>
  <c r="O105" i="4"/>
  <c r="N105" i="4"/>
  <c r="M105" i="4"/>
  <c r="L105" i="4"/>
  <c r="K105" i="4"/>
  <c r="O104" i="4"/>
  <c r="N104" i="4"/>
  <c r="M104" i="4"/>
  <c r="L104" i="4"/>
  <c r="K104" i="4"/>
  <c r="O905" i="4"/>
  <c r="N905" i="4"/>
  <c r="M905" i="4"/>
  <c r="L905" i="4"/>
  <c r="K905" i="4"/>
  <c r="O920" i="4"/>
  <c r="N920" i="4"/>
  <c r="M920" i="4"/>
  <c r="L920" i="4"/>
  <c r="K920" i="4"/>
  <c r="O919" i="4"/>
  <c r="N919" i="4"/>
  <c r="M919" i="4"/>
  <c r="L919" i="4"/>
  <c r="K919" i="4"/>
  <c r="O918" i="4"/>
  <c r="N918" i="4"/>
  <c r="M918" i="4"/>
  <c r="L918" i="4"/>
  <c r="K918" i="4"/>
  <c r="O917" i="4"/>
  <c r="N917" i="4"/>
  <c r="M917" i="4"/>
  <c r="L917" i="4"/>
  <c r="K917" i="4"/>
  <c r="O916" i="4"/>
  <c r="N916" i="4"/>
  <c r="M916" i="4"/>
  <c r="L916" i="4"/>
  <c r="K916" i="4"/>
  <c r="O915" i="4"/>
  <c r="N915" i="4"/>
  <c r="M915" i="4"/>
  <c r="L915" i="4"/>
  <c r="K915" i="4"/>
  <c r="O900" i="4"/>
  <c r="N900" i="4"/>
  <c r="M900" i="4"/>
  <c r="L900" i="4"/>
  <c r="K900" i="4"/>
  <c r="O899" i="4"/>
  <c r="N899" i="4"/>
  <c r="M899" i="4"/>
  <c r="L899" i="4"/>
  <c r="K899" i="4"/>
  <c r="O35" i="4"/>
  <c r="N35" i="4"/>
  <c r="M35" i="4"/>
  <c r="L35" i="4"/>
  <c r="K35" i="4"/>
  <c r="O898" i="4"/>
  <c r="N898" i="4"/>
  <c r="M898" i="4"/>
  <c r="L898" i="4"/>
  <c r="K898" i="4"/>
  <c r="O897" i="4"/>
  <c r="N897" i="4"/>
  <c r="M897" i="4"/>
  <c r="L897" i="4"/>
  <c r="K897" i="4"/>
  <c r="O596" i="4"/>
  <c r="N596" i="4"/>
  <c r="M596" i="4"/>
  <c r="L596" i="4"/>
  <c r="K596" i="4"/>
  <c r="O595" i="4"/>
  <c r="N595" i="4"/>
  <c r="M595" i="4"/>
  <c r="L595" i="4"/>
  <c r="K595" i="4"/>
  <c r="O594" i="4"/>
  <c r="N594" i="4"/>
  <c r="M594" i="4"/>
  <c r="L594" i="4"/>
  <c r="K594" i="4"/>
  <c r="O593" i="4"/>
  <c r="N593" i="4"/>
  <c r="M593" i="4"/>
  <c r="L593" i="4"/>
  <c r="K593" i="4"/>
  <c r="O592" i="4"/>
  <c r="N592" i="4"/>
  <c r="M592" i="4"/>
  <c r="L592" i="4"/>
  <c r="K592" i="4"/>
  <c r="O232" i="4"/>
  <c r="N232" i="4"/>
  <c r="M232" i="4"/>
  <c r="L232" i="4"/>
  <c r="K232" i="4"/>
  <c r="O231" i="4"/>
  <c r="N231" i="4"/>
  <c r="M231" i="4"/>
  <c r="L231" i="4"/>
  <c r="K231" i="4"/>
  <c r="O34" i="4"/>
  <c r="N34" i="4"/>
  <c r="M34" i="4"/>
  <c r="L34" i="4"/>
  <c r="K34" i="4"/>
  <c r="O230" i="4"/>
  <c r="N230" i="4"/>
  <c r="M230" i="4"/>
  <c r="L230" i="4"/>
  <c r="K230" i="4"/>
  <c r="O229" i="4"/>
  <c r="N229" i="4"/>
  <c r="M229" i="4"/>
  <c r="L229" i="4"/>
  <c r="K229" i="4"/>
  <c r="O657" i="4"/>
  <c r="N657" i="4"/>
  <c r="M657" i="4"/>
  <c r="L657" i="4"/>
  <c r="K657" i="4"/>
  <c r="O631" i="4"/>
  <c r="N631" i="4"/>
  <c r="M631" i="4"/>
  <c r="L631" i="4"/>
  <c r="K631" i="4"/>
  <c r="O630" i="4"/>
  <c r="N630" i="4"/>
  <c r="M630" i="4"/>
  <c r="L630" i="4"/>
  <c r="K630" i="4"/>
  <c r="O629" i="4"/>
  <c r="N629" i="4"/>
  <c r="M629" i="4"/>
  <c r="L629" i="4"/>
  <c r="K629" i="4"/>
  <c r="O628" i="4"/>
  <c r="N628" i="4"/>
  <c r="M628" i="4"/>
  <c r="L628" i="4"/>
  <c r="K628" i="4"/>
  <c r="O627" i="4"/>
  <c r="N627" i="4"/>
  <c r="M627" i="4"/>
  <c r="L627" i="4"/>
  <c r="K627" i="4"/>
  <c r="O626" i="4"/>
  <c r="N626" i="4"/>
  <c r="M626" i="4"/>
  <c r="L626" i="4"/>
  <c r="K626" i="4"/>
  <c r="O625" i="4"/>
  <c r="N625" i="4"/>
  <c r="M625" i="4"/>
  <c r="L625" i="4"/>
  <c r="K625" i="4"/>
  <c r="O28" i="4"/>
  <c r="N28" i="4"/>
  <c r="M28" i="4"/>
  <c r="L28" i="4"/>
  <c r="K28" i="4"/>
  <c r="O557" i="4"/>
  <c r="N557" i="4"/>
  <c r="M557" i="4"/>
  <c r="L557" i="4"/>
  <c r="K557" i="4"/>
  <c r="O556" i="4"/>
  <c r="N556" i="4"/>
  <c r="M556" i="4"/>
  <c r="L556" i="4"/>
  <c r="K556" i="4"/>
  <c r="O555" i="4"/>
  <c r="N555" i="4"/>
  <c r="M555" i="4"/>
  <c r="L555" i="4"/>
  <c r="K555" i="4"/>
  <c r="O554" i="4"/>
  <c r="N554" i="4"/>
  <c r="M554" i="4"/>
  <c r="L554" i="4"/>
  <c r="K554" i="4"/>
  <c r="O553" i="4"/>
  <c r="N553" i="4"/>
  <c r="M553" i="4"/>
  <c r="L553" i="4"/>
  <c r="K553" i="4"/>
  <c r="O552" i="4"/>
  <c r="N552" i="4"/>
  <c r="M552" i="4"/>
  <c r="L552" i="4"/>
  <c r="K552" i="4"/>
  <c r="O551" i="4"/>
  <c r="N551" i="4"/>
  <c r="M551" i="4"/>
  <c r="L551" i="4"/>
  <c r="K551" i="4"/>
  <c r="O550" i="4"/>
  <c r="N550" i="4"/>
  <c r="M550" i="4"/>
  <c r="L550" i="4"/>
  <c r="K550" i="4"/>
  <c r="O549" i="4"/>
  <c r="N549" i="4"/>
  <c r="M549" i="4"/>
  <c r="L549" i="4"/>
  <c r="K549" i="4"/>
  <c r="O548" i="4"/>
  <c r="N548" i="4"/>
  <c r="M548" i="4"/>
  <c r="L548" i="4"/>
  <c r="K548" i="4"/>
  <c r="O547" i="4"/>
  <c r="N547" i="4"/>
  <c r="M547" i="4"/>
  <c r="L547" i="4"/>
  <c r="K547" i="4"/>
  <c r="O546" i="4"/>
  <c r="N546" i="4"/>
  <c r="M546" i="4"/>
  <c r="L546" i="4"/>
  <c r="K546" i="4"/>
  <c r="O545" i="4"/>
  <c r="N545" i="4"/>
  <c r="M545" i="4"/>
  <c r="L545" i="4"/>
  <c r="K545" i="4"/>
  <c r="O562" i="4"/>
  <c r="N562" i="4"/>
  <c r="M562" i="4"/>
  <c r="L562" i="4"/>
  <c r="K562" i="4"/>
  <c r="O561" i="4"/>
  <c r="N561" i="4"/>
  <c r="M561" i="4"/>
  <c r="L561" i="4"/>
  <c r="K561" i="4"/>
  <c r="O560" i="4"/>
  <c r="N560" i="4"/>
  <c r="M560" i="4"/>
  <c r="L560" i="4"/>
  <c r="K560" i="4"/>
  <c r="O559" i="4"/>
  <c r="N559" i="4"/>
  <c r="M559" i="4"/>
  <c r="L559" i="4"/>
  <c r="K559" i="4"/>
  <c r="O558" i="4"/>
  <c r="N558" i="4"/>
  <c r="M558" i="4"/>
  <c r="L558" i="4"/>
  <c r="K558" i="4"/>
  <c r="O892" i="4"/>
  <c r="N892" i="4"/>
  <c r="M892" i="4"/>
  <c r="L892" i="4"/>
  <c r="K892" i="4"/>
  <c r="O891" i="4"/>
  <c r="N891" i="4"/>
  <c r="M891" i="4"/>
  <c r="L891" i="4"/>
  <c r="K891" i="4"/>
  <c r="O224" i="4"/>
  <c r="N224" i="4"/>
  <c r="M224" i="4"/>
  <c r="L224" i="4"/>
  <c r="K224" i="4"/>
  <c r="O223" i="4"/>
  <c r="N223" i="4"/>
  <c r="M223" i="4"/>
  <c r="L223" i="4"/>
  <c r="K223" i="4"/>
  <c r="O6" i="4"/>
  <c r="N6" i="4"/>
  <c r="M6" i="4"/>
  <c r="L6" i="4"/>
  <c r="K6" i="4"/>
  <c r="O5" i="4"/>
  <c r="N5" i="4"/>
  <c r="M5" i="4"/>
  <c r="L5" i="4"/>
  <c r="K5" i="4"/>
  <c r="O624" i="4"/>
  <c r="N624" i="4"/>
  <c r="M624" i="4"/>
  <c r="L624" i="4"/>
  <c r="K624" i="4"/>
  <c r="O433" i="4"/>
  <c r="N433" i="4"/>
  <c r="M433" i="4"/>
  <c r="L433" i="4"/>
  <c r="K433" i="4"/>
  <c r="O429" i="4"/>
  <c r="N429" i="4"/>
  <c r="M429" i="4"/>
  <c r="L429" i="4"/>
  <c r="K429" i="4"/>
  <c r="O774" i="4"/>
  <c r="N774" i="4"/>
  <c r="M774" i="4"/>
  <c r="L774" i="4"/>
  <c r="K774" i="4"/>
  <c r="O773" i="4"/>
  <c r="N773" i="4"/>
  <c r="M773" i="4"/>
  <c r="L773" i="4"/>
  <c r="K773" i="4"/>
  <c r="O772" i="4"/>
  <c r="N772" i="4"/>
  <c r="M772" i="4"/>
  <c r="L772" i="4"/>
  <c r="K772" i="4"/>
  <c r="O771" i="4"/>
  <c r="N771" i="4"/>
  <c r="M771" i="4"/>
  <c r="L771" i="4"/>
  <c r="K771" i="4"/>
  <c r="O770" i="4"/>
  <c r="N770" i="4"/>
  <c r="M770" i="4"/>
  <c r="L770" i="4"/>
  <c r="K770" i="4"/>
  <c r="O769" i="4"/>
  <c r="N769" i="4"/>
  <c r="M769" i="4"/>
  <c r="L769" i="4"/>
  <c r="K769" i="4"/>
  <c r="O768" i="4"/>
  <c r="N768" i="4"/>
  <c r="M768" i="4"/>
  <c r="L768" i="4"/>
  <c r="K768" i="4"/>
  <c r="O767" i="4"/>
  <c r="N767" i="4"/>
  <c r="M767" i="4"/>
  <c r="L767" i="4"/>
  <c r="K767" i="4"/>
  <c r="O766" i="4"/>
  <c r="N766" i="4"/>
  <c r="M766" i="4"/>
  <c r="L766" i="4"/>
  <c r="K766" i="4"/>
  <c r="O765" i="4"/>
  <c r="N765" i="4"/>
  <c r="M765" i="4"/>
  <c r="L765" i="4"/>
  <c r="K765" i="4"/>
  <c r="O764" i="4"/>
  <c r="N764" i="4"/>
  <c r="M764" i="4"/>
  <c r="L764" i="4"/>
  <c r="K764" i="4"/>
  <c r="O763" i="4"/>
  <c r="N763" i="4"/>
  <c r="M763" i="4"/>
  <c r="L763" i="4"/>
  <c r="K763" i="4"/>
  <c r="O762" i="4"/>
  <c r="N762" i="4"/>
  <c r="M762" i="4"/>
  <c r="L762" i="4"/>
  <c r="K762" i="4"/>
  <c r="O761" i="4"/>
  <c r="N761" i="4"/>
  <c r="M761" i="4"/>
  <c r="L761" i="4"/>
  <c r="K761" i="4"/>
  <c r="O760" i="4"/>
  <c r="N760" i="4"/>
  <c r="M760" i="4"/>
  <c r="L760" i="4"/>
  <c r="K760" i="4"/>
  <c r="O759" i="4"/>
  <c r="N759" i="4"/>
  <c r="M759" i="4"/>
  <c r="L759" i="4"/>
  <c r="K759" i="4"/>
  <c r="O758" i="4"/>
  <c r="N758" i="4"/>
  <c r="M758" i="4"/>
  <c r="L758" i="4"/>
  <c r="K758" i="4"/>
  <c r="O757" i="4"/>
  <c r="N757" i="4"/>
  <c r="M757" i="4"/>
  <c r="L757" i="4"/>
  <c r="K757" i="4"/>
  <c r="O756" i="4"/>
  <c r="N756" i="4"/>
  <c r="M756" i="4"/>
  <c r="L756" i="4"/>
  <c r="K756" i="4"/>
  <c r="O755" i="4"/>
  <c r="N755" i="4"/>
  <c r="M755" i="4"/>
  <c r="L755" i="4"/>
  <c r="K755" i="4"/>
  <c r="O754" i="4"/>
  <c r="N754" i="4"/>
  <c r="M754" i="4"/>
  <c r="L754" i="4"/>
  <c r="K754" i="4"/>
  <c r="O753" i="4"/>
  <c r="N753" i="4"/>
  <c r="M753" i="4"/>
  <c r="L753" i="4"/>
  <c r="K753" i="4"/>
  <c r="O312" i="4"/>
  <c r="O313" i="4"/>
  <c r="O314" i="4"/>
  <c r="O315" i="4"/>
  <c r="O316" i="4"/>
  <c r="O317" i="4"/>
  <c r="O311" i="4"/>
  <c r="T124" i="4"/>
  <c r="V124" i="4"/>
  <c r="T123" i="4"/>
  <c r="V123" i="4"/>
  <c r="T152" i="4"/>
  <c r="V152" i="4"/>
  <c r="T900" i="4"/>
  <c r="V900" i="4"/>
  <c r="T892" i="4"/>
  <c r="U892" i="4"/>
  <c r="V892" i="4"/>
  <c r="T891" i="4"/>
  <c r="U891" i="4"/>
  <c r="V891" i="4"/>
  <c r="T557" i="4"/>
  <c r="U557" i="4"/>
  <c r="T28" i="4"/>
  <c r="U28" i="4"/>
  <c r="V28" i="4"/>
  <c r="L894" i="4"/>
  <c r="M894" i="4"/>
  <c r="N894" i="4"/>
  <c r="O894" i="4"/>
  <c r="L895" i="4"/>
  <c r="M895" i="4"/>
  <c r="N895" i="4"/>
  <c r="O895" i="4"/>
  <c r="L896" i="4"/>
  <c r="M896" i="4"/>
  <c r="N896" i="4"/>
  <c r="O896" i="4"/>
  <c r="O893" i="4"/>
  <c r="N893" i="4"/>
  <c r="M893" i="4"/>
  <c r="L893" i="4"/>
  <c r="K894" i="4"/>
  <c r="K895" i="4"/>
  <c r="K896" i="4"/>
  <c r="K893" i="4"/>
  <c r="T895" i="4"/>
  <c r="T896" i="4"/>
  <c r="U895" i="4"/>
  <c r="U896" i="4"/>
  <c r="V895" i="4"/>
  <c r="V896" i="4"/>
  <c r="T894" i="4"/>
  <c r="U894" i="4"/>
  <c r="V894" i="4"/>
  <c r="T893" i="4"/>
  <c r="U893" i="4"/>
  <c r="V893" i="4"/>
  <c r="W123" i="4" l="1"/>
  <c r="W419" i="4"/>
  <c r="W420" i="4"/>
  <c r="W416" i="4"/>
  <c r="W418" i="4"/>
  <c r="W417" i="4"/>
  <c r="W415" i="4"/>
  <c r="W414" i="4"/>
  <c r="W413" i="4"/>
  <c r="W412" i="4"/>
  <c r="W410" i="4"/>
  <c r="W409" i="4"/>
  <c r="W411" i="4"/>
  <c r="W408" i="4"/>
  <c r="W407" i="4"/>
  <c r="W406" i="4"/>
  <c r="W405" i="4"/>
  <c r="W124" i="4"/>
  <c r="W152" i="4"/>
  <c r="W900" i="4"/>
  <c r="W891" i="4"/>
  <c r="W892" i="4"/>
  <c r="W28" i="4"/>
  <c r="W894" i="4"/>
  <c r="W895" i="4"/>
  <c r="W896" i="4"/>
  <c r="W893" i="4"/>
  <c r="T388" i="4" l="1"/>
  <c r="U388" i="4"/>
  <c r="V388" i="4"/>
  <c r="P312" i="4"/>
  <c r="Q312" i="4" s="1"/>
  <c r="P313" i="4"/>
  <c r="Q313" i="4" s="1"/>
  <c r="P314" i="4"/>
  <c r="Q314" i="4" s="1"/>
  <c r="P315" i="4"/>
  <c r="Q315" i="4" s="1"/>
  <c r="P316" i="4"/>
  <c r="Q316" i="4" s="1"/>
  <c r="P317" i="4"/>
  <c r="Q317" i="4" s="1"/>
  <c r="P311" i="4"/>
  <c r="Q311" i="4" s="1"/>
  <c r="N312" i="4"/>
  <c r="N313" i="4"/>
  <c r="N314" i="4"/>
  <c r="N315" i="4"/>
  <c r="N316" i="4"/>
  <c r="N317" i="4"/>
  <c r="N311" i="4"/>
  <c r="M312" i="4"/>
  <c r="M313" i="4"/>
  <c r="M314" i="4"/>
  <c r="M315" i="4"/>
  <c r="M316" i="4"/>
  <c r="M317" i="4"/>
  <c r="M311" i="4"/>
  <c r="L312" i="4"/>
  <c r="L313" i="4"/>
  <c r="L314" i="4"/>
  <c r="L315" i="4"/>
  <c r="L316" i="4"/>
  <c r="L317" i="4"/>
  <c r="L311" i="4"/>
  <c r="K312" i="4"/>
  <c r="K313" i="4"/>
  <c r="K314" i="4"/>
  <c r="K315" i="4"/>
  <c r="K316" i="4"/>
  <c r="K317" i="4"/>
  <c r="K311" i="4"/>
  <c r="T317" i="4"/>
  <c r="U317" i="4"/>
  <c r="V317" i="4"/>
  <c r="T316" i="4"/>
  <c r="U316" i="4"/>
  <c r="V316" i="4"/>
  <c r="T315" i="4"/>
  <c r="U315" i="4"/>
  <c r="V315" i="4"/>
  <c r="T314" i="4"/>
  <c r="U314" i="4"/>
  <c r="V314" i="4"/>
  <c r="T313" i="4"/>
  <c r="U313" i="4"/>
  <c r="V313" i="4"/>
  <c r="T312" i="4"/>
  <c r="U312" i="4"/>
  <c r="V312" i="4"/>
  <c r="T311" i="4"/>
  <c r="U311" i="4"/>
  <c r="V311" i="4"/>
  <c r="T318" i="4"/>
  <c r="U318" i="4"/>
  <c r="V318" i="4"/>
  <c r="T319" i="4"/>
  <c r="U319" i="4"/>
  <c r="V319" i="4"/>
  <c r="T320" i="4"/>
  <c r="U320" i="4"/>
  <c r="V320" i="4"/>
  <c r="T321" i="4"/>
  <c r="U321" i="4"/>
  <c r="V321" i="4"/>
  <c r="T322" i="4"/>
  <c r="U322" i="4"/>
  <c r="V322" i="4"/>
  <c r="T323" i="4"/>
  <c r="U323" i="4"/>
  <c r="V323" i="4"/>
  <c r="T324" i="4"/>
  <c r="U324" i="4"/>
  <c r="V324" i="4"/>
  <c r="T325" i="4"/>
  <c r="U325" i="4"/>
  <c r="V325" i="4"/>
  <c r="T326" i="4"/>
  <c r="U326" i="4"/>
  <c r="V326" i="4"/>
  <c r="T327" i="4"/>
  <c r="U327" i="4"/>
  <c r="V327" i="4"/>
  <c r="T328" i="4"/>
  <c r="U328" i="4"/>
  <c r="V328" i="4"/>
  <c r="T329" i="4"/>
  <c r="U329" i="4"/>
  <c r="V329" i="4"/>
  <c r="T330" i="4"/>
  <c r="U330" i="4"/>
  <c r="V330" i="4"/>
  <c r="T331" i="4"/>
  <c r="U331" i="4"/>
  <c r="V331" i="4"/>
  <c r="T332" i="4"/>
  <c r="U332" i="4"/>
  <c r="V332" i="4"/>
  <c r="T333" i="4"/>
  <c r="U333" i="4"/>
  <c r="V333" i="4"/>
  <c r="T334" i="4"/>
  <c r="U334" i="4"/>
  <c r="V334" i="4"/>
  <c r="T335" i="4"/>
  <c r="U335" i="4"/>
  <c r="V335" i="4"/>
  <c r="T336" i="4"/>
  <c r="U336" i="4"/>
  <c r="V336" i="4"/>
  <c r="T337" i="4"/>
  <c r="U337" i="4"/>
  <c r="V337" i="4"/>
  <c r="T338" i="4"/>
  <c r="U338" i="4"/>
  <c r="V338" i="4"/>
  <c r="T339" i="4"/>
  <c r="U339" i="4"/>
  <c r="V339" i="4"/>
  <c r="T267" i="4"/>
  <c r="U267" i="4"/>
  <c r="V267" i="4"/>
  <c r="T289" i="4"/>
  <c r="U289" i="4"/>
  <c r="V289" i="4"/>
  <c r="T268" i="4"/>
  <c r="U268" i="4"/>
  <c r="V268" i="4"/>
  <c r="T290" i="4"/>
  <c r="U290" i="4"/>
  <c r="V290" i="4"/>
  <c r="T269" i="4"/>
  <c r="U269" i="4"/>
  <c r="V269" i="4"/>
  <c r="T291" i="4"/>
  <c r="U291" i="4"/>
  <c r="V291" i="4"/>
  <c r="T270" i="4"/>
  <c r="U270" i="4"/>
  <c r="V270" i="4"/>
  <c r="T292" i="4"/>
  <c r="U292" i="4"/>
  <c r="V292" i="4"/>
  <c r="T271" i="4"/>
  <c r="U271" i="4"/>
  <c r="V271" i="4"/>
  <c r="T293" i="4"/>
  <c r="U293" i="4"/>
  <c r="V293" i="4"/>
  <c r="T272" i="4"/>
  <c r="U272" i="4"/>
  <c r="V272" i="4"/>
  <c r="T294" i="4"/>
  <c r="U294" i="4"/>
  <c r="V294" i="4"/>
  <c r="T273" i="4"/>
  <c r="U273" i="4"/>
  <c r="V273" i="4"/>
  <c r="T295" i="4"/>
  <c r="U295" i="4"/>
  <c r="V295" i="4"/>
  <c r="T274" i="4"/>
  <c r="U274" i="4"/>
  <c r="V274" i="4"/>
  <c r="T296" i="4"/>
  <c r="U296" i="4"/>
  <c r="V296" i="4"/>
  <c r="T275" i="4"/>
  <c r="U275" i="4"/>
  <c r="V275" i="4"/>
  <c r="T297" i="4"/>
  <c r="U297" i="4"/>
  <c r="V297" i="4"/>
  <c r="T276" i="4"/>
  <c r="U276" i="4"/>
  <c r="V276" i="4"/>
  <c r="T298" i="4"/>
  <c r="U298" i="4"/>
  <c r="V298" i="4"/>
  <c r="T277" i="4"/>
  <c r="U277" i="4"/>
  <c r="V277" i="4"/>
  <c r="T299" i="4"/>
  <c r="U299" i="4"/>
  <c r="V299" i="4"/>
  <c r="T278" i="4"/>
  <c r="U278" i="4"/>
  <c r="V278" i="4"/>
  <c r="T300" i="4"/>
  <c r="U300" i="4"/>
  <c r="V300" i="4"/>
  <c r="T279" i="4"/>
  <c r="U279" i="4"/>
  <c r="V279" i="4"/>
  <c r="T301" i="4"/>
  <c r="U301" i="4"/>
  <c r="V301" i="4"/>
  <c r="T280" i="4"/>
  <c r="U280" i="4"/>
  <c r="V280" i="4"/>
  <c r="T302" i="4"/>
  <c r="U302" i="4"/>
  <c r="V302" i="4"/>
  <c r="T281" i="4"/>
  <c r="U281" i="4"/>
  <c r="V281" i="4"/>
  <c r="T303" i="4"/>
  <c r="U303" i="4"/>
  <c r="V303" i="4"/>
  <c r="T282" i="4"/>
  <c r="U282" i="4"/>
  <c r="V282" i="4"/>
  <c r="T304" i="4"/>
  <c r="U304" i="4"/>
  <c r="V304" i="4"/>
  <c r="T283" i="4"/>
  <c r="U283" i="4"/>
  <c r="V283" i="4"/>
  <c r="T305" i="4"/>
  <c r="U305" i="4"/>
  <c r="V305" i="4"/>
  <c r="T284" i="4"/>
  <c r="U284" i="4"/>
  <c r="V284" i="4"/>
  <c r="T306" i="4"/>
  <c r="U306" i="4"/>
  <c r="V306" i="4"/>
  <c r="T285" i="4"/>
  <c r="U285" i="4"/>
  <c r="V285" i="4"/>
  <c r="T307" i="4"/>
  <c r="U307" i="4"/>
  <c r="V307" i="4"/>
  <c r="T286" i="4"/>
  <c r="U286" i="4"/>
  <c r="V286" i="4"/>
  <c r="T308" i="4"/>
  <c r="U308" i="4"/>
  <c r="V308" i="4"/>
  <c r="T287" i="4"/>
  <c r="U287" i="4"/>
  <c r="V287" i="4"/>
  <c r="T309" i="4"/>
  <c r="U309" i="4"/>
  <c r="V309" i="4"/>
  <c r="T288" i="4"/>
  <c r="U288" i="4"/>
  <c r="V288" i="4"/>
  <c r="T310" i="4"/>
  <c r="U310" i="4"/>
  <c r="V310" i="4"/>
  <c r="U592" i="4"/>
  <c r="V592" i="4"/>
  <c r="U593" i="4"/>
  <c r="V593" i="4"/>
  <c r="U594" i="4"/>
  <c r="V594" i="4"/>
  <c r="T595" i="4"/>
  <c r="U595" i="4"/>
  <c r="V595" i="4"/>
  <c r="T596" i="4"/>
  <c r="U596" i="4"/>
  <c r="V596" i="4"/>
  <c r="T245" i="4"/>
  <c r="U245" i="4"/>
  <c r="V245" i="4"/>
  <c r="T246" i="4"/>
  <c r="U246" i="4"/>
  <c r="V246" i="4"/>
  <c r="T247" i="4"/>
  <c r="U247" i="4"/>
  <c r="V247" i="4"/>
  <c r="T248" i="4"/>
  <c r="U248" i="4"/>
  <c r="V248" i="4"/>
  <c r="T249" i="4"/>
  <c r="U249" i="4"/>
  <c r="V249" i="4"/>
  <c r="T250" i="4"/>
  <c r="U250" i="4"/>
  <c r="V250" i="4"/>
  <c r="T251" i="4"/>
  <c r="U251" i="4"/>
  <c r="V251" i="4"/>
  <c r="T252" i="4"/>
  <c r="U252" i="4"/>
  <c r="V252" i="4"/>
  <c r="T253" i="4"/>
  <c r="U253" i="4"/>
  <c r="V253" i="4"/>
  <c r="T254" i="4"/>
  <c r="U254" i="4"/>
  <c r="V254" i="4"/>
  <c r="T255" i="4"/>
  <c r="U255" i="4"/>
  <c r="V255" i="4"/>
  <c r="T256" i="4"/>
  <c r="U256" i="4"/>
  <c r="V256" i="4"/>
  <c r="T257" i="4"/>
  <c r="U257" i="4"/>
  <c r="V257" i="4"/>
  <c r="T258" i="4"/>
  <c r="U258" i="4"/>
  <c r="V258" i="4"/>
  <c r="T259" i="4"/>
  <c r="U259" i="4"/>
  <c r="V259" i="4"/>
  <c r="T260" i="4"/>
  <c r="U260" i="4"/>
  <c r="V260" i="4"/>
  <c r="T261" i="4"/>
  <c r="U261" i="4"/>
  <c r="V261" i="4"/>
  <c r="T262" i="4"/>
  <c r="U262" i="4"/>
  <c r="V262" i="4"/>
  <c r="T263" i="4"/>
  <c r="U263" i="4"/>
  <c r="V263" i="4"/>
  <c r="T264" i="4"/>
  <c r="U264" i="4"/>
  <c r="V264" i="4"/>
  <c r="T265" i="4"/>
  <c r="U265" i="4"/>
  <c r="V265" i="4"/>
  <c r="T266" i="4"/>
  <c r="U266" i="4"/>
  <c r="V266" i="4"/>
  <c r="Q264" i="5"/>
  <c r="Q265" i="5"/>
  <c r="Q266" i="5"/>
  <c r="Q267" i="5"/>
  <c r="Q268" i="5"/>
  <c r="Q269" i="5"/>
  <c r="Q270" i="5"/>
  <c r="Q23" i="5"/>
  <c r="Q16" i="5"/>
  <c r="Q17" i="5"/>
  <c r="Q18" i="5"/>
  <c r="Q19" i="5"/>
  <c r="Q244" i="5"/>
  <c r="Q246" i="5"/>
  <c r="Q247" i="5"/>
  <c r="Q248" i="5"/>
  <c r="Q249" i="5"/>
  <c r="Q250" i="5"/>
  <c r="Q251" i="5"/>
  <c r="Q252" i="5"/>
  <c r="Q253" i="5"/>
  <c r="Q254" i="5"/>
  <c r="Q255" i="5"/>
  <c r="Q256" i="5"/>
  <c r="Q257" i="5"/>
  <c r="Q258" i="5"/>
  <c r="Q259" i="5"/>
  <c r="Q100" i="5"/>
  <c r="Q101" i="5"/>
  <c r="Q102" i="5"/>
  <c r="Q103" i="5"/>
  <c r="Q104" i="5"/>
  <c r="Q105" i="5"/>
  <c r="Q302" i="5"/>
  <c r="Q210" i="5"/>
  <c r="Q211" i="5"/>
  <c r="Q212" i="5"/>
  <c r="Q237" i="5"/>
  <c r="Q214" i="5"/>
  <c r="Q307" i="5"/>
  <c r="Q303" i="5"/>
  <c r="Q206" i="5"/>
  <c r="Q207" i="5"/>
  <c r="Q304" i="5"/>
  <c r="Q305" i="5"/>
  <c r="Q239" i="5"/>
  <c r="Q240" i="5"/>
  <c r="Q306" i="5"/>
  <c r="Q235" i="5"/>
  <c r="Q236" i="5"/>
  <c r="Q238" i="5"/>
  <c r="Q220" i="5"/>
  <c r="Q222" i="5"/>
  <c r="Q213" i="5"/>
  <c r="Q221" i="5"/>
  <c r="Q208" i="5"/>
  <c r="Q209" i="5"/>
  <c r="Q219" i="5"/>
  <c r="Q218" i="5"/>
  <c r="Q217" i="5"/>
  <c r="Q215" i="5"/>
  <c r="Q216" i="5"/>
  <c r="Q241" i="5"/>
  <c r="Q242" i="5"/>
  <c r="Q243" i="5"/>
  <c r="Q230" i="5"/>
  <c r="Q225" i="5"/>
  <c r="Q224" i="5"/>
  <c r="Q226" i="5"/>
  <c r="Q234" i="5"/>
  <c r="Q227" i="5"/>
  <c r="Q228" i="5"/>
  <c r="Q229" i="5"/>
  <c r="Q223" i="5"/>
  <c r="Q231" i="5"/>
  <c r="Q232" i="5"/>
  <c r="Q233" i="5"/>
  <c r="Q79" i="5"/>
  <c r="Q80" i="5"/>
  <c r="Q81" i="5"/>
  <c r="Q82" i="5"/>
  <c r="Q83" i="5"/>
  <c r="Q84" i="5"/>
  <c r="Q85" i="5"/>
  <c r="Q86" i="5"/>
  <c r="Q87" i="5"/>
  <c r="Q88" i="5"/>
  <c r="Q89" i="5"/>
  <c r="Q90" i="5"/>
  <c r="Q91" i="5"/>
  <c r="Q92" i="5"/>
  <c r="Q3" i="5"/>
  <c r="Q4" i="5"/>
  <c r="Q5" i="5"/>
  <c r="Q6" i="5"/>
  <c r="Q7" i="5"/>
  <c r="Q8" i="5"/>
  <c r="Q9" i="5"/>
  <c r="Q10" i="5"/>
  <c r="Q11" i="5"/>
  <c r="Q12" i="5"/>
  <c r="Q13" i="5"/>
  <c r="Q14" i="5"/>
  <c r="Q15" i="5"/>
  <c r="Q245" i="5"/>
  <c r="Q24" i="5"/>
  <c r="Q20" i="5"/>
  <c r="Q21" i="5"/>
  <c r="Q22" i="5"/>
  <c r="Q25" i="5"/>
  <c r="Q26" i="5"/>
  <c r="Q27" i="5"/>
  <c r="Q28" i="5"/>
  <c r="Q29" i="5"/>
  <c r="Q30" i="5"/>
  <c r="Q31" i="5"/>
  <c r="Q32" i="5"/>
  <c r="Q33" i="5"/>
  <c r="Q34" i="5"/>
  <c r="Q35" i="5"/>
  <c r="Q36" i="5"/>
  <c r="Q71" i="5"/>
  <c r="Q72" i="5"/>
  <c r="Q73" i="5"/>
  <c r="Q74" i="5"/>
  <c r="Q75" i="5"/>
  <c r="Q76" i="5"/>
  <c r="Q37" i="5"/>
  <c r="Q38" i="5"/>
  <c r="Q39" i="5"/>
  <c r="Q40" i="5"/>
  <c r="Q41" i="5"/>
  <c r="Q42" i="5"/>
  <c r="Q43" i="5"/>
  <c r="Q106" i="5"/>
  <c r="Q107" i="5"/>
  <c r="Q108" i="5"/>
  <c r="Q109" i="5"/>
  <c r="Q110" i="5"/>
  <c r="Q111" i="5"/>
  <c r="Q112" i="5"/>
  <c r="Q113" i="5"/>
  <c r="Q114" i="5"/>
  <c r="Q115" i="5"/>
  <c r="Q116" i="5"/>
  <c r="Q117" i="5"/>
  <c r="Q118" i="5"/>
  <c r="Q119" i="5"/>
  <c r="Q44" i="5"/>
  <c r="Q45" i="5"/>
  <c r="Q46" i="5"/>
  <c r="Q47" i="5"/>
  <c r="Q48" i="5"/>
  <c r="Q49" i="5"/>
  <c r="Q50" i="5"/>
  <c r="Q51" i="5"/>
  <c r="Q52" i="5"/>
  <c r="Q53" i="5"/>
  <c r="Q54" i="5"/>
  <c r="Q55" i="5"/>
  <c r="Q120" i="5"/>
  <c r="Q121" i="5"/>
  <c r="Q122" i="5"/>
  <c r="Q123" i="5"/>
  <c r="Q124" i="5"/>
  <c r="Q125" i="5"/>
  <c r="Q56" i="5"/>
  <c r="Q57" i="5"/>
  <c r="Q58" i="5"/>
  <c r="Q59" i="5"/>
  <c r="Q60" i="5"/>
  <c r="Q61" i="5"/>
  <c r="Q62" i="5"/>
  <c r="Q63" i="5"/>
  <c r="Q64" i="5"/>
  <c r="Q65" i="5"/>
  <c r="Q66" i="5"/>
  <c r="Q67" i="5"/>
  <c r="Q68" i="5"/>
  <c r="Q69" i="5"/>
  <c r="Q70" i="5"/>
  <c r="Q309" i="5"/>
  <c r="Q77" i="5"/>
  <c r="Q78" i="5"/>
  <c r="Q93" i="5"/>
  <c r="Q94" i="5"/>
  <c r="Q95" i="5"/>
  <c r="Q98" i="5"/>
  <c r="Q99" i="5"/>
  <c r="Q263" i="5"/>
  <c r="Q310" i="5"/>
  <c r="Q311" i="5"/>
  <c r="Q312" i="5"/>
  <c r="Q313" i="5"/>
  <c r="Q314" i="5"/>
  <c r="Q315" i="5"/>
  <c r="Q316" i="5"/>
  <c r="Q317" i="5"/>
  <c r="Q318" i="5"/>
  <c r="Q319" i="5"/>
  <c r="Q320" i="5"/>
  <c r="Q321" i="5"/>
  <c r="Q322" i="5"/>
  <c r="Q323" i="5"/>
  <c r="Q324" i="5"/>
  <c r="Q325" i="5"/>
  <c r="Q326" i="5"/>
  <c r="Q327" i="5"/>
  <c r="Q328" i="5"/>
  <c r="Q329" i="5"/>
  <c r="Q330" i="5"/>
  <c r="Q331" i="5"/>
  <c r="Q332" i="5"/>
  <c r="Q182" i="5"/>
  <c r="Q183" i="5"/>
  <c r="Q184" i="5"/>
  <c r="Q185" i="5"/>
  <c r="Q186" i="5"/>
  <c r="Q187" i="5"/>
  <c r="Q271" i="5"/>
  <c r="Q272" i="5"/>
  <c r="Q273" i="5"/>
  <c r="Q274" i="5"/>
  <c r="Q275" i="5"/>
  <c r="Q276" i="5"/>
  <c r="Q126" i="5"/>
  <c r="Q204" i="5"/>
  <c r="Q205" i="5"/>
  <c r="Q277" i="5"/>
  <c r="Q308" i="5"/>
  <c r="Q278" i="5"/>
  <c r="Q279" i="5"/>
  <c r="Q280" i="5"/>
  <c r="Q281" i="5"/>
  <c r="Q282" i="5"/>
  <c r="Q283" i="5"/>
  <c r="Q284" i="5"/>
  <c r="Q285" i="5"/>
  <c r="Q286" i="5"/>
  <c r="Q287" i="5"/>
  <c r="Q288" i="5"/>
  <c r="Q289" i="5"/>
  <c r="Q290" i="5"/>
  <c r="Q291" i="5"/>
  <c r="Q292" i="5"/>
  <c r="Q293" i="5"/>
  <c r="Q294" i="5"/>
  <c r="Q295" i="5"/>
  <c r="Q296" i="5"/>
  <c r="Q297" i="5"/>
  <c r="Q298" i="5"/>
  <c r="Q299" i="5"/>
  <c r="Q127" i="5"/>
  <c r="Q188" i="5"/>
  <c r="Q128" i="5"/>
  <c r="Q189" i="5"/>
  <c r="Q190" i="5"/>
  <c r="Q191" i="5"/>
  <c r="Q192" i="5"/>
  <c r="Q193" i="5"/>
  <c r="Q300" i="5"/>
  <c r="Q301" i="5"/>
  <c r="Q129" i="5"/>
  <c r="Q130" i="5"/>
  <c r="Q131" i="5"/>
  <c r="Q132" i="5"/>
  <c r="Q133" i="5"/>
  <c r="Q134" i="5"/>
  <c r="Q135" i="5"/>
  <c r="Q136" i="5"/>
  <c r="Q137" i="5"/>
  <c r="Q138" i="5"/>
  <c r="Q194" i="5"/>
  <c r="Q195" i="5"/>
  <c r="Q139" i="5"/>
  <c r="Q196" i="5"/>
  <c r="Q197" i="5"/>
  <c r="Q198" i="5"/>
  <c r="Q199" i="5"/>
  <c r="Q200" i="5"/>
  <c r="Q201" i="5"/>
  <c r="Q202" i="5"/>
  <c r="Q203" i="5"/>
  <c r="Q140" i="5"/>
  <c r="Q141" i="5"/>
  <c r="Q142" i="5"/>
  <c r="Q143" i="5"/>
  <c r="Q144" i="5"/>
  <c r="Q145" i="5"/>
  <c r="Q146" i="5"/>
  <c r="Q147" i="5"/>
  <c r="Q148" i="5"/>
  <c r="Q149" i="5"/>
  <c r="Q150" i="5"/>
  <c r="Q151" i="5"/>
  <c r="Q152" i="5"/>
  <c r="Q153" i="5"/>
  <c r="Q154" i="5"/>
  <c r="Q155" i="5"/>
  <c r="Q156" i="5"/>
  <c r="Q157" i="5"/>
  <c r="Q158" i="5"/>
  <c r="Q159" i="5"/>
  <c r="Q160" i="5"/>
  <c r="Q161" i="5"/>
  <c r="Q162" i="5"/>
  <c r="Q163" i="5"/>
  <c r="Q164" i="5"/>
  <c r="Q165" i="5"/>
  <c r="Q166" i="5"/>
  <c r="Q167" i="5"/>
  <c r="Q168" i="5"/>
  <c r="Q169" i="5"/>
  <c r="Q170" i="5"/>
  <c r="Q171" i="5"/>
  <c r="Q172" i="5"/>
  <c r="Q173" i="5"/>
  <c r="Q174" i="5"/>
  <c r="Q175" i="5"/>
  <c r="Q176" i="5"/>
  <c r="Q177" i="5"/>
  <c r="Q178" i="5"/>
  <c r="Q179" i="5"/>
  <c r="Q180" i="5"/>
  <c r="Q181" i="5"/>
  <c r="Q260" i="5"/>
  <c r="Q261" i="5"/>
  <c r="Q262" i="5"/>
  <c r="Q96" i="5"/>
  <c r="Q97" i="5"/>
  <c r="W388" i="4" l="1"/>
  <c r="W311" i="4"/>
  <c r="W313" i="4"/>
  <c r="W315" i="4"/>
  <c r="W266" i="4"/>
  <c r="W264" i="4"/>
  <c r="W262" i="4"/>
  <c r="W260" i="4"/>
  <c r="W258" i="4"/>
  <c r="W256" i="4"/>
  <c r="W254" i="4"/>
  <c r="W252" i="4"/>
  <c r="W250" i="4"/>
  <c r="W248" i="4"/>
  <c r="W246" i="4"/>
  <c r="W595" i="4"/>
  <c r="W593" i="4"/>
  <c r="W288" i="4"/>
  <c r="W287" i="4"/>
  <c r="W286" i="4"/>
  <c r="W285" i="4"/>
  <c r="W284" i="4"/>
  <c r="W283" i="4"/>
  <c r="W282" i="4"/>
  <c r="W281" i="4"/>
  <c r="W280" i="4"/>
  <c r="W279" i="4"/>
  <c r="W278" i="4"/>
  <c r="W277" i="4"/>
  <c r="W276" i="4"/>
  <c r="W275" i="4"/>
  <c r="W274" i="4"/>
  <c r="W273" i="4"/>
  <c r="W272" i="4"/>
  <c r="W271" i="4"/>
  <c r="W270" i="4"/>
  <c r="W269" i="4"/>
  <c r="W268" i="4"/>
  <c r="W267" i="4"/>
  <c r="W338" i="4"/>
  <c r="W336" i="4"/>
  <c r="W334" i="4"/>
  <c r="W332" i="4"/>
  <c r="W330" i="4"/>
  <c r="W328" i="4"/>
  <c r="W326" i="4"/>
  <c r="W324" i="4"/>
  <c r="W322" i="4"/>
  <c r="W320" i="4"/>
  <c r="W318" i="4"/>
  <c r="W312" i="4"/>
  <c r="W314" i="4"/>
  <c r="W316" i="4"/>
  <c r="W265" i="4"/>
  <c r="W261" i="4"/>
  <c r="W257" i="4"/>
  <c r="W253" i="4"/>
  <c r="W249" i="4"/>
  <c r="W245" i="4"/>
  <c r="W592" i="4"/>
  <c r="W308" i="4"/>
  <c r="W304" i="4"/>
  <c r="W300" i="4"/>
  <c r="W296" i="4"/>
  <c r="W292" i="4"/>
  <c r="W317" i="4"/>
  <c r="W263" i="4"/>
  <c r="W259" i="4"/>
  <c r="W255" i="4"/>
  <c r="W251" i="4"/>
  <c r="W247" i="4"/>
  <c r="W596" i="4"/>
  <c r="W594" i="4"/>
  <c r="W310" i="4"/>
  <c r="W309" i="4"/>
  <c r="W307" i="4"/>
  <c r="W306" i="4"/>
  <c r="W305" i="4"/>
  <c r="W303" i="4"/>
  <c r="W302" i="4"/>
  <c r="W301" i="4"/>
  <c r="W299" i="4"/>
  <c r="W298" i="4"/>
  <c r="W297" i="4"/>
  <c r="W295" i="4"/>
  <c r="W294" i="4"/>
  <c r="W293" i="4"/>
  <c r="W291" i="4"/>
  <c r="W290" i="4"/>
  <c r="W289" i="4"/>
  <c r="W339" i="4"/>
  <c r="W337" i="4"/>
  <c r="W335" i="4"/>
  <c r="W333" i="4"/>
  <c r="W331" i="4"/>
  <c r="W329" i="4"/>
  <c r="W327" i="4"/>
  <c r="W325" i="4"/>
  <c r="W323" i="4"/>
  <c r="W321" i="4"/>
  <c r="W319" i="4"/>
  <c r="V792" i="4" l="1"/>
  <c r="V793" i="4"/>
  <c r="V794" i="4"/>
  <c r="V795" i="4"/>
  <c r="V796" i="4"/>
  <c r="V797" i="4"/>
  <c r="V798" i="4"/>
  <c r="V799" i="4"/>
  <c r="V800" i="4"/>
  <c r="V801" i="4"/>
  <c r="V802" i="4"/>
  <c r="V803" i="4"/>
  <c r="V804" i="4"/>
  <c r="V805" i="4"/>
  <c r="V806" i="4"/>
  <c r="V807" i="4"/>
  <c r="V808" i="4"/>
  <c r="V809" i="4"/>
  <c r="V810" i="4"/>
  <c r="V811" i="4"/>
  <c r="V812" i="4"/>
  <c r="V389" i="4"/>
  <c r="V356" i="4"/>
  <c r="V340" i="4"/>
  <c r="V372" i="4"/>
  <c r="V813" i="4"/>
  <c r="V390" i="4"/>
  <c r="V357" i="4"/>
  <c r="V341" i="4"/>
  <c r="V373" i="4"/>
  <c r="V814" i="4"/>
  <c r="V391" i="4"/>
  <c r="V358" i="4"/>
  <c r="V342" i="4"/>
  <c r="V374" i="4"/>
  <c r="V815" i="4"/>
  <c r="V392" i="4"/>
  <c r="V359" i="4"/>
  <c r="V343" i="4"/>
  <c r="V375" i="4"/>
  <c r="V816" i="4"/>
  <c r="V393" i="4"/>
  <c r="V360" i="4"/>
  <c r="V344" i="4"/>
  <c r="V376" i="4"/>
  <c r="V817" i="4"/>
  <c r="V394" i="4"/>
  <c r="V361" i="4"/>
  <c r="V345" i="4"/>
  <c r="V377" i="4"/>
  <c r="V818" i="4"/>
  <c r="V395" i="4"/>
  <c r="V362" i="4"/>
  <c r="V346" i="4"/>
  <c r="V378" i="4"/>
  <c r="V819" i="4"/>
  <c r="V396" i="4"/>
  <c r="V363" i="4"/>
  <c r="V347" i="4"/>
  <c r="V379" i="4"/>
  <c r="V820" i="4"/>
  <c r="V237" i="4"/>
  <c r="V238" i="4"/>
  <c r="V625" i="4"/>
  <c r="V626" i="4"/>
  <c r="V627" i="4"/>
  <c r="V628" i="4"/>
  <c r="V629" i="4"/>
  <c r="V630" i="4"/>
  <c r="V631" i="4"/>
  <c r="V642" i="4"/>
  <c r="V643" i="4"/>
  <c r="V644" i="4"/>
  <c r="V645" i="4"/>
  <c r="V646" i="4"/>
  <c r="V647" i="4"/>
  <c r="V648" i="4"/>
  <c r="V649" i="4"/>
  <c r="V650" i="4"/>
  <c r="V651" i="4"/>
  <c r="V652" i="4"/>
  <c r="V653" i="4"/>
  <c r="V654" i="4"/>
  <c r="V655" i="4"/>
  <c r="V656" i="4"/>
  <c r="V657" i="4"/>
  <c r="V659" i="4"/>
  <c r="V660" i="4"/>
  <c r="V661" i="4"/>
  <c r="V662" i="4"/>
  <c r="V663" i="4"/>
  <c r="V775" i="4"/>
  <c r="V778" i="4"/>
  <c r="V779" i="4"/>
  <c r="V780" i="4"/>
  <c r="V781" i="4"/>
  <c r="V782" i="4"/>
  <c r="V783" i="4"/>
  <c r="V784" i="4"/>
  <c r="V785" i="4"/>
  <c r="V786" i="4"/>
  <c r="V787" i="4"/>
  <c r="V788" i="4"/>
  <c r="V789" i="4"/>
  <c r="V790" i="4"/>
  <c r="V791" i="4"/>
  <c r="V421" i="4"/>
  <c r="V422" i="4"/>
  <c r="V423" i="4"/>
  <c r="V424" i="4"/>
  <c r="V425" i="4"/>
  <c r="V426" i="4"/>
  <c r="V427" i="4"/>
  <c r="V428" i="4"/>
  <c r="V430" i="4"/>
  <c r="V431" i="4"/>
  <c r="V432" i="4"/>
  <c r="V434" i="4"/>
  <c r="V435" i="4"/>
  <c r="V436" i="4"/>
  <c r="V437" i="4"/>
  <c r="V438" i="4"/>
  <c r="V439" i="4"/>
  <c r="V440" i="4"/>
  <c r="V441" i="4"/>
  <c r="V442" i="4"/>
  <c r="V443" i="4"/>
  <c r="V444" i="4"/>
  <c r="V445" i="4"/>
  <c r="V446" i="4"/>
  <c r="V447" i="4"/>
  <c r="V448" i="4"/>
  <c r="V449" i="4"/>
  <c r="V450" i="4"/>
  <c r="V451" i="4"/>
  <c r="V452" i="4"/>
  <c r="V453" i="4"/>
  <c r="V454" i="4"/>
  <c r="V455" i="4"/>
  <c r="V456" i="4"/>
  <c r="V457" i="4"/>
  <c r="V458" i="4"/>
  <c r="V459" i="4"/>
  <c r="V460" i="4"/>
  <c r="V461" i="4"/>
  <c r="V462" i="4"/>
  <c r="V463" i="4"/>
  <c r="V464" i="4"/>
  <c r="V465" i="4"/>
  <c r="V466" i="4"/>
  <c r="V467" i="4"/>
  <c r="V468" i="4"/>
  <c r="V469" i="4"/>
  <c r="V470" i="4"/>
  <c r="V471" i="4"/>
  <c r="V472" i="4"/>
  <c r="V473" i="4"/>
  <c r="V474" i="4"/>
  <c r="V475" i="4"/>
  <c r="V476" i="4"/>
  <c r="V477" i="4"/>
  <c r="V478" i="4"/>
  <c r="V479" i="4"/>
  <c r="V480" i="4"/>
  <c r="V481" i="4"/>
  <c r="V482" i="4"/>
  <c r="V483" i="4"/>
  <c r="V484" i="4"/>
  <c r="V485" i="4"/>
  <c r="V486" i="4"/>
  <c r="V487" i="4"/>
  <c r="V488" i="4"/>
  <c r="V489" i="4"/>
  <c r="V490" i="4"/>
  <c r="V491" i="4"/>
  <c r="V492" i="4"/>
  <c r="V493" i="4"/>
  <c r="V494" i="4"/>
  <c r="V495" i="4"/>
  <c r="V496" i="4"/>
  <c r="V497" i="4"/>
  <c r="V498" i="4"/>
  <c r="V499" i="4"/>
  <c r="V500" i="4"/>
  <c r="V501" i="4"/>
  <c r="V502" i="4"/>
  <c r="V503" i="4"/>
  <c r="V504" i="4"/>
  <c r="V505" i="4"/>
  <c r="V506" i="4"/>
  <c r="V507" i="4"/>
  <c r="V508" i="4"/>
  <c r="V429" i="4"/>
  <c r="V624" i="4"/>
  <c r="V5" i="4"/>
  <c r="V6" i="4"/>
  <c r="V223" i="4"/>
  <c r="V224" i="4"/>
  <c r="V239" i="4"/>
  <c r="V898" i="4"/>
  <c r="V899" i="4"/>
  <c r="V232" i="4"/>
  <c r="V229" i="4"/>
  <c r="V897" i="4"/>
  <c r="V230" i="4"/>
  <c r="V231" i="4"/>
  <c r="V34" i="4"/>
  <c r="V35" i="4"/>
  <c r="V915" i="4"/>
  <c r="V916" i="4"/>
  <c r="V917" i="4"/>
  <c r="V919" i="4"/>
  <c r="V920" i="4"/>
  <c r="V905" i="4"/>
  <c r="V700" i="4"/>
  <c r="V701" i="4"/>
  <c r="V702" i="4"/>
  <c r="V703" i="4"/>
  <c r="V704" i="4"/>
  <c r="V705" i="4"/>
  <c r="V706" i="4"/>
  <c r="V707" i="4"/>
  <c r="V708" i="4"/>
  <c r="V709" i="4"/>
  <c r="V710" i="4"/>
  <c r="V711" i="4"/>
  <c r="V712" i="4"/>
  <c r="V713" i="4"/>
  <c r="V714" i="4"/>
  <c r="V715" i="4"/>
  <c r="V716" i="4"/>
  <c r="V717" i="4"/>
  <c r="V718" i="4"/>
  <c r="V719" i="4"/>
  <c r="V720" i="4"/>
  <c r="V721" i="4"/>
  <c r="V722" i="4"/>
  <c r="V723" i="4"/>
  <c r="V724" i="4"/>
  <c r="V725" i="4"/>
  <c r="V726" i="4"/>
  <c r="V727" i="4"/>
  <c r="V728" i="4"/>
  <c r="V729" i="4"/>
  <c r="V730" i="4"/>
  <c r="V731" i="4"/>
  <c r="V732" i="4"/>
  <c r="V733" i="4"/>
  <c r="V734" i="4"/>
  <c r="V735" i="4"/>
  <c r="V736" i="4"/>
  <c r="V737" i="4"/>
  <c r="V738" i="4"/>
  <c r="V739" i="4"/>
  <c r="V740" i="4"/>
  <c r="V741" i="4"/>
  <c r="V742" i="4"/>
  <c r="V743" i="4"/>
  <c r="V744" i="4"/>
  <c r="V745" i="4"/>
  <c r="V746" i="4"/>
  <c r="V747" i="4"/>
  <c r="V748" i="4"/>
  <c r="V749" i="4"/>
  <c r="V750" i="4"/>
  <c r="V751" i="4"/>
  <c r="V752" i="4"/>
  <c r="V901" i="4"/>
  <c r="V509" i="4"/>
  <c r="V233" i="4"/>
  <c r="V902" i="4"/>
  <c r="V226" i="4"/>
  <c r="V225" i="4"/>
  <c r="V234" i="4"/>
  <c r="V776" i="4"/>
  <c r="V777" i="4"/>
  <c r="V510" i="4"/>
  <c r="V511" i="4"/>
  <c r="V512" i="4"/>
  <c r="V906" i="4"/>
  <c r="V921" i="4"/>
  <c r="V907" i="4"/>
  <c r="V908" i="4"/>
  <c r="V909" i="4"/>
  <c r="V910" i="4"/>
  <c r="V911" i="4"/>
  <c r="V912" i="4"/>
  <c r="V913" i="4"/>
  <c r="V228" i="4"/>
  <c r="V903" i="4"/>
  <c r="V821" i="4"/>
  <c r="V822" i="4"/>
  <c r="V823" i="4"/>
  <c r="V824" i="4"/>
  <c r="V825" i="4"/>
  <c r="V826" i="4"/>
  <c r="V827" i="4"/>
  <c r="V828" i="4"/>
  <c r="V829" i="4"/>
  <c r="V830" i="4"/>
  <c r="V831" i="4"/>
  <c r="V832" i="4"/>
  <c r="V833" i="4"/>
  <c r="V834" i="4"/>
  <c r="V835" i="4"/>
  <c r="V836" i="4"/>
  <c r="V837" i="4"/>
  <c r="V838" i="4"/>
  <c r="V839" i="4"/>
  <c r="V840" i="4"/>
  <c r="V841" i="4"/>
  <c r="V842" i="4"/>
  <c r="V843" i="4"/>
  <c r="V844" i="4"/>
  <c r="V845" i="4"/>
  <c r="V846" i="4"/>
  <c r="V847" i="4"/>
  <c r="V848" i="4"/>
  <c r="V849" i="4"/>
  <c r="V850" i="4"/>
  <c r="V851" i="4"/>
  <c r="V852" i="4"/>
  <c r="V570" i="4"/>
  <c r="V853" i="4"/>
  <c r="V854" i="4"/>
  <c r="V855" i="4"/>
  <c r="V856" i="4"/>
  <c r="V227" i="4"/>
  <c r="V141" i="4"/>
  <c r="V857" i="4"/>
  <c r="V858" i="4"/>
  <c r="V859" i="4"/>
  <c r="V860" i="4"/>
  <c r="V861" i="4"/>
  <c r="V862" i="4"/>
  <c r="V863" i="4"/>
  <c r="V571" i="4"/>
  <c r="V914" i="4"/>
  <c r="V923" i="4"/>
  <c r="V864" i="4"/>
  <c r="V865" i="4"/>
  <c r="V866" i="4"/>
  <c r="V867" i="4"/>
  <c r="V868" i="4"/>
  <c r="V235" i="4"/>
  <c r="V922" i="4"/>
  <c r="V397" i="4"/>
  <c r="V364" i="4"/>
  <c r="V348" i="4"/>
  <c r="V380" i="4"/>
  <c r="V869" i="4"/>
  <c r="V398" i="4"/>
  <c r="V365" i="4"/>
  <c r="V349" i="4"/>
  <c r="V381" i="4"/>
  <c r="V870" i="4"/>
  <c r="V871" i="4"/>
  <c r="V872" i="4"/>
  <c r="V399" i="4"/>
  <c r="V366" i="4"/>
  <c r="V350" i="4"/>
  <c r="V382" i="4"/>
  <c r="V873" i="4"/>
  <c r="V400" i="4"/>
  <c r="V367" i="4"/>
  <c r="V351" i="4"/>
  <c r="V383" i="4"/>
  <c r="V874" i="4"/>
  <c r="V875" i="4"/>
  <c r="V876" i="4"/>
  <c r="V877" i="4"/>
  <c r="V401" i="4"/>
  <c r="V368" i="4"/>
  <c r="V352" i="4"/>
  <c r="V384" i="4"/>
  <c r="V878" i="4"/>
  <c r="V402" i="4"/>
  <c r="V369" i="4"/>
  <c r="V353" i="4"/>
  <c r="V385" i="4"/>
  <c r="V879" i="4"/>
  <c r="V403" i="4"/>
  <c r="V370" i="4"/>
  <c r="V354" i="4"/>
  <c r="V386" i="4"/>
  <c r="V880" i="4"/>
  <c r="V881" i="4"/>
  <c r="V882" i="4"/>
  <c r="V236" i="4"/>
  <c r="V904" i="4"/>
  <c r="V883" i="4"/>
  <c r="V884" i="4"/>
  <c r="V404" i="4"/>
  <c r="V371" i="4"/>
  <c r="V355" i="4"/>
  <c r="V387" i="4"/>
  <c r="V885" i="4"/>
  <c r="V244" i="4"/>
  <c r="V886" i="4"/>
  <c r="V887" i="4"/>
  <c r="V888" i="4"/>
  <c r="V889" i="4"/>
  <c r="V890" i="4"/>
  <c r="U792" i="4"/>
  <c r="U793" i="4"/>
  <c r="U153" i="4"/>
  <c r="U794" i="4"/>
  <c r="U154" i="4"/>
  <c r="U795" i="4"/>
  <c r="U155" i="4"/>
  <c r="U796" i="4"/>
  <c r="U156" i="4"/>
  <c r="U797" i="4"/>
  <c r="U157" i="4"/>
  <c r="U798" i="4"/>
  <c r="U158" i="4"/>
  <c r="U799" i="4"/>
  <c r="U159" i="4"/>
  <c r="U800" i="4"/>
  <c r="U160" i="4"/>
  <c r="U801" i="4"/>
  <c r="U161" i="4"/>
  <c r="U802" i="4"/>
  <c r="U162" i="4"/>
  <c r="U803" i="4"/>
  <c r="U163" i="4"/>
  <c r="U804" i="4"/>
  <c r="U164" i="4"/>
  <c r="U805" i="4"/>
  <c r="U165" i="4"/>
  <c r="U806" i="4"/>
  <c r="U166" i="4"/>
  <c r="U807" i="4"/>
  <c r="U167" i="4"/>
  <c r="U808" i="4"/>
  <c r="U168" i="4"/>
  <c r="U809" i="4"/>
  <c r="U169" i="4"/>
  <c r="U810" i="4"/>
  <c r="U170" i="4"/>
  <c r="U811" i="4"/>
  <c r="U171" i="4"/>
  <c r="U812" i="4"/>
  <c r="U389" i="4"/>
  <c r="U356" i="4"/>
  <c r="U340" i="4"/>
  <c r="U372" i="4"/>
  <c r="U813" i="4"/>
  <c r="U390" i="4"/>
  <c r="U357" i="4"/>
  <c r="U341" i="4"/>
  <c r="U373" i="4"/>
  <c r="U814" i="4"/>
  <c r="U391" i="4"/>
  <c r="U358" i="4"/>
  <c r="U342" i="4"/>
  <c r="U374" i="4"/>
  <c r="U815" i="4"/>
  <c r="U392" i="4"/>
  <c r="U359" i="4"/>
  <c r="U343" i="4"/>
  <c r="U375" i="4"/>
  <c r="U816" i="4"/>
  <c r="U393" i="4"/>
  <c r="U360" i="4"/>
  <c r="U344" i="4"/>
  <c r="U376" i="4"/>
  <c r="U817" i="4"/>
  <c r="U394" i="4"/>
  <c r="U361" i="4"/>
  <c r="U345" i="4"/>
  <c r="U377" i="4"/>
  <c r="U818" i="4"/>
  <c r="U395" i="4"/>
  <c r="U362" i="4"/>
  <c r="U346" i="4"/>
  <c r="U378" i="4"/>
  <c r="U819" i="4"/>
  <c r="U396" i="4"/>
  <c r="U363" i="4"/>
  <c r="U347" i="4"/>
  <c r="U379" i="4"/>
  <c r="U820" i="4"/>
  <c r="U529" i="4"/>
  <c r="U558" i="4"/>
  <c r="U625" i="4"/>
  <c r="U7" i="4"/>
  <c r="U632" i="4"/>
  <c r="U8" i="4"/>
  <c r="U633" i="4"/>
  <c r="U9" i="4"/>
  <c r="U634" i="4"/>
  <c r="U559" i="4"/>
  <c r="U626" i="4"/>
  <c r="U560" i="4"/>
  <c r="U627" i="4"/>
  <c r="U10" i="4"/>
  <c r="U635" i="4"/>
  <c r="U11" i="4"/>
  <c r="U636" i="4"/>
  <c r="U12" i="4"/>
  <c r="U637" i="4"/>
  <c r="U13" i="4"/>
  <c r="U638" i="4"/>
  <c r="U561" i="4"/>
  <c r="U628" i="4"/>
  <c r="U562" i="4"/>
  <c r="U629" i="4"/>
  <c r="U14" i="4"/>
  <c r="U639" i="4"/>
  <c r="U15" i="4"/>
  <c r="U640" i="4"/>
  <c r="U563" i="4"/>
  <c r="U630" i="4"/>
  <c r="U564" i="4"/>
  <c r="U631" i="4"/>
  <c r="U16" i="4"/>
  <c r="U641" i="4"/>
  <c r="U17" i="4"/>
  <c r="U642" i="4"/>
  <c r="U18" i="4"/>
  <c r="U643" i="4"/>
  <c r="U19" i="4"/>
  <c r="U644" i="4"/>
  <c r="U20" i="4"/>
  <c r="U645" i="4"/>
  <c r="U21" i="4"/>
  <c r="U646" i="4"/>
  <c r="U22" i="4"/>
  <c r="U647" i="4"/>
  <c r="U23" i="4"/>
  <c r="U648" i="4"/>
  <c r="U24" i="4"/>
  <c r="U649" i="4"/>
  <c r="U25" i="4"/>
  <c r="U650" i="4"/>
  <c r="U26" i="4"/>
  <c r="U651" i="4"/>
  <c r="U27" i="4"/>
  <c r="U652" i="4"/>
  <c r="U29" i="4"/>
  <c r="U653" i="4"/>
  <c r="U30" i="4"/>
  <c r="U654" i="4"/>
  <c r="U31" i="4"/>
  <c r="U655" i="4"/>
  <c r="U32" i="4"/>
  <c r="U656" i="4"/>
  <c r="U33" i="4"/>
  <c r="U657" i="4"/>
  <c r="U659" i="4"/>
  <c r="U660" i="4"/>
  <c r="U661" i="4"/>
  <c r="U662" i="4"/>
  <c r="U663" i="4"/>
  <c r="U753" i="4"/>
  <c r="U754" i="4"/>
  <c r="U755" i="4"/>
  <c r="U756" i="4"/>
  <c r="U757" i="4"/>
  <c r="U758" i="4"/>
  <c r="U759" i="4"/>
  <c r="U760" i="4"/>
  <c r="U761" i="4"/>
  <c r="U762" i="4"/>
  <c r="U763" i="4"/>
  <c r="U764" i="4"/>
  <c r="U765" i="4"/>
  <c r="U766" i="4"/>
  <c r="U767" i="4"/>
  <c r="U768" i="4"/>
  <c r="U769" i="4"/>
  <c r="U770" i="4"/>
  <c r="U771" i="4"/>
  <c r="U772" i="4"/>
  <c r="U773" i="4"/>
  <c r="U774" i="4"/>
  <c r="U566" i="4"/>
  <c r="U775" i="4"/>
  <c r="U127" i="4"/>
  <c r="U778" i="4"/>
  <c r="U128" i="4"/>
  <c r="U779" i="4"/>
  <c r="U129" i="4"/>
  <c r="U780" i="4"/>
  <c r="U130" i="4"/>
  <c r="U781" i="4"/>
  <c r="U131" i="4"/>
  <c r="U782" i="4"/>
  <c r="U132" i="4"/>
  <c r="U783" i="4"/>
  <c r="U133" i="4"/>
  <c r="U784" i="4"/>
  <c r="U134" i="4"/>
  <c r="U785" i="4"/>
  <c r="U135" i="4"/>
  <c r="U786" i="4"/>
  <c r="U136" i="4"/>
  <c r="U787" i="4"/>
  <c r="U137" i="4"/>
  <c r="U788" i="4"/>
  <c r="U138" i="4"/>
  <c r="U789" i="4"/>
  <c r="U139" i="4"/>
  <c r="U790" i="4"/>
  <c r="U140" i="4"/>
  <c r="U791" i="4"/>
  <c r="U530" i="4"/>
  <c r="U531" i="4"/>
  <c r="U532" i="4"/>
  <c r="U533" i="4"/>
  <c r="U534" i="4"/>
  <c r="U535" i="4"/>
  <c r="U536" i="4"/>
  <c r="U537" i="4"/>
  <c r="U538" i="4"/>
  <c r="U539" i="4"/>
  <c r="U540" i="4"/>
  <c r="U541" i="4"/>
  <c r="U542" i="4"/>
  <c r="U543" i="4"/>
  <c r="U544" i="4"/>
  <c r="U421" i="4"/>
  <c r="U422" i="4"/>
  <c r="U423" i="4"/>
  <c r="U424" i="4"/>
  <c r="U425" i="4"/>
  <c r="U426" i="4"/>
  <c r="U427" i="4"/>
  <c r="U428" i="4"/>
  <c r="U430" i="4"/>
  <c r="U431" i="4"/>
  <c r="U432" i="4"/>
  <c r="U434" i="4"/>
  <c r="U435" i="4"/>
  <c r="U436" i="4"/>
  <c r="U437" i="4"/>
  <c r="U438" i="4"/>
  <c r="U439" i="4"/>
  <c r="U440" i="4"/>
  <c r="U441" i="4"/>
  <c r="U442" i="4"/>
  <c r="U443" i="4"/>
  <c r="U444" i="4"/>
  <c r="U445" i="4"/>
  <c r="U446" i="4"/>
  <c r="U447" i="4"/>
  <c r="U448" i="4"/>
  <c r="U449" i="4"/>
  <c r="U450" i="4"/>
  <c r="U451" i="4"/>
  <c r="U452" i="4"/>
  <c r="U453" i="4"/>
  <c r="U454" i="4"/>
  <c r="U455" i="4"/>
  <c r="U456" i="4"/>
  <c r="U457" i="4"/>
  <c r="U458" i="4"/>
  <c r="U459" i="4"/>
  <c r="U460" i="4"/>
  <c r="U461" i="4"/>
  <c r="U462" i="4"/>
  <c r="U463" i="4"/>
  <c r="U464" i="4"/>
  <c r="U465" i="4"/>
  <c r="U466" i="4"/>
  <c r="U467" i="4"/>
  <c r="U468" i="4"/>
  <c r="U469" i="4"/>
  <c r="U470" i="4"/>
  <c r="U471" i="4"/>
  <c r="U472" i="4"/>
  <c r="U473" i="4"/>
  <c r="U474" i="4"/>
  <c r="U475" i="4"/>
  <c r="U476" i="4"/>
  <c r="U477" i="4"/>
  <c r="U478" i="4"/>
  <c r="U479" i="4"/>
  <c r="U480" i="4"/>
  <c r="U481" i="4"/>
  <c r="U482" i="4"/>
  <c r="U483" i="4"/>
  <c r="U484" i="4"/>
  <c r="U485" i="4"/>
  <c r="U486" i="4"/>
  <c r="U487" i="4"/>
  <c r="U488" i="4"/>
  <c r="U489" i="4"/>
  <c r="U490" i="4"/>
  <c r="U491" i="4"/>
  <c r="U492" i="4"/>
  <c r="U493" i="4"/>
  <c r="U494" i="4"/>
  <c r="U495" i="4"/>
  <c r="U496" i="4"/>
  <c r="U497" i="4"/>
  <c r="U498" i="4"/>
  <c r="U499" i="4"/>
  <c r="U500" i="4"/>
  <c r="U501" i="4"/>
  <c r="U502" i="4"/>
  <c r="U503" i="4"/>
  <c r="U504" i="4"/>
  <c r="U505" i="4"/>
  <c r="U506" i="4"/>
  <c r="U507" i="4"/>
  <c r="U508" i="4"/>
  <c r="U429" i="4"/>
  <c r="U624" i="4"/>
  <c r="U545" i="4"/>
  <c r="U546" i="4"/>
  <c r="U547" i="4"/>
  <c r="U548" i="4"/>
  <c r="U549" i="4"/>
  <c r="U550" i="4"/>
  <c r="U551" i="4"/>
  <c r="U552" i="4"/>
  <c r="U553" i="4"/>
  <c r="U554" i="4"/>
  <c r="U555" i="4"/>
  <c r="U556" i="4"/>
  <c r="U223" i="4"/>
  <c r="U224" i="4"/>
  <c r="U232" i="4"/>
  <c r="U229" i="4"/>
  <c r="U230" i="4"/>
  <c r="U231" i="4"/>
  <c r="U104" i="4"/>
  <c r="U665" i="4"/>
  <c r="U105" i="4"/>
  <c r="U666" i="4"/>
  <c r="U106" i="4"/>
  <c r="U667" i="4"/>
  <c r="U107" i="4"/>
  <c r="U668" i="4"/>
  <c r="U108" i="4"/>
  <c r="U669" i="4"/>
  <c r="U109" i="4"/>
  <c r="U670" i="4"/>
  <c r="U42" i="4"/>
  <c r="U671" i="4"/>
  <c r="U43" i="4"/>
  <c r="U672" i="4"/>
  <c r="U111" i="4"/>
  <c r="U673" i="4"/>
  <c r="U112" i="4"/>
  <c r="U674" i="4"/>
  <c r="U113" i="4"/>
  <c r="U675" i="4"/>
  <c r="U39" i="4"/>
  <c r="U676" i="4"/>
  <c r="U40" i="4"/>
  <c r="U677" i="4"/>
  <c r="U114" i="4"/>
  <c r="U678" i="4"/>
  <c r="U115" i="4"/>
  <c r="U679" i="4"/>
  <c r="U44" i="4"/>
  <c r="U680" i="4"/>
  <c r="U116" i="4"/>
  <c r="U681" i="4"/>
  <c r="U102" i="4"/>
  <c r="U682" i="4"/>
  <c r="U103" i="4"/>
  <c r="U683" i="4"/>
  <c r="U41" i="4"/>
  <c r="U684" i="4"/>
  <c r="U71" i="4"/>
  <c r="U685" i="4"/>
  <c r="U72" i="4"/>
  <c r="U686" i="4"/>
  <c r="U73" i="4"/>
  <c r="U687" i="4"/>
  <c r="U74" i="4"/>
  <c r="U688" i="4"/>
  <c r="U75" i="4"/>
  <c r="U689" i="4"/>
  <c r="U76" i="4"/>
  <c r="U690" i="4"/>
  <c r="U38" i="4"/>
  <c r="U691" i="4"/>
  <c r="U77" i="4"/>
  <c r="U692" i="4"/>
  <c r="U78" i="4"/>
  <c r="U693" i="4"/>
  <c r="U79" i="4"/>
  <c r="U694" i="4"/>
  <c r="U63" i="4"/>
  <c r="U695" i="4"/>
  <c r="U80" i="4"/>
  <c r="U696" i="4"/>
  <c r="U98" i="4"/>
  <c r="U697" i="4"/>
  <c r="U81" i="4"/>
  <c r="U698" i="4"/>
  <c r="U82" i="4"/>
  <c r="U699" i="4"/>
  <c r="U64" i="4"/>
  <c r="U700" i="4"/>
  <c r="U99" i="4"/>
  <c r="U701" i="4"/>
  <c r="U83" i="4"/>
  <c r="U702" i="4"/>
  <c r="U84" i="4"/>
  <c r="U703" i="4"/>
  <c r="U85" i="4"/>
  <c r="U704" i="4"/>
  <c r="U86" i="4"/>
  <c r="U705" i="4"/>
  <c r="U87" i="4"/>
  <c r="U706" i="4"/>
  <c r="U88" i="4"/>
  <c r="U707" i="4"/>
  <c r="U89" i="4"/>
  <c r="U708" i="4"/>
  <c r="U65" i="4"/>
  <c r="U709" i="4"/>
  <c r="U100" i="4"/>
  <c r="U710" i="4"/>
  <c r="U101" i="4"/>
  <c r="U711" i="4"/>
  <c r="U90" i="4"/>
  <c r="U712" i="4"/>
  <c r="U91" i="4"/>
  <c r="U713" i="4"/>
  <c r="U92" i="4"/>
  <c r="U714" i="4"/>
  <c r="U93" i="4"/>
  <c r="U715" i="4"/>
  <c r="U94" i="4"/>
  <c r="U716" i="4"/>
  <c r="U95" i="4"/>
  <c r="U717" i="4"/>
  <c r="U66" i="4"/>
  <c r="U718" i="4"/>
  <c r="U96" i="4"/>
  <c r="U719" i="4"/>
  <c r="U97" i="4"/>
  <c r="U720" i="4"/>
  <c r="U45" i="4"/>
  <c r="U721" i="4"/>
  <c r="U36" i="4"/>
  <c r="U722" i="4"/>
  <c r="U67" i="4"/>
  <c r="U723" i="4"/>
  <c r="U46" i="4"/>
  <c r="U724" i="4"/>
  <c r="U47" i="4"/>
  <c r="U725" i="4"/>
  <c r="U48" i="4"/>
  <c r="U726" i="4"/>
  <c r="U49" i="4"/>
  <c r="U727" i="4"/>
  <c r="U50" i="4"/>
  <c r="U728" i="4"/>
  <c r="U68" i="4"/>
  <c r="U729" i="4"/>
  <c r="U69" i="4"/>
  <c r="U730" i="4"/>
  <c r="U70" i="4"/>
  <c r="U731" i="4"/>
  <c r="U37" i="4"/>
  <c r="U732" i="4"/>
  <c r="U51" i="4"/>
  <c r="U733" i="4"/>
  <c r="U52" i="4"/>
  <c r="U734" i="4"/>
  <c r="U53" i="4"/>
  <c r="U735" i="4"/>
  <c r="U54" i="4"/>
  <c r="U736" i="4"/>
  <c r="U55" i="4"/>
  <c r="U737" i="4"/>
  <c r="U56" i="4"/>
  <c r="U738" i="4"/>
  <c r="U57" i="4"/>
  <c r="U739" i="4"/>
  <c r="U58" i="4"/>
  <c r="U740" i="4"/>
  <c r="U59" i="4"/>
  <c r="U741" i="4"/>
  <c r="U60" i="4"/>
  <c r="U742" i="4"/>
  <c r="U61" i="4"/>
  <c r="U743" i="4"/>
  <c r="U62" i="4"/>
  <c r="U744" i="4"/>
  <c r="U110" i="4"/>
  <c r="U745" i="4"/>
  <c r="U565" i="4"/>
  <c r="U746" i="4"/>
  <c r="U117" i="4"/>
  <c r="U747" i="4"/>
  <c r="U118" i="4"/>
  <c r="U748" i="4"/>
  <c r="U119" i="4"/>
  <c r="U749" i="4"/>
  <c r="U120" i="4"/>
  <c r="U750" i="4"/>
  <c r="U121" i="4"/>
  <c r="U751" i="4"/>
  <c r="U122" i="4"/>
  <c r="U752" i="4"/>
  <c r="U509" i="4"/>
  <c r="U233" i="4"/>
  <c r="U226" i="4"/>
  <c r="U225" i="4"/>
  <c r="U234" i="4"/>
  <c r="U125" i="4"/>
  <c r="U776" i="4"/>
  <c r="U126" i="4"/>
  <c r="U777" i="4"/>
  <c r="U510" i="4"/>
  <c r="U511" i="4"/>
  <c r="U512" i="4"/>
  <c r="U909" i="4"/>
  <c r="U910" i="4"/>
  <c r="U911" i="4"/>
  <c r="U912" i="4"/>
  <c r="U913" i="4"/>
  <c r="U228" i="4"/>
  <c r="U903" i="4"/>
  <c r="U172" i="4"/>
  <c r="U821" i="4"/>
  <c r="U173" i="4"/>
  <c r="U822" i="4"/>
  <c r="U174" i="4"/>
  <c r="U823" i="4"/>
  <c r="U175" i="4"/>
  <c r="U824" i="4"/>
  <c r="U176" i="4"/>
  <c r="U825" i="4"/>
  <c r="U826" i="4"/>
  <c r="U827" i="4"/>
  <c r="U828" i="4"/>
  <c r="U177" i="4"/>
  <c r="U829" i="4"/>
  <c r="U178" i="4"/>
  <c r="U830" i="4"/>
  <c r="U831" i="4"/>
  <c r="U832" i="4"/>
  <c r="U833" i="4"/>
  <c r="U834" i="4"/>
  <c r="U835" i="4"/>
  <c r="U836" i="4"/>
  <c r="U837" i="4"/>
  <c r="U181" i="4"/>
  <c r="U838" i="4"/>
  <c r="U182" i="4"/>
  <c r="U839" i="4"/>
  <c r="U183" i="4"/>
  <c r="U840" i="4"/>
  <c r="U184" i="4"/>
  <c r="U841" i="4"/>
  <c r="U185" i="4"/>
  <c r="U842" i="4"/>
  <c r="U186" i="4"/>
  <c r="U843" i="4"/>
  <c r="U187" i="4"/>
  <c r="U844" i="4"/>
  <c r="U188" i="4"/>
  <c r="U845" i="4"/>
  <c r="U189" i="4"/>
  <c r="U846" i="4"/>
  <c r="U190" i="4"/>
  <c r="U847" i="4"/>
  <c r="U191" i="4"/>
  <c r="U848" i="4"/>
  <c r="U192" i="4"/>
  <c r="U849" i="4"/>
  <c r="U193" i="4"/>
  <c r="U850" i="4"/>
  <c r="U194" i="4"/>
  <c r="U851" i="4"/>
  <c r="U195" i="4"/>
  <c r="U852" i="4"/>
  <c r="U196" i="4"/>
  <c r="U853" i="4"/>
  <c r="U197" i="4"/>
  <c r="U854" i="4"/>
  <c r="U198" i="4"/>
  <c r="U855" i="4"/>
  <c r="U199" i="4"/>
  <c r="U856" i="4"/>
  <c r="U227" i="4"/>
  <c r="U141" i="4"/>
  <c r="U200" i="4"/>
  <c r="U857" i="4"/>
  <c r="U201" i="4"/>
  <c r="U858" i="4"/>
  <c r="U202" i="4"/>
  <c r="U859" i="4"/>
  <c r="U203" i="4"/>
  <c r="U860" i="4"/>
  <c r="U204" i="4"/>
  <c r="U861" i="4"/>
  <c r="U205" i="4"/>
  <c r="U862" i="4"/>
  <c r="U206" i="4"/>
  <c r="U863" i="4"/>
  <c r="U864" i="4"/>
  <c r="U865" i="4"/>
  <c r="U866" i="4"/>
  <c r="U867" i="4"/>
  <c r="U868" i="4"/>
  <c r="U235" i="4"/>
  <c r="U397" i="4"/>
  <c r="U364" i="4"/>
  <c r="U348" i="4"/>
  <c r="U380" i="4"/>
  <c r="U869" i="4"/>
  <c r="U398" i="4"/>
  <c r="U365" i="4"/>
  <c r="U349" i="4"/>
  <c r="U381" i="4"/>
  <c r="U870" i="4"/>
  <c r="U871" i="4"/>
  <c r="U872" i="4"/>
  <c r="U399" i="4"/>
  <c r="U366" i="4"/>
  <c r="U350" i="4"/>
  <c r="U382" i="4"/>
  <c r="U873" i="4"/>
  <c r="U400" i="4"/>
  <c r="U367" i="4"/>
  <c r="U351" i="4"/>
  <c r="U383" i="4"/>
  <c r="U874" i="4"/>
  <c r="U875" i="4"/>
  <c r="U876" i="4"/>
  <c r="U877" i="4"/>
  <c r="U401" i="4"/>
  <c r="U368" i="4"/>
  <c r="U352" i="4"/>
  <c r="U384" i="4"/>
  <c r="U878" i="4"/>
  <c r="U402" i="4"/>
  <c r="U369" i="4"/>
  <c r="U353" i="4"/>
  <c r="U385" i="4"/>
  <c r="U879" i="4"/>
  <c r="U403" i="4"/>
  <c r="U370" i="4"/>
  <c r="U354" i="4"/>
  <c r="U386" i="4"/>
  <c r="U880" i="4"/>
  <c r="U881" i="4"/>
  <c r="U882" i="4"/>
  <c r="U236" i="4"/>
  <c r="U904" i="4"/>
  <c r="U883" i="4"/>
  <c r="U884" i="4"/>
  <c r="U404" i="4"/>
  <c r="U371" i="4"/>
  <c r="U355" i="4"/>
  <c r="U387" i="4"/>
  <c r="U885" i="4"/>
  <c r="U589" i="4"/>
  <c r="U886" i="4"/>
  <c r="U590" i="4"/>
  <c r="U887" i="4"/>
  <c r="U591" i="4"/>
  <c r="U888" i="4"/>
  <c r="U221" i="4"/>
  <c r="U889" i="4"/>
  <c r="U222" i="4"/>
  <c r="U890" i="4"/>
  <c r="T142" i="4"/>
  <c r="T792" i="4"/>
  <c r="T143" i="4"/>
  <c r="W143" i="4" s="1"/>
  <c r="T793" i="4"/>
  <c r="T794" i="4"/>
  <c r="T795" i="4"/>
  <c r="T796" i="4"/>
  <c r="T797" i="4"/>
  <c r="T798" i="4"/>
  <c r="T799" i="4"/>
  <c r="T800" i="4"/>
  <c r="T801" i="4"/>
  <c r="T802" i="4"/>
  <c r="T803" i="4"/>
  <c r="T804" i="4"/>
  <c r="T805" i="4"/>
  <c r="T806" i="4"/>
  <c r="T807" i="4"/>
  <c r="T808" i="4"/>
  <c r="T809" i="4"/>
  <c r="T810" i="4"/>
  <c r="T811" i="4"/>
  <c r="T812" i="4"/>
  <c r="T389" i="4"/>
  <c r="T356" i="4"/>
  <c r="T340" i="4"/>
  <c r="T372" i="4"/>
  <c r="T813" i="4"/>
  <c r="T390" i="4"/>
  <c r="T357" i="4"/>
  <c r="T341" i="4"/>
  <c r="T373" i="4"/>
  <c r="T814" i="4"/>
  <c r="T391" i="4"/>
  <c r="T358" i="4"/>
  <c r="T342" i="4"/>
  <c r="T374" i="4"/>
  <c r="T815" i="4"/>
  <c r="T392" i="4"/>
  <c r="T359" i="4"/>
  <c r="T343" i="4"/>
  <c r="T375" i="4"/>
  <c r="T816" i="4"/>
  <c r="T393" i="4"/>
  <c r="T360" i="4"/>
  <c r="T344" i="4"/>
  <c r="T376" i="4"/>
  <c r="T817" i="4"/>
  <c r="T394" i="4"/>
  <c r="T361" i="4"/>
  <c r="T345" i="4"/>
  <c r="T377" i="4"/>
  <c r="T818" i="4"/>
  <c r="T395" i="4"/>
  <c r="T362" i="4"/>
  <c r="T346" i="4"/>
  <c r="T378" i="4"/>
  <c r="T819" i="4"/>
  <c r="T396" i="4"/>
  <c r="T363" i="4"/>
  <c r="T347" i="4"/>
  <c r="T379" i="4"/>
  <c r="T820" i="4"/>
  <c r="T529" i="4"/>
  <c r="T237" i="4"/>
  <c r="T238" i="4"/>
  <c r="T558" i="4"/>
  <c r="T625" i="4"/>
  <c r="T632" i="4"/>
  <c r="T559" i="4"/>
  <c r="T626" i="4"/>
  <c r="T560" i="4"/>
  <c r="T627" i="4"/>
  <c r="T13" i="4"/>
  <c r="T561" i="4"/>
  <c r="T628" i="4"/>
  <c r="T562" i="4"/>
  <c r="T629" i="4"/>
  <c r="T14" i="4"/>
  <c r="T15" i="4"/>
  <c r="T563" i="4"/>
  <c r="T630" i="4"/>
  <c r="T564" i="4"/>
  <c r="T631" i="4"/>
  <c r="T16" i="4"/>
  <c r="T17" i="4"/>
  <c r="T642" i="4"/>
  <c r="T18" i="4"/>
  <c r="T643" i="4"/>
  <c r="T19" i="4"/>
  <c r="T644" i="4"/>
  <c r="T20" i="4"/>
  <c r="T645" i="4"/>
  <c r="T21" i="4"/>
  <c r="T646" i="4"/>
  <c r="T22" i="4"/>
  <c r="T647" i="4"/>
  <c r="T23" i="4"/>
  <c r="T648" i="4"/>
  <c r="T24" i="4"/>
  <c r="T649" i="4"/>
  <c r="T25" i="4"/>
  <c r="T650" i="4"/>
  <c r="T26" i="4"/>
  <c r="T651" i="4"/>
  <c r="T27" i="4"/>
  <c r="T652" i="4"/>
  <c r="T29" i="4"/>
  <c r="T653" i="4"/>
  <c r="T30" i="4"/>
  <c r="T654" i="4"/>
  <c r="T31" i="4"/>
  <c r="T655" i="4"/>
  <c r="T32" i="4"/>
  <c r="T656" i="4"/>
  <c r="T33" i="4"/>
  <c r="T657" i="4"/>
  <c r="T659" i="4"/>
  <c r="T660" i="4"/>
  <c r="T661" i="4"/>
  <c r="T662" i="4"/>
  <c r="T663" i="4"/>
  <c r="T602" i="4"/>
  <c r="T566" i="4"/>
  <c r="T775" i="4"/>
  <c r="T127" i="4"/>
  <c r="T778" i="4"/>
  <c r="T779" i="4"/>
  <c r="T780" i="4"/>
  <c r="T781" i="4"/>
  <c r="T131" i="4"/>
  <c r="T782" i="4"/>
  <c r="T132" i="4"/>
  <c r="T783" i="4"/>
  <c r="T133" i="4"/>
  <c r="T784" i="4"/>
  <c r="T134" i="4"/>
  <c r="T785" i="4"/>
  <c r="T135" i="4"/>
  <c r="T786" i="4"/>
  <c r="T136" i="4"/>
  <c r="T787" i="4"/>
  <c r="T137" i="4"/>
  <c r="T788" i="4"/>
  <c r="T138" i="4"/>
  <c r="T789" i="4"/>
  <c r="T139" i="4"/>
  <c r="T790" i="4"/>
  <c r="T140" i="4"/>
  <c r="T791" i="4"/>
  <c r="T530" i="4"/>
  <c r="T531" i="4"/>
  <c r="T532" i="4"/>
  <c r="T533" i="4"/>
  <c r="T534" i="4"/>
  <c r="T535" i="4"/>
  <c r="T536" i="4"/>
  <c r="T537" i="4"/>
  <c r="T538" i="4"/>
  <c r="T539" i="4"/>
  <c r="T540" i="4"/>
  <c r="T541" i="4"/>
  <c r="T542" i="4"/>
  <c r="T543" i="4"/>
  <c r="T544" i="4"/>
  <c r="T421" i="4"/>
  <c r="T422" i="4"/>
  <c r="T423" i="4"/>
  <c r="T424" i="4"/>
  <c r="T425" i="4"/>
  <c r="T426" i="4"/>
  <c r="T427" i="4"/>
  <c r="T428" i="4"/>
  <c r="T430" i="4"/>
  <c r="T431" i="4"/>
  <c r="T432" i="4"/>
  <c r="T434" i="4"/>
  <c r="T435" i="4"/>
  <c r="T436" i="4"/>
  <c r="T437" i="4"/>
  <c r="T438" i="4"/>
  <c r="T439" i="4"/>
  <c r="T440" i="4"/>
  <c r="T441" i="4"/>
  <c r="T442" i="4"/>
  <c r="T443" i="4"/>
  <c r="T444" i="4"/>
  <c r="T445" i="4"/>
  <c r="T446" i="4"/>
  <c r="T447" i="4"/>
  <c r="T448" i="4"/>
  <c r="T449" i="4"/>
  <c r="T450" i="4"/>
  <c r="T451" i="4"/>
  <c r="T452" i="4"/>
  <c r="T453" i="4"/>
  <c r="T454" i="4"/>
  <c r="T455" i="4"/>
  <c r="T456" i="4"/>
  <c r="T457" i="4"/>
  <c r="T458" i="4"/>
  <c r="T459" i="4"/>
  <c r="T460" i="4"/>
  <c r="T461" i="4"/>
  <c r="T462" i="4"/>
  <c r="T463" i="4"/>
  <c r="T464" i="4"/>
  <c r="T465" i="4"/>
  <c r="T466" i="4"/>
  <c r="T467" i="4"/>
  <c r="T468" i="4"/>
  <c r="T469" i="4"/>
  <c r="T470" i="4"/>
  <c r="T471" i="4"/>
  <c r="T472" i="4"/>
  <c r="T473" i="4"/>
  <c r="T474" i="4"/>
  <c r="T475" i="4"/>
  <c r="T476" i="4"/>
  <c r="T477" i="4"/>
  <c r="T478" i="4"/>
  <c r="T479" i="4"/>
  <c r="T480" i="4"/>
  <c r="T481" i="4"/>
  <c r="T482" i="4"/>
  <c r="T483" i="4"/>
  <c r="T484" i="4"/>
  <c r="T485" i="4"/>
  <c r="T486" i="4"/>
  <c r="T487" i="4"/>
  <c r="T488" i="4"/>
  <c r="T489" i="4"/>
  <c r="T490" i="4"/>
  <c r="T491" i="4"/>
  <c r="T492" i="4"/>
  <c r="T493" i="4"/>
  <c r="T494" i="4"/>
  <c r="T495" i="4"/>
  <c r="T496" i="4"/>
  <c r="T497" i="4"/>
  <c r="T498" i="4"/>
  <c r="T499" i="4"/>
  <c r="T500" i="4"/>
  <c r="T501" i="4"/>
  <c r="T502" i="4"/>
  <c r="T503" i="4"/>
  <c r="T504" i="4"/>
  <c r="T505" i="4"/>
  <c r="T506" i="4"/>
  <c r="T507" i="4"/>
  <c r="T508" i="4"/>
  <c r="T429" i="4"/>
  <c r="T433" i="4"/>
  <c r="T624" i="4"/>
  <c r="T545" i="4"/>
  <c r="T546" i="4"/>
  <c r="T547" i="4"/>
  <c r="T548" i="4"/>
  <c r="T549" i="4"/>
  <c r="T550" i="4"/>
  <c r="T551" i="4"/>
  <c r="T552" i="4"/>
  <c r="T553" i="4"/>
  <c r="T554" i="4"/>
  <c r="T555" i="4"/>
  <c r="T556" i="4"/>
  <c r="T239" i="4"/>
  <c r="T898" i="4"/>
  <c r="T899" i="4"/>
  <c r="T897" i="4"/>
  <c r="T35" i="4"/>
  <c r="T104" i="4"/>
  <c r="T105" i="4"/>
  <c r="T106" i="4"/>
  <c r="T107" i="4"/>
  <c r="T108" i="4"/>
  <c r="T109" i="4"/>
  <c r="T111" i="4"/>
  <c r="T112" i="4"/>
  <c r="T113" i="4"/>
  <c r="T114" i="4"/>
  <c r="T115" i="4"/>
  <c r="T116" i="4"/>
  <c r="T102" i="4"/>
  <c r="T103" i="4"/>
  <c r="T77" i="4"/>
  <c r="T78" i="4"/>
  <c r="T79" i="4"/>
  <c r="T80" i="4"/>
  <c r="T98" i="4"/>
  <c r="T81" i="4"/>
  <c r="T82" i="4"/>
  <c r="T700" i="4"/>
  <c r="T99" i="4"/>
  <c r="T701" i="4"/>
  <c r="T83" i="4"/>
  <c r="T702" i="4"/>
  <c r="T84" i="4"/>
  <c r="T703" i="4"/>
  <c r="T85" i="4"/>
  <c r="T704" i="4"/>
  <c r="T86" i="4"/>
  <c r="T705" i="4"/>
  <c r="T87" i="4"/>
  <c r="T706" i="4"/>
  <c r="T88" i="4"/>
  <c r="T707" i="4"/>
  <c r="T89" i="4"/>
  <c r="T708" i="4"/>
  <c r="T709" i="4"/>
  <c r="T100" i="4"/>
  <c r="T710" i="4"/>
  <c r="T101" i="4"/>
  <c r="T711" i="4"/>
  <c r="T90" i="4"/>
  <c r="T712" i="4"/>
  <c r="T91" i="4"/>
  <c r="T713" i="4"/>
  <c r="T92" i="4"/>
  <c r="T714" i="4"/>
  <c r="T93" i="4"/>
  <c r="T715" i="4"/>
  <c r="T94" i="4"/>
  <c r="T716" i="4"/>
  <c r="T95" i="4"/>
  <c r="T717" i="4"/>
  <c r="T718" i="4"/>
  <c r="T96" i="4"/>
  <c r="T719" i="4"/>
  <c r="T97" i="4"/>
  <c r="T720" i="4"/>
  <c r="T721" i="4"/>
  <c r="T722" i="4"/>
  <c r="T723" i="4"/>
  <c r="T724" i="4"/>
  <c r="T725" i="4"/>
  <c r="T726" i="4"/>
  <c r="T727" i="4"/>
  <c r="T728" i="4"/>
  <c r="T729" i="4"/>
  <c r="T730" i="4"/>
  <c r="T731" i="4"/>
  <c r="T732" i="4"/>
  <c r="T733" i="4"/>
  <c r="T734" i="4"/>
  <c r="T735" i="4"/>
  <c r="T736" i="4"/>
  <c r="T737" i="4"/>
  <c r="T738" i="4"/>
  <c r="T739" i="4"/>
  <c r="T740" i="4"/>
  <c r="T741" i="4"/>
  <c r="T742" i="4"/>
  <c r="T743" i="4"/>
  <c r="T744" i="4"/>
  <c r="T745" i="4"/>
  <c r="T565" i="4"/>
  <c r="T746" i="4"/>
  <c r="T117" i="4"/>
  <c r="T747" i="4"/>
  <c r="T118" i="4"/>
  <c r="T748" i="4"/>
  <c r="T119" i="4"/>
  <c r="T749" i="4"/>
  <c r="T120" i="4"/>
  <c r="T750" i="4"/>
  <c r="T121" i="4"/>
  <c r="T751" i="4"/>
  <c r="T122" i="4"/>
  <c r="T752" i="4"/>
  <c r="T901" i="4"/>
  <c r="T509" i="4"/>
  <c r="T902" i="4"/>
  <c r="T125" i="4"/>
  <c r="T776" i="4"/>
  <c r="T126" i="4"/>
  <c r="T777" i="4"/>
  <c r="T510" i="4"/>
  <c r="T511" i="4"/>
  <c r="T512" i="4"/>
  <c r="T911" i="4"/>
  <c r="T912" i="4"/>
  <c r="T913" i="4"/>
  <c r="T903" i="4"/>
  <c r="T821" i="4"/>
  <c r="T822" i="4"/>
  <c r="T823" i="4"/>
  <c r="T824" i="4"/>
  <c r="T825" i="4"/>
  <c r="T144" i="4"/>
  <c r="W144" i="4" s="1"/>
  <c r="T826" i="4"/>
  <c r="T145" i="4"/>
  <c r="T827" i="4"/>
  <c r="T146" i="4"/>
  <c r="T828" i="4"/>
  <c r="T829" i="4"/>
  <c r="T830" i="4"/>
  <c r="T147" i="4"/>
  <c r="T831" i="4"/>
  <c r="T148" i="4"/>
  <c r="T832" i="4"/>
  <c r="T149" i="4"/>
  <c r="T833" i="4"/>
  <c r="T150" i="4"/>
  <c r="T834" i="4"/>
  <c r="T151" i="4"/>
  <c r="T835" i="4"/>
  <c r="T567" i="4"/>
  <c r="T836" i="4"/>
  <c r="T568" i="4"/>
  <c r="T837" i="4"/>
  <c r="T838" i="4"/>
  <c r="T839" i="4"/>
  <c r="T840" i="4"/>
  <c r="T841" i="4"/>
  <c r="T842" i="4"/>
  <c r="T843" i="4"/>
  <c r="T844" i="4"/>
  <c r="T845" i="4"/>
  <c r="T846" i="4"/>
  <c r="T847" i="4"/>
  <c r="T848" i="4"/>
  <c r="T849" i="4"/>
  <c r="T850" i="4"/>
  <c r="T851" i="4"/>
  <c r="T852" i="4"/>
  <c r="T853" i="4"/>
  <c r="T854" i="4"/>
  <c r="T855" i="4"/>
  <c r="T856" i="4"/>
  <c r="T857" i="4"/>
  <c r="T858" i="4"/>
  <c r="T859" i="4"/>
  <c r="T860" i="4"/>
  <c r="T861" i="4"/>
  <c r="T862" i="4"/>
  <c r="T863" i="4"/>
  <c r="T572" i="4"/>
  <c r="T864" i="4"/>
  <c r="T573" i="4"/>
  <c r="T865" i="4"/>
  <c r="T574" i="4"/>
  <c r="T866" i="4"/>
  <c r="T575" i="4"/>
  <c r="T867" i="4"/>
  <c r="T579" i="4"/>
  <c r="T868" i="4"/>
  <c r="T397" i="4"/>
  <c r="T364" i="4"/>
  <c r="T348" i="4"/>
  <c r="T380" i="4"/>
  <c r="T869" i="4"/>
  <c r="T398" i="4"/>
  <c r="T365" i="4"/>
  <c r="T349" i="4"/>
  <c r="T381" i="4"/>
  <c r="T870" i="4"/>
  <c r="T580" i="4"/>
  <c r="T871" i="4"/>
  <c r="T581" i="4"/>
  <c r="T872" i="4"/>
  <c r="T399" i="4"/>
  <c r="T366" i="4"/>
  <c r="T350" i="4"/>
  <c r="T382" i="4"/>
  <c r="T873" i="4"/>
  <c r="T400" i="4"/>
  <c r="T367" i="4"/>
  <c r="T351" i="4"/>
  <c r="T383" i="4"/>
  <c r="T874" i="4"/>
  <c r="T582" i="4"/>
  <c r="T875" i="4"/>
  <c r="T583" i="4"/>
  <c r="T876" i="4"/>
  <c r="T584" i="4"/>
  <c r="T877" i="4"/>
  <c r="T401" i="4"/>
  <c r="T368" i="4"/>
  <c r="T352" i="4"/>
  <c r="T384" i="4"/>
  <c r="T878" i="4"/>
  <c r="T402" i="4"/>
  <c r="T369" i="4"/>
  <c r="T353" i="4"/>
  <c r="T385" i="4"/>
  <c r="T879" i="4"/>
  <c r="T403" i="4"/>
  <c r="T370" i="4"/>
  <c r="T354" i="4"/>
  <c r="T386" i="4"/>
  <c r="T880" i="4"/>
  <c r="T585" i="4"/>
  <c r="T881" i="4"/>
  <c r="T586" i="4"/>
  <c r="T882" i="4"/>
  <c r="T904" i="4"/>
  <c r="T587" i="4"/>
  <c r="T883" i="4"/>
  <c r="T588" i="4"/>
  <c r="T884" i="4"/>
  <c r="T404" i="4"/>
  <c r="T371" i="4"/>
  <c r="T355" i="4"/>
  <c r="T387" i="4"/>
  <c r="T885" i="4"/>
  <c r="T244" i="4"/>
  <c r="T589" i="4"/>
  <c r="T886" i="4"/>
  <c r="T590" i="4"/>
  <c r="T887" i="4"/>
  <c r="T591" i="4"/>
  <c r="T888" i="4"/>
  <c r="T221" i="4"/>
  <c r="T889" i="4"/>
  <c r="T222" i="4"/>
  <c r="T890" i="4"/>
  <c r="W141" i="4" l="1"/>
  <c r="W142" i="4"/>
  <c r="W792" i="4"/>
  <c r="W793" i="4"/>
  <c r="W153" i="4"/>
  <c r="W794" i="4"/>
  <c r="W154" i="4"/>
  <c r="W795" i="4"/>
  <c r="W155" i="4"/>
  <c r="W796" i="4"/>
  <c r="W156" i="4"/>
  <c r="W797" i="4"/>
  <c r="W157" i="4"/>
  <c r="W798" i="4"/>
  <c r="W158" i="4"/>
  <c r="W799" i="4"/>
  <c r="W159" i="4"/>
  <c r="W800" i="4"/>
  <c r="W160" i="4"/>
  <c r="W801" i="4"/>
  <c r="W161" i="4"/>
  <c r="W802" i="4"/>
  <c r="W162" i="4"/>
  <c r="W803" i="4"/>
  <c r="W163" i="4"/>
  <c r="W804" i="4"/>
  <c r="W164" i="4"/>
  <c r="W805" i="4"/>
  <c r="W165" i="4"/>
  <c r="W806" i="4"/>
  <c r="W166" i="4"/>
  <c r="W807" i="4"/>
  <c r="W167" i="4"/>
  <c r="W808" i="4"/>
  <c r="W168" i="4"/>
  <c r="W809" i="4"/>
  <c r="W169" i="4"/>
  <c r="W810" i="4"/>
  <c r="W170" i="4"/>
  <c r="W811" i="4"/>
  <c r="W171" i="4"/>
  <c r="W812" i="4"/>
  <c r="W513" i="4"/>
  <c r="W389" i="4"/>
  <c r="W356" i="4"/>
  <c r="W340" i="4"/>
  <c r="W372" i="4"/>
  <c r="W813" i="4"/>
  <c r="W514" i="4"/>
  <c r="W390" i="4"/>
  <c r="W357" i="4"/>
  <c r="W341" i="4"/>
  <c r="W373" i="4"/>
  <c r="W814" i="4"/>
  <c r="W515" i="4"/>
  <c r="W391" i="4"/>
  <c r="W358" i="4"/>
  <c r="W342" i="4"/>
  <c r="W374" i="4"/>
  <c r="W815" i="4"/>
  <c r="W516" i="4"/>
  <c r="W392" i="4"/>
  <c r="W359" i="4"/>
  <c r="W343" i="4"/>
  <c r="W375" i="4"/>
  <c r="W816" i="4"/>
  <c r="W517" i="4"/>
  <c r="W393" i="4"/>
  <c r="W360" i="4"/>
  <c r="W344" i="4"/>
  <c r="W376" i="4"/>
  <c r="W817" i="4"/>
  <c r="W518" i="4"/>
  <c r="W394" i="4"/>
  <c r="W361" i="4"/>
  <c r="W345" i="4"/>
  <c r="W377" i="4"/>
  <c r="W818" i="4"/>
  <c r="W519" i="4"/>
  <c r="W395" i="4"/>
  <c r="W362" i="4"/>
  <c r="W346" i="4"/>
  <c r="W378" i="4"/>
  <c r="W819" i="4"/>
  <c r="W520" i="4"/>
  <c r="W396" i="4"/>
  <c r="W363" i="4"/>
  <c r="W347" i="4"/>
  <c r="W379" i="4"/>
  <c r="W820" i="4"/>
  <c r="W529" i="4"/>
  <c r="W237" i="4"/>
  <c r="W238" i="4"/>
  <c r="W558" i="4"/>
  <c r="W625" i="4"/>
  <c r="W632" i="4"/>
  <c r="W559" i="4"/>
  <c r="W626" i="4"/>
  <c r="W560" i="4"/>
  <c r="W627" i="4"/>
  <c r="W13" i="4"/>
  <c r="W561" i="4"/>
  <c r="W628" i="4"/>
  <c r="W562" i="4"/>
  <c r="W629" i="4"/>
  <c r="W14" i="4"/>
  <c r="W15" i="4"/>
  <c r="W563" i="4"/>
  <c r="W630" i="4"/>
  <c r="W564" i="4"/>
  <c r="W631" i="4"/>
  <c r="W16" i="4"/>
  <c r="W17" i="4"/>
  <c r="W642" i="4"/>
  <c r="W18" i="4"/>
  <c r="W643" i="4"/>
  <c r="W19" i="4"/>
  <c r="W644" i="4"/>
  <c r="W20" i="4"/>
  <c r="W645" i="4"/>
  <c r="W21" i="4"/>
  <c r="W646" i="4"/>
  <c r="W22" i="4"/>
  <c r="W647" i="4"/>
  <c r="W23" i="4"/>
  <c r="W648" i="4"/>
  <c r="W24" i="4"/>
  <c r="W649" i="4"/>
  <c r="W25" i="4"/>
  <c r="W650" i="4"/>
  <c r="W26" i="4"/>
  <c r="W651" i="4"/>
  <c r="W27" i="4"/>
  <c r="W652" i="4"/>
  <c r="W29" i="4"/>
  <c r="W653" i="4"/>
  <c r="W30" i="4"/>
  <c r="W654" i="4"/>
  <c r="W31" i="4"/>
  <c r="W655" i="4"/>
  <c r="W32" i="4"/>
  <c r="W656" i="4"/>
  <c r="W33" i="4"/>
  <c r="W657" i="4"/>
  <c r="W597" i="4"/>
  <c r="W659" i="4"/>
  <c r="W598" i="4"/>
  <c r="W660" i="4"/>
  <c r="W599" i="4"/>
  <c r="W661" i="4"/>
  <c r="W600" i="4"/>
  <c r="W662" i="4"/>
  <c r="W601" i="4"/>
  <c r="W663" i="4"/>
  <c r="W602" i="4"/>
  <c r="W603" i="4"/>
  <c r="W604" i="4"/>
  <c r="W605" i="4"/>
  <c r="W606" i="4"/>
  <c r="W607" i="4"/>
  <c r="W608" i="4"/>
  <c r="W609" i="4"/>
  <c r="W610" i="4"/>
  <c r="W611" i="4"/>
  <c r="W612" i="4"/>
  <c r="W613" i="4"/>
  <c r="W614" i="4"/>
  <c r="W615" i="4"/>
  <c r="W616" i="4"/>
  <c r="W617" i="4"/>
  <c r="W618" i="4"/>
  <c r="W619" i="4"/>
  <c r="W620" i="4"/>
  <c r="W621" i="4"/>
  <c r="W622" i="4"/>
  <c r="W623" i="4"/>
  <c r="W775" i="4"/>
  <c r="W127" i="4"/>
  <c r="W778" i="4"/>
  <c r="W779" i="4"/>
  <c r="W780" i="4"/>
  <c r="W781" i="4"/>
  <c r="W131" i="4"/>
  <c r="W782" i="4"/>
  <c r="W132" i="4"/>
  <c r="W783" i="4"/>
  <c r="W133" i="4"/>
  <c r="W784" i="4"/>
  <c r="W134" i="4"/>
  <c r="W785" i="4"/>
  <c r="W135" i="4"/>
  <c r="W786" i="4"/>
  <c r="W136" i="4"/>
  <c r="W787" i="4"/>
  <c r="W137" i="4"/>
  <c r="W788" i="4"/>
  <c r="W789" i="4"/>
  <c r="W790" i="4"/>
  <c r="W140" i="4"/>
  <c r="W791" i="4"/>
  <c r="W530" i="4"/>
  <c r="W531" i="4"/>
  <c r="W532" i="4"/>
  <c r="W533" i="4"/>
  <c r="W534" i="4"/>
  <c r="W535" i="4"/>
  <c r="W536" i="4"/>
  <c r="W537" i="4"/>
  <c r="W538" i="4"/>
  <c r="W539" i="4"/>
  <c r="W540" i="4"/>
  <c r="W541" i="4"/>
  <c r="W542" i="4"/>
  <c r="W543" i="4"/>
  <c r="W544" i="4"/>
  <c r="W433" i="4"/>
  <c r="W624" i="4"/>
  <c r="W545" i="4"/>
  <c r="W546" i="4"/>
  <c r="W547" i="4"/>
  <c r="W548" i="4"/>
  <c r="W549" i="4"/>
  <c r="W550" i="4"/>
  <c r="W551" i="4"/>
  <c r="W552" i="4"/>
  <c r="W553" i="4"/>
  <c r="W554" i="4"/>
  <c r="W555" i="4"/>
  <c r="W556" i="4"/>
  <c r="W5" i="4"/>
  <c r="W6" i="4"/>
  <c r="W223" i="4"/>
  <c r="W224" i="4"/>
  <c r="W239" i="4"/>
  <c r="W898" i="4"/>
  <c r="W899" i="4"/>
  <c r="W232" i="4"/>
  <c r="W229" i="4"/>
  <c r="W897" i="4"/>
  <c r="W230" i="4"/>
  <c r="W231" i="4"/>
  <c r="W34" i="4"/>
  <c r="W35" i="4"/>
  <c r="W104" i="4"/>
  <c r="W105" i="4"/>
  <c r="W106" i="4"/>
  <c r="W107" i="4"/>
  <c r="W108" i="4"/>
  <c r="W109" i="4"/>
  <c r="W111" i="4"/>
  <c r="W112" i="4"/>
  <c r="W113" i="4"/>
  <c r="W114" i="4"/>
  <c r="W115" i="4"/>
  <c r="W915" i="4"/>
  <c r="W916" i="4"/>
  <c r="W917" i="4"/>
  <c r="W918" i="4"/>
  <c r="W919" i="4"/>
  <c r="W920" i="4"/>
  <c r="W116" i="4"/>
  <c r="W905" i="4"/>
  <c r="W102" i="4"/>
  <c r="W103" i="4"/>
  <c r="W77" i="4"/>
  <c r="W78" i="4"/>
  <c r="W79" i="4"/>
  <c r="W80" i="4"/>
  <c r="W98" i="4"/>
  <c r="W81" i="4"/>
  <c r="W82" i="4"/>
  <c r="W700" i="4"/>
  <c r="W99" i="4"/>
  <c r="W701" i="4"/>
  <c r="W83" i="4"/>
  <c r="W702" i="4"/>
  <c r="W84" i="4"/>
  <c r="W703" i="4"/>
  <c r="W85" i="4"/>
  <c r="W704" i="4"/>
  <c r="W86" i="4"/>
  <c r="W705" i="4"/>
  <c r="W87" i="4"/>
  <c r="W706" i="4"/>
  <c r="W88" i="4"/>
  <c r="W707" i="4"/>
  <c r="W89" i="4"/>
  <c r="W708" i="4"/>
  <c r="W709" i="4"/>
  <c r="W100" i="4"/>
  <c r="W710" i="4"/>
  <c r="W101" i="4"/>
  <c r="W711" i="4"/>
  <c r="W90" i="4"/>
  <c r="W712" i="4"/>
  <c r="W91" i="4"/>
  <c r="W713" i="4"/>
  <c r="W92" i="4"/>
  <c r="W714" i="4"/>
  <c r="W93" i="4"/>
  <c r="W715" i="4"/>
  <c r="W94" i="4"/>
  <c r="W716" i="4"/>
  <c r="W95" i="4"/>
  <c r="W717" i="4"/>
  <c r="W718" i="4"/>
  <c r="W96" i="4"/>
  <c r="W719" i="4"/>
  <c r="W97" i="4"/>
  <c r="W720" i="4"/>
  <c r="W721" i="4"/>
  <c r="W722" i="4"/>
  <c r="W723" i="4"/>
  <c r="W724" i="4"/>
  <c r="W725" i="4"/>
  <c r="W726" i="4"/>
  <c r="W727" i="4"/>
  <c r="W728" i="4"/>
  <c r="W729" i="4"/>
  <c r="W730" i="4"/>
  <c r="W731" i="4"/>
  <c r="W732" i="4"/>
  <c r="W733" i="4"/>
  <c r="W734" i="4"/>
  <c r="W735" i="4"/>
  <c r="W736" i="4"/>
  <c r="W737" i="4"/>
  <c r="W738" i="4"/>
  <c r="W739" i="4"/>
  <c r="W740" i="4"/>
  <c r="W741" i="4"/>
  <c r="W742" i="4"/>
  <c r="W743" i="4"/>
  <c r="W744" i="4"/>
  <c r="W110" i="4"/>
  <c r="W745" i="4"/>
  <c r="W565" i="4"/>
  <c r="W746" i="4"/>
  <c r="W747" i="4"/>
  <c r="W748" i="4"/>
  <c r="W749" i="4"/>
  <c r="W750" i="4"/>
  <c r="W751" i="4"/>
  <c r="W752" i="4"/>
  <c r="W901" i="4"/>
  <c r="W509" i="4"/>
  <c r="W233" i="4"/>
  <c r="W902" i="4"/>
  <c r="W226" i="4"/>
  <c r="W225" i="4"/>
  <c r="W234" i="4"/>
  <c r="W125" i="4"/>
  <c r="W776" i="4"/>
  <c r="W126" i="4"/>
  <c r="W777" i="4"/>
  <c r="W510" i="4"/>
  <c r="W511" i="4"/>
  <c r="W512" i="4"/>
  <c r="W906" i="4"/>
  <c r="W921" i="4"/>
  <c r="W907" i="4"/>
  <c r="W908" i="4"/>
  <c r="W909" i="4"/>
  <c r="W910" i="4"/>
  <c r="W911" i="4"/>
  <c r="W912" i="4"/>
  <c r="W913" i="4"/>
  <c r="W228" i="4"/>
  <c r="W903" i="4"/>
  <c r="W172" i="4"/>
  <c r="W821" i="4"/>
  <c r="W173" i="4"/>
  <c r="W822" i="4"/>
  <c r="W174" i="4"/>
  <c r="W823" i="4"/>
  <c r="W175" i="4"/>
  <c r="W824" i="4"/>
  <c r="W176" i="4"/>
  <c r="W825" i="4"/>
  <c r="W826" i="4"/>
  <c r="W145" i="4"/>
  <c r="W827" i="4"/>
  <c r="W146" i="4"/>
  <c r="W828" i="4"/>
  <c r="W177" i="4"/>
  <c r="W829" i="4"/>
  <c r="W178" i="4"/>
  <c r="W830" i="4"/>
  <c r="W147" i="4"/>
  <c r="W831" i="4"/>
  <c r="W148" i="4"/>
  <c r="W832" i="4"/>
  <c r="W149" i="4"/>
  <c r="W833" i="4"/>
  <c r="W150" i="4"/>
  <c r="W834" i="4"/>
  <c r="W151" i="4"/>
  <c r="W835" i="4"/>
  <c r="W567" i="4"/>
  <c r="W179" i="4"/>
  <c r="W836" i="4"/>
  <c r="W568" i="4"/>
  <c r="W180" i="4"/>
  <c r="W837" i="4"/>
  <c r="W181" i="4"/>
  <c r="W838" i="4"/>
  <c r="W182" i="4"/>
  <c r="W839" i="4"/>
  <c r="W183" i="4"/>
  <c r="W840" i="4"/>
  <c r="W184" i="4"/>
  <c r="W841" i="4"/>
  <c r="W185" i="4"/>
  <c r="W842" i="4"/>
  <c r="W186" i="4"/>
  <c r="W843" i="4"/>
  <c r="W187" i="4"/>
  <c r="W844" i="4"/>
  <c r="W188" i="4"/>
  <c r="W845" i="4"/>
  <c r="W189" i="4"/>
  <c r="W846" i="4"/>
  <c r="W190" i="4"/>
  <c r="W847" i="4"/>
  <c r="W191" i="4"/>
  <c r="W848" i="4"/>
  <c r="W192" i="4"/>
  <c r="W849" i="4"/>
  <c r="W193" i="4"/>
  <c r="W850" i="4"/>
  <c r="W194" i="4"/>
  <c r="W851" i="4"/>
  <c r="W195" i="4"/>
  <c r="W852" i="4"/>
  <c r="W570" i="4"/>
  <c r="W196" i="4"/>
  <c r="W853" i="4"/>
  <c r="W197" i="4"/>
  <c r="W854" i="4"/>
  <c r="W198" i="4"/>
  <c r="W855" i="4"/>
  <c r="W199" i="4"/>
  <c r="W856" i="4"/>
  <c r="W227" i="4"/>
  <c r="W200" i="4"/>
  <c r="W857" i="4"/>
  <c r="W201" i="4"/>
  <c r="W858" i="4"/>
  <c r="W202" i="4"/>
  <c r="W859" i="4"/>
  <c r="W203" i="4"/>
  <c r="W860" i="4"/>
  <c r="W204" i="4"/>
  <c r="W861" i="4"/>
  <c r="W205" i="4"/>
  <c r="W862" i="4"/>
  <c r="W206" i="4"/>
  <c r="W863" i="4"/>
  <c r="W571" i="4"/>
  <c r="W914" i="4"/>
  <c r="W923" i="4"/>
  <c r="W572" i="4"/>
  <c r="W207" i="4"/>
  <c r="W864" i="4"/>
  <c r="W573" i="4"/>
  <c r="W208" i="4"/>
  <c r="W865" i="4"/>
  <c r="W574" i="4"/>
  <c r="W209" i="4"/>
  <c r="W866" i="4"/>
  <c r="W575" i="4"/>
  <c r="W210" i="4"/>
  <c r="W867" i="4"/>
  <c r="W576" i="4"/>
  <c r="W578" i="4"/>
  <c r="W579" i="4"/>
  <c r="W211" i="4"/>
  <c r="W868" i="4"/>
  <c r="W235" i="4"/>
  <c r="W922" i="4"/>
  <c r="W521" i="4"/>
  <c r="W397" i="4"/>
  <c r="W364" i="4"/>
  <c r="W348" i="4"/>
  <c r="W380" i="4"/>
  <c r="W869" i="4"/>
  <c r="W522" i="4"/>
  <c r="W398" i="4"/>
  <c r="W365" i="4"/>
  <c r="W349" i="4"/>
  <c r="W381" i="4"/>
  <c r="W870" i="4"/>
  <c r="W580" i="4"/>
  <c r="W212" i="4"/>
  <c r="W871" i="4"/>
  <c r="W581" i="4"/>
  <c r="W213" i="4"/>
  <c r="W872" i="4"/>
  <c r="W523" i="4"/>
  <c r="W399" i="4"/>
  <c r="W366" i="4"/>
  <c r="W350" i="4"/>
  <c r="W382" i="4"/>
  <c r="W873" i="4"/>
  <c r="W524" i="4"/>
  <c r="W400" i="4"/>
  <c r="W367" i="4"/>
  <c r="W351" i="4"/>
  <c r="W383" i="4"/>
  <c r="W874" i="4"/>
  <c r="W582" i="4"/>
  <c r="W214" i="4"/>
  <c r="W875" i="4"/>
  <c r="W583" i="4"/>
  <c r="W215" i="4"/>
  <c r="W876" i="4"/>
  <c r="W584" i="4"/>
  <c r="W216" i="4"/>
  <c r="W877" i="4"/>
  <c r="W525" i="4"/>
  <c r="W401" i="4"/>
  <c r="W368" i="4"/>
  <c r="W352" i="4"/>
  <c r="W384" i="4"/>
  <c r="W878" i="4"/>
  <c r="W526" i="4"/>
  <c r="W402" i="4"/>
  <c r="W369" i="4"/>
  <c r="W353" i="4"/>
  <c r="W385" i="4"/>
  <c r="W879" i="4"/>
  <c r="W527" i="4"/>
  <c r="W403" i="4"/>
  <c r="W370" i="4"/>
  <c r="W354" i="4"/>
  <c r="W386" i="4"/>
  <c r="W880" i="4"/>
  <c r="W585" i="4"/>
  <c r="W217" i="4"/>
  <c r="W881" i="4"/>
  <c r="W586" i="4"/>
  <c r="W218" i="4"/>
  <c r="W882" i="4"/>
  <c r="W236" i="4"/>
  <c r="W904" i="4"/>
  <c r="W587" i="4"/>
  <c r="W219" i="4"/>
  <c r="W883" i="4"/>
  <c r="W588" i="4"/>
  <c r="W220" i="4"/>
  <c r="W884" i="4"/>
  <c r="W528" i="4"/>
  <c r="W404" i="4"/>
  <c r="W371" i="4"/>
  <c r="W355" i="4"/>
  <c r="W387" i="4"/>
  <c r="W885" i="4"/>
  <c r="W244" i="4"/>
  <c r="W589" i="4"/>
  <c r="W886" i="4"/>
  <c r="W590" i="4"/>
  <c r="W887" i="4"/>
  <c r="W591" i="4"/>
  <c r="W888" i="4"/>
  <c r="W221" i="4"/>
  <c r="W889" i="4"/>
  <c r="W222" i="4"/>
  <c r="W890" i="4"/>
  <c r="W2" i="4" l="1"/>
  <c r="K122" i="4"/>
  <c r="K121" i="4"/>
  <c r="K120" i="4"/>
  <c r="K119" i="4"/>
  <c r="K118" i="4"/>
  <c r="K117" i="4"/>
  <c r="J334" i="1"/>
  <c r="J335" i="1"/>
  <c r="J336" i="1"/>
  <c r="J337" i="1"/>
  <c r="J338" i="1"/>
  <c r="J333" i="1"/>
</calcChain>
</file>

<file path=xl/sharedStrings.xml><?xml version="1.0" encoding="utf-8"?>
<sst xmlns="http://schemas.openxmlformats.org/spreadsheetml/2006/main" count="32430" uniqueCount="2220">
  <si>
    <t>PATIENT MONITORING ITEM LOCATION REPORT</t>
  </si>
  <si>
    <t>Transfer</t>
  </si>
  <si>
    <t>Department (Name) dRofus</t>
  </si>
  <si>
    <t>Room Name dRofus</t>
  </si>
  <si>
    <t>Room Number dRofus</t>
  </si>
  <si>
    <t>Patient Monitoring Type</t>
  </si>
  <si>
    <t>Equipment Type</t>
  </si>
  <si>
    <t>Mounting System</t>
  </si>
  <si>
    <t>Notes/comments</t>
  </si>
  <si>
    <t>TRANSFER BARCODE</t>
  </si>
  <si>
    <t>TRANSFER DESCRIPTION</t>
  </si>
  <si>
    <t>TRANSFER MAKE</t>
  </si>
  <si>
    <t>Model</t>
  </si>
  <si>
    <t>Serial Number</t>
  </si>
  <si>
    <t>Current Location</t>
  </si>
  <si>
    <t>QTY Transfer</t>
  </si>
  <si>
    <t xml:space="preserve">New Quantity Required </t>
  </si>
  <si>
    <r>
      <t xml:space="preserve">Please provide Upgrade Details - </t>
    </r>
    <r>
      <rPr>
        <b/>
        <sz val="11"/>
        <color theme="0"/>
        <rFont val="Calibri"/>
        <family val="2"/>
        <scheme val="minor"/>
      </rPr>
      <t>if required.</t>
    </r>
  </si>
  <si>
    <t>Philips comments</t>
  </si>
  <si>
    <r>
      <t xml:space="preserve">configuration - 
</t>
    </r>
    <r>
      <rPr>
        <b/>
        <sz val="11"/>
        <color rgb="FFFFFFFF"/>
        <rFont val="Calibri"/>
        <family val="2"/>
      </rPr>
      <t>•</t>
    </r>
    <r>
      <rPr>
        <b/>
        <sz val="11"/>
        <color rgb="FFFFFFFF"/>
        <rFont val="Arial Narrow"/>
        <family val="2"/>
      </rPr>
      <t xml:space="preserve"> Compact
</t>
    </r>
    <r>
      <rPr>
        <b/>
        <sz val="11"/>
        <color rgb="FFFFFFFF"/>
        <rFont val="Calibri"/>
        <family val="2"/>
      </rPr>
      <t>•</t>
    </r>
    <r>
      <rPr>
        <b/>
        <sz val="11"/>
        <color rgb="FFFFFFFF"/>
        <rFont val="Arial Narrow"/>
        <family val="2"/>
      </rPr>
      <t xml:space="preserve"> Compact &amp; medium screen
</t>
    </r>
    <r>
      <rPr>
        <b/>
        <sz val="11"/>
        <color rgb="FFFFFFFF"/>
        <rFont val="Calibri"/>
        <family val="2"/>
      </rPr>
      <t>•</t>
    </r>
    <r>
      <rPr>
        <b/>
        <sz val="11"/>
        <color rgb="FFFFFFFF"/>
        <rFont val="Arial Narrow"/>
        <family val="2"/>
      </rPr>
      <t xml:space="preserve"> Compact &amp; large screen</t>
    </r>
  </si>
  <si>
    <t>ECG leads 3,5,12</t>
  </si>
  <si>
    <t>NIBP  ADULT/PEADs/NEO/ALL</t>
  </si>
  <si>
    <t>SPO2  probe, finger, ear, disposable</t>
  </si>
  <si>
    <t>SPO2  Massimo/ Nellcor</t>
  </si>
  <si>
    <t>Airway Gases</t>
  </si>
  <si>
    <t>BIS/TOF/NM</t>
  </si>
  <si>
    <t>etCO2 mainstream or side stream</t>
  </si>
  <si>
    <t>Cardiac Output</t>
  </si>
  <si>
    <t>IBP channels</t>
  </si>
  <si>
    <t>Transcutaneous CO2 &amp; O2</t>
  </si>
  <si>
    <t>Parameters other</t>
  </si>
  <si>
    <t>Strip printing or A4 Network</t>
  </si>
  <si>
    <t>Bed overview</t>
  </si>
  <si>
    <t>Slave screen</t>
  </si>
  <si>
    <t>EMR</t>
  </si>
  <si>
    <t>PERIOPERATIVE SERVICE PRECINCT</t>
  </si>
  <si>
    <t>Patient Bay - Holding</t>
  </si>
  <si>
    <t>02.B.053</t>
  </si>
  <si>
    <t>MONITOR: MEDIUM ACUITY</t>
  </si>
  <si>
    <t>Wall Mounted</t>
  </si>
  <si>
    <t>001329</t>
  </si>
  <si>
    <t>Ge Healthcare</t>
  </si>
  <si>
    <t>Carescape B450</t>
  </si>
  <si>
    <t>SNT19200021HA</t>
  </si>
  <si>
    <t>Day Procedure Unit</t>
  </si>
  <si>
    <t>Compact &amp; medium screen</t>
  </si>
  <si>
    <t>3, 5 &amp; 12 Leads</t>
  </si>
  <si>
    <t>Adult</t>
  </si>
  <si>
    <t>Finger, Forehead, Ear, Reusable &amp; Disposable</t>
  </si>
  <si>
    <t>Nellcor</t>
  </si>
  <si>
    <t/>
  </si>
  <si>
    <t>2x IBP channel provision only</t>
  </si>
  <si>
    <t>A4 Network</t>
  </si>
  <si>
    <t>Provsion only</t>
  </si>
  <si>
    <t>Yes</t>
  </si>
  <si>
    <t>02.B.054</t>
  </si>
  <si>
    <t>001395</t>
  </si>
  <si>
    <t>SNT19200048HA</t>
  </si>
  <si>
    <t>Patient Bay - Recovery, Stage 2, 9m2</t>
  </si>
  <si>
    <t>02.B.068</t>
  </si>
  <si>
    <t>001522</t>
  </si>
  <si>
    <t>SNT19200040HA</t>
  </si>
  <si>
    <t>02.B.070</t>
  </si>
  <si>
    <t>001594</t>
  </si>
  <si>
    <t>Carescape B650</t>
  </si>
  <si>
    <t>SNS19150033HA</t>
  </si>
  <si>
    <t>Theatre</t>
  </si>
  <si>
    <t>02.B.071</t>
  </si>
  <si>
    <t>001560</t>
  </si>
  <si>
    <t>SNS19150050HA</t>
  </si>
  <si>
    <t>02.B.072</t>
  </si>
  <si>
    <t>002307</t>
  </si>
  <si>
    <t>SNS19150038HA</t>
  </si>
  <si>
    <t>02.B.073</t>
  </si>
  <si>
    <t>002314</t>
  </si>
  <si>
    <t>SNS19150034HA</t>
  </si>
  <si>
    <t>02.B.074</t>
  </si>
  <si>
    <t>001941</t>
  </si>
  <si>
    <t>SNT19200046HA</t>
  </si>
  <si>
    <t>02.B.076</t>
  </si>
  <si>
    <t>001943</t>
  </si>
  <si>
    <t>SNT19200050HA</t>
  </si>
  <si>
    <t>02.B.077</t>
  </si>
  <si>
    <t>001962</t>
  </si>
  <si>
    <t>SNT19200041HA</t>
  </si>
  <si>
    <t>02.B.078</t>
  </si>
  <si>
    <t>001965</t>
  </si>
  <si>
    <t>SNT19200043HA</t>
  </si>
  <si>
    <t>02.B.079</t>
  </si>
  <si>
    <t>001966</t>
  </si>
  <si>
    <t>SNT19200045HA</t>
  </si>
  <si>
    <t>02.B.080</t>
  </si>
  <si>
    <t>001967</t>
  </si>
  <si>
    <t>SNT19200044HA</t>
  </si>
  <si>
    <t>02.B.081</t>
  </si>
  <si>
    <t>001968</t>
  </si>
  <si>
    <t>SNT19200049HA</t>
  </si>
  <si>
    <t>02.B.082</t>
  </si>
  <si>
    <t>001969</t>
  </si>
  <si>
    <t>SNT19200023HA</t>
  </si>
  <si>
    <t>02.B.084</t>
  </si>
  <si>
    <t>001970</t>
  </si>
  <si>
    <t>SNT19200042HA</t>
  </si>
  <si>
    <t>02.B.085</t>
  </si>
  <si>
    <t>002010</t>
  </si>
  <si>
    <t>SNS19150051HA</t>
  </si>
  <si>
    <t>02.B.086</t>
  </si>
  <si>
    <t>001948</t>
  </si>
  <si>
    <t>Carescape V450</t>
  </si>
  <si>
    <t>SNT19200022HA</t>
  </si>
  <si>
    <t>02.B.102</t>
  </si>
  <si>
    <t>004424</t>
  </si>
  <si>
    <t>SNT19071007HA</t>
  </si>
  <si>
    <t>Biomed</t>
  </si>
  <si>
    <t>02.B.103</t>
  </si>
  <si>
    <t>004902</t>
  </si>
  <si>
    <t>SNE18271016HA</t>
  </si>
  <si>
    <t>Radiology</t>
  </si>
  <si>
    <t>02.B.104</t>
  </si>
  <si>
    <t>004903</t>
  </si>
  <si>
    <t>Operating Room, Category 4</t>
  </si>
  <si>
    <t>02.B.149</t>
  </si>
  <si>
    <t>MONITOR: HIGH ACUITY - ANAESTHETIC</t>
  </si>
  <si>
    <t>Machine Mounted - ANAESTHETIC</t>
  </si>
  <si>
    <t>002494</t>
  </si>
  <si>
    <t>MONITOR: HIGH ACUITY</t>
  </si>
  <si>
    <t>Carescape 1</t>
  </si>
  <si>
    <t>SNR19180050HA</t>
  </si>
  <si>
    <t>Compact &amp; large screen</t>
  </si>
  <si>
    <t>Bilateral BIS, NM &amp; TOF</t>
  </si>
  <si>
    <t>side/microstream</t>
  </si>
  <si>
    <t>C.O PiCCO technology</t>
  </si>
  <si>
    <t>4x IBP</t>
  </si>
  <si>
    <t>Yes slave high acuity to medical imaging control rooms only</t>
  </si>
  <si>
    <t>02.B.154</t>
  </si>
  <si>
    <t>002500</t>
  </si>
  <si>
    <t>Carescape B850</t>
  </si>
  <si>
    <t>dpp16012276</t>
  </si>
  <si>
    <t>02.B.161</t>
  </si>
  <si>
    <t>002910</t>
  </si>
  <si>
    <t>DTT16012250</t>
  </si>
  <si>
    <t>Operating Room, Category 4, Large</t>
  </si>
  <si>
    <t>02.B.163</t>
  </si>
  <si>
    <t>002935</t>
  </si>
  <si>
    <t>DTT16012263</t>
  </si>
  <si>
    <t>Operating Room, Category 3 Technical Suite, Interventional, &amp; Radiology</t>
  </si>
  <si>
    <t>02.B.235</t>
  </si>
  <si>
    <t>002945</t>
  </si>
  <si>
    <t>DTT16012291</t>
  </si>
  <si>
    <t>Operating Room, Category 3 Technical Suite, Interventional, Cardiac, Vascular &amp; Radiology</t>
  </si>
  <si>
    <t>02.B.242</t>
  </si>
  <si>
    <t>002907</t>
  </si>
  <si>
    <t>SNR19180046HA</t>
  </si>
  <si>
    <t>Operating Room, Category 3 Technical Suite, Interventional &amp; Cardiac</t>
  </si>
  <si>
    <t>02.B.247</t>
  </si>
  <si>
    <t>002933</t>
  </si>
  <si>
    <t>SNR19180047HA</t>
  </si>
  <si>
    <t>Operating Room, Category 3 Technical Suite, Interventional, Cardiac EP, &amp; Vascular</t>
  </si>
  <si>
    <t>02.B.255</t>
  </si>
  <si>
    <t>002948</t>
  </si>
  <si>
    <t>SNR19180052HA</t>
  </si>
  <si>
    <t>CARDIAC CARE UNIT</t>
  </si>
  <si>
    <t>1 Bed Room - Special Coronary Care, Haemodialysis Ready</t>
  </si>
  <si>
    <t>07.B.112</t>
  </si>
  <si>
    <t>MONITOR: TELEMETRY TRANSMITTER</t>
  </si>
  <si>
    <t>Hand Held /Patient Worn</t>
  </si>
  <si>
    <t>001854</t>
  </si>
  <si>
    <t>MONITORS, TELEMETRIC, ELECTROCARDIOGRAPHY</t>
  </si>
  <si>
    <t>PHILIPS HEALTHCARE</t>
  </si>
  <si>
    <t>MX40-2B4</t>
  </si>
  <si>
    <t>US099E7360</t>
  </si>
  <si>
    <t>Cardiac Care Unit</t>
  </si>
  <si>
    <t>Patient worn</t>
  </si>
  <si>
    <t>5 Leads</t>
  </si>
  <si>
    <t>Store - Equipment</t>
  </si>
  <si>
    <t>07.B.127</t>
  </si>
  <si>
    <t>MONITOR: MEDIUM ACUITY - Mobile</t>
  </si>
  <si>
    <t>Transport (freestanding, docking or rail hook)</t>
  </si>
  <si>
    <t>004875</t>
  </si>
  <si>
    <t>866062 MX450</t>
  </si>
  <si>
    <t>BIOMED</t>
  </si>
  <si>
    <t>004876</t>
  </si>
  <si>
    <t>07.B.078</t>
  </si>
  <si>
    <t>Fixed (wall)</t>
  </si>
  <si>
    <t>(blank)</t>
  </si>
  <si>
    <t>1 Bed Room - Class N, Haemodialysis Ready</t>
  </si>
  <si>
    <t>07.B.081</t>
  </si>
  <si>
    <t>000718</t>
  </si>
  <si>
    <t>M8002A MP30</t>
  </si>
  <si>
    <t>DE72866654</t>
  </si>
  <si>
    <t xml:space="preserve">Emergency Department </t>
  </si>
  <si>
    <t>2 Bed Room</t>
  </si>
  <si>
    <t>07.B.086</t>
  </si>
  <si>
    <t>001001</t>
  </si>
  <si>
    <t>MX450</t>
  </si>
  <si>
    <t>DE671F0762</t>
  </si>
  <si>
    <t>000654</t>
  </si>
  <si>
    <t>DE54020247</t>
  </si>
  <si>
    <t>1 Bed Room - Special Coronary Care</t>
  </si>
  <si>
    <t>07.B.089</t>
  </si>
  <si>
    <t>07.B.091</t>
  </si>
  <si>
    <t>07.B.094</t>
  </si>
  <si>
    <t>001077</t>
  </si>
  <si>
    <t>MX500</t>
  </si>
  <si>
    <t>DE671F0908</t>
  </si>
  <si>
    <t>000790</t>
  </si>
  <si>
    <t>DE54020242</t>
  </si>
  <si>
    <t>07.B.097</t>
  </si>
  <si>
    <t>001078</t>
  </si>
  <si>
    <t>DE671F0906</t>
  </si>
  <si>
    <t>000795</t>
  </si>
  <si>
    <t>DE54020222</t>
  </si>
  <si>
    <t>07.B.100</t>
  </si>
  <si>
    <t>07.B.104</t>
  </si>
  <si>
    <t>07.B.107</t>
  </si>
  <si>
    <t>003004</t>
  </si>
  <si>
    <t>INTELLIVUE MX500</t>
  </si>
  <si>
    <t>DE671F0907</t>
  </si>
  <si>
    <t>000383</t>
  </si>
  <si>
    <t>DE72866629</t>
  </si>
  <si>
    <t>07.B.110</t>
  </si>
  <si>
    <t>000272</t>
  </si>
  <si>
    <t>M8007A MP70</t>
  </si>
  <si>
    <t>DE61757456</t>
  </si>
  <si>
    <t>Intensive Care Unit</t>
  </si>
  <si>
    <t>Treatment / Echo Room</t>
  </si>
  <si>
    <t>07.B.114</t>
  </si>
  <si>
    <t>000422</t>
  </si>
  <si>
    <t>DE72866653</t>
  </si>
  <si>
    <t>07.B.131</t>
  </si>
  <si>
    <t>DE671F0903</t>
  </si>
  <si>
    <t>000488</t>
  </si>
  <si>
    <t>DE72866657</t>
  </si>
  <si>
    <t>07.B.135</t>
  </si>
  <si>
    <t>DE671F0904</t>
  </si>
  <si>
    <t>000419</t>
  </si>
  <si>
    <t>M8004A MP50</t>
  </si>
  <si>
    <t>DE82068176</t>
  </si>
  <si>
    <t>1 Bed Room - Special Coronary Care - HDU</t>
  </si>
  <si>
    <t>07.B.139</t>
  </si>
  <si>
    <t>000648</t>
  </si>
  <si>
    <t>DE72866639</t>
  </si>
  <si>
    <t>07.B.141</t>
  </si>
  <si>
    <t>000671</t>
  </si>
  <si>
    <t>DE72866645</t>
  </si>
  <si>
    <t>07.B.145</t>
  </si>
  <si>
    <t>000744</t>
  </si>
  <si>
    <t>DE72866649</t>
  </si>
  <si>
    <t>07.B.147</t>
  </si>
  <si>
    <t>000437</t>
  </si>
  <si>
    <t>DE35157531</t>
  </si>
  <si>
    <t>1 Bed Room - Special Coronary Care - HDU, Haemodialysis Ready</t>
  </si>
  <si>
    <t>07.B.150</t>
  </si>
  <si>
    <t>000495</t>
  </si>
  <si>
    <t>DE35157533</t>
  </si>
  <si>
    <t>07.B.153</t>
  </si>
  <si>
    <t>000714</t>
  </si>
  <si>
    <t>DE35157532</t>
  </si>
  <si>
    <t>07.B.156</t>
  </si>
  <si>
    <t>001010</t>
  </si>
  <si>
    <t>DE35157527</t>
  </si>
  <si>
    <t>07.B.158</t>
  </si>
  <si>
    <t>005373</t>
  </si>
  <si>
    <t xml:space="preserve">EMERGENCY DEPARTMENT </t>
  </si>
  <si>
    <t>07.B.161</t>
  </si>
  <si>
    <t>000615</t>
  </si>
  <si>
    <t>M8023A</t>
  </si>
  <si>
    <t>DE21948508</t>
  </si>
  <si>
    <t>000729</t>
  </si>
  <si>
    <t>DE82068184</t>
  </si>
  <si>
    <t>07.B.165</t>
  </si>
  <si>
    <t>000407</t>
  </si>
  <si>
    <t>DE35157528</t>
  </si>
  <si>
    <t>000490</t>
  </si>
  <si>
    <t>DE35122844</t>
  </si>
  <si>
    <t>EMERGENCY DEPARTMENT</t>
  </si>
  <si>
    <t>Patient Bay - Resuscitation, 25m2</t>
  </si>
  <si>
    <t>LG.B.099</t>
  </si>
  <si>
    <t>Fixed (Pendant)</t>
  </si>
  <si>
    <t>000444</t>
  </si>
  <si>
    <t>MX800</t>
  </si>
  <si>
    <t>DE50851566</t>
  </si>
  <si>
    <t>LG.B.101</t>
  </si>
  <si>
    <t>000704</t>
  </si>
  <si>
    <t>DE50851547</t>
  </si>
  <si>
    <t>LG.B.103</t>
  </si>
  <si>
    <t>000723</t>
  </si>
  <si>
    <t>DE50851543</t>
  </si>
  <si>
    <t>Patient Bay, Resuscitation - Class N</t>
  </si>
  <si>
    <t>LG.B.110</t>
  </si>
  <si>
    <t>000120</t>
  </si>
  <si>
    <t>DE61757458</t>
  </si>
  <si>
    <t>LG.B.115</t>
  </si>
  <si>
    <t>001109</t>
  </si>
  <si>
    <t>DE61757462</t>
  </si>
  <si>
    <t>LG.B.301</t>
  </si>
  <si>
    <t>Roll Stand Mounted</t>
  </si>
  <si>
    <t>001182</t>
  </si>
  <si>
    <t>DE61757457</t>
  </si>
  <si>
    <t>ICU</t>
  </si>
  <si>
    <t>06.B.145</t>
  </si>
  <si>
    <t>MONITOR: MEDIUM ACUITY - Transport</t>
  </si>
  <si>
    <t>005008</t>
  </si>
  <si>
    <t>INTENSIVE CARE UNIT</t>
  </si>
  <si>
    <t>005023</t>
  </si>
  <si>
    <t>1 Bed Room - Intensive Care</t>
  </si>
  <si>
    <t>06.B.005</t>
  </si>
  <si>
    <t>005006</t>
  </si>
  <si>
    <t>866471 MX750</t>
  </si>
  <si>
    <t>06.B.006</t>
  </si>
  <si>
    <t>005053</t>
  </si>
  <si>
    <t>06.B.008</t>
  </si>
  <si>
    <t>005054</t>
  </si>
  <si>
    <t>Patient Bay - Critical Bariatric, Haemodialysis Ready</t>
  </si>
  <si>
    <t>06.B.009</t>
  </si>
  <si>
    <t>000038</t>
  </si>
  <si>
    <t>DE61757427</t>
  </si>
  <si>
    <t>06.B.011</t>
  </si>
  <si>
    <t>005077</t>
  </si>
  <si>
    <t>06.B.013</t>
  </si>
  <si>
    <t>000150</t>
  </si>
  <si>
    <t>DE61757429</t>
  </si>
  <si>
    <t>06.B.016</t>
  </si>
  <si>
    <t>005078</t>
  </si>
  <si>
    <t>1 Bed Room - Intensive Care, Haemodialysis Ready</t>
  </si>
  <si>
    <t>06.B.017</t>
  </si>
  <si>
    <t>005052</t>
  </si>
  <si>
    <t>06.B.019</t>
  </si>
  <si>
    <t>005055</t>
  </si>
  <si>
    <t>06.B.020</t>
  </si>
  <si>
    <t>005080</t>
  </si>
  <si>
    <t>06.B.022</t>
  </si>
  <si>
    <t>005079</t>
  </si>
  <si>
    <t>1 Bed Room - Intensive Care Class N, Haemodialysis Ready</t>
  </si>
  <si>
    <t>06.B.100</t>
  </si>
  <si>
    <t>005060</t>
  </si>
  <si>
    <t>06.B.105</t>
  </si>
  <si>
    <t>005057</t>
  </si>
  <si>
    <t>06.B.107</t>
  </si>
  <si>
    <t>moved here for ccu space</t>
  </si>
  <si>
    <t>000046</t>
  </si>
  <si>
    <t>DE61757439</t>
  </si>
  <si>
    <t>06.B.108</t>
  </si>
  <si>
    <t>000298</t>
  </si>
  <si>
    <t>DE61757445</t>
  </si>
  <si>
    <t>06.B.109</t>
  </si>
  <si>
    <t>001269</t>
  </si>
  <si>
    <t>DE61757451</t>
  </si>
  <si>
    <t>06.B.110</t>
  </si>
  <si>
    <t>005056</t>
  </si>
  <si>
    <t>06.B.111</t>
  </si>
  <si>
    <t>001225</t>
  </si>
  <si>
    <t>DE61757452</t>
  </si>
  <si>
    <t>06.B.113</t>
  </si>
  <si>
    <t>005058</t>
  </si>
  <si>
    <t>06.B.116</t>
  </si>
  <si>
    <t>001211</t>
  </si>
  <si>
    <t>DE61757453</t>
  </si>
  <si>
    <t>06.B.117</t>
  </si>
  <si>
    <t>001141</t>
  </si>
  <si>
    <t>DE61757455</t>
  </si>
  <si>
    <t>06.B.118</t>
  </si>
  <si>
    <t>005059</t>
  </si>
  <si>
    <t>IPU SPECIAL MEDICAL</t>
  </si>
  <si>
    <t>Procedure Room</t>
  </si>
  <si>
    <t>07.B.044</t>
  </si>
  <si>
    <t>000902</t>
  </si>
  <si>
    <t>DE72866641</t>
  </si>
  <si>
    <t>MEDICAL IMAGING</t>
  </si>
  <si>
    <t>GF.B.211</t>
  </si>
  <si>
    <t>004879</t>
  </si>
  <si>
    <t>PET / CT Imaging Room</t>
  </si>
  <si>
    <t>GF.B.232</t>
  </si>
  <si>
    <t>004880</t>
  </si>
  <si>
    <t>SPECT Scanning Room</t>
  </si>
  <si>
    <t>GF.B.235</t>
  </si>
  <si>
    <t>005024</t>
  </si>
  <si>
    <t>GF.B.239</t>
  </si>
  <si>
    <t>006521</t>
  </si>
  <si>
    <t>Stress Testing Room</t>
  </si>
  <si>
    <t>GF.B.241</t>
  </si>
  <si>
    <t>006525</t>
  </si>
  <si>
    <t>CT Scanning room</t>
  </si>
  <si>
    <t>GF.B.277</t>
  </si>
  <si>
    <t>006526</t>
  </si>
  <si>
    <t>GF.B.280</t>
  </si>
  <si>
    <t>006527</t>
  </si>
  <si>
    <t>CT Scanning room (Shell)</t>
  </si>
  <si>
    <t>GF.B.295</t>
  </si>
  <si>
    <t>006528</t>
  </si>
  <si>
    <t>Mammography Room</t>
  </si>
  <si>
    <t>GF.B.310</t>
  </si>
  <si>
    <t>006531</t>
  </si>
  <si>
    <t>Ultrasound Room, Procedures</t>
  </si>
  <si>
    <t>GF.B.314</t>
  </si>
  <si>
    <t>000469</t>
  </si>
  <si>
    <t>DE62223263</t>
  </si>
  <si>
    <t>Ultrasound Room</t>
  </si>
  <si>
    <t>GF.B.320</t>
  </si>
  <si>
    <t>000940</t>
  </si>
  <si>
    <t>DE54020231</t>
  </si>
  <si>
    <t>Screening Room (Fluoroscopy), Large</t>
  </si>
  <si>
    <t>GF.B.349</t>
  </si>
  <si>
    <t>002851</t>
  </si>
  <si>
    <t>DE72866636</t>
  </si>
  <si>
    <t>Screening Room (Fluoroscopy)</t>
  </si>
  <si>
    <t>GF.B.352</t>
  </si>
  <si>
    <t>003374</t>
  </si>
  <si>
    <t>DE72866862</t>
  </si>
  <si>
    <t>Cardiac Catheterisation Lab</t>
  </si>
  <si>
    <t>Anaesthetic Induction Room</t>
  </si>
  <si>
    <t>GF.B.361</t>
  </si>
  <si>
    <t>004422</t>
  </si>
  <si>
    <t>m8002a</t>
  </si>
  <si>
    <t>de72840236</t>
  </si>
  <si>
    <t>Ward 3B</t>
  </si>
  <si>
    <t>001856</t>
  </si>
  <si>
    <t>US099E7327</t>
  </si>
  <si>
    <t>001842</t>
  </si>
  <si>
    <t>US099E7339</t>
  </si>
  <si>
    <t>001843</t>
  </si>
  <si>
    <t>US099E7368</t>
  </si>
  <si>
    <t>001844</t>
  </si>
  <si>
    <t>US099E7362</t>
  </si>
  <si>
    <t>001845</t>
  </si>
  <si>
    <t>US099E7346</t>
  </si>
  <si>
    <t>001841</t>
  </si>
  <si>
    <t>US099E7329</t>
  </si>
  <si>
    <t>001846</t>
  </si>
  <si>
    <t>US099E7377</t>
  </si>
  <si>
    <t>001847</t>
  </si>
  <si>
    <t>US099E7375</t>
  </si>
  <si>
    <t>001848</t>
  </si>
  <si>
    <t>US099E7356</t>
  </si>
  <si>
    <t>001849</t>
  </si>
  <si>
    <t>US099E7355</t>
  </si>
  <si>
    <t>001851</t>
  </si>
  <si>
    <t>US099E7325</t>
  </si>
  <si>
    <t>001853</t>
  </si>
  <si>
    <t>US099E7369</t>
  </si>
  <si>
    <t>001855</t>
  </si>
  <si>
    <t>US099E7350</t>
  </si>
  <si>
    <t>001857</t>
  </si>
  <si>
    <t>US099E7358</t>
  </si>
  <si>
    <t>001858</t>
  </si>
  <si>
    <t>US099E7365</t>
  </si>
  <si>
    <t>ACUTE AGED CARE IPU</t>
  </si>
  <si>
    <t>03.A.234</t>
  </si>
  <si>
    <t>MONITOR: LOW ACUITY - Mobile</t>
  </si>
  <si>
    <t>Mobile (trolley mounted)</t>
  </si>
  <si>
    <t>001378</t>
  </si>
  <si>
    <t>WELCH ALLYN</t>
  </si>
  <si>
    <t>42N0B</t>
  </si>
  <si>
    <t>Compact</t>
  </si>
  <si>
    <t>001399</t>
  </si>
  <si>
    <t>001400</t>
  </si>
  <si>
    <t>001418</t>
  </si>
  <si>
    <t>001420</t>
  </si>
  <si>
    <t>001483</t>
  </si>
  <si>
    <t>001488</t>
  </si>
  <si>
    <t>001520</t>
  </si>
  <si>
    <t>ACUTE RENAL HAEMODIALYSIS</t>
  </si>
  <si>
    <t>Bay - Mobile Equipment</t>
  </si>
  <si>
    <t>05.B.133</t>
  </si>
  <si>
    <t>003746</t>
  </si>
  <si>
    <t>75CT</t>
  </si>
  <si>
    <t xml:space="preserve">Ward 3 East </t>
  </si>
  <si>
    <t>003890</t>
  </si>
  <si>
    <t>005424</t>
  </si>
  <si>
    <t xml:space="preserve">WARD 2D </t>
  </si>
  <si>
    <t>AMBULATORY SPECIALIST N1</t>
  </si>
  <si>
    <t>Treatment Room</t>
  </si>
  <si>
    <t>GF.A.106</t>
  </si>
  <si>
    <t>001736</t>
  </si>
  <si>
    <t>Outpatients</t>
  </si>
  <si>
    <t>GF.B.550</t>
  </si>
  <si>
    <t>003668</t>
  </si>
  <si>
    <t>Ward 2 South - Discharge</t>
  </si>
  <si>
    <t>GF.B.553</t>
  </si>
  <si>
    <t>003686</t>
  </si>
  <si>
    <t>Treatment Room - Opthalmic</t>
  </si>
  <si>
    <t>GF.A.103</t>
  </si>
  <si>
    <t>003697</t>
  </si>
  <si>
    <t>53N00</t>
  </si>
  <si>
    <t>JA012580</t>
  </si>
  <si>
    <t>Bay - Patient Holding</t>
  </si>
  <si>
    <t>GF.B.520</t>
  </si>
  <si>
    <t>000828</t>
  </si>
  <si>
    <t>CHRONIC DISEASE &amp; WELLNESS N5</t>
  </si>
  <si>
    <t>GF.A.020</t>
  </si>
  <si>
    <t>000397</t>
  </si>
  <si>
    <t>CLINICAL MEASUREMENTS UNIT N2</t>
  </si>
  <si>
    <t>Cardiopulmonary Assessment</t>
  </si>
  <si>
    <t>01.B.460</t>
  </si>
  <si>
    <t>000387</t>
  </si>
  <si>
    <t>LG.B.031</t>
  </si>
  <si>
    <t>003416</t>
  </si>
  <si>
    <t>Observation Room</t>
  </si>
  <si>
    <t>LG.B.062</t>
  </si>
  <si>
    <t>000693</t>
  </si>
  <si>
    <t>9175ct</t>
  </si>
  <si>
    <t>GEM &amp; REHAB IPU</t>
  </si>
  <si>
    <t>03.A.257</t>
  </si>
  <si>
    <t>002533</t>
  </si>
  <si>
    <t>004809</t>
  </si>
  <si>
    <t xml:space="preserve">WARD 3 EAST </t>
  </si>
  <si>
    <t>004810</t>
  </si>
  <si>
    <t>004811</t>
  </si>
  <si>
    <t>004812</t>
  </si>
  <si>
    <t>03.A.258</t>
  </si>
  <si>
    <t>004813</t>
  </si>
  <si>
    <t>03.A.259</t>
  </si>
  <si>
    <t>03.A.260</t>
  </si>
  <si>
    <t>005106</t>
  </si>
  <si>
    <t xml:space="preserve">WARD 2 EAST </t>
  </si>
  <si>
    <t>03.A.261</t>
  </si>
  <si>
    <t>005107</t>
  </si>
  <si>
    <t>IPU MENTAL HEALTH</t>
  </si>
  <si>
    <t>Consult Room, Large</t>
  </si>
  <si>
    <t>04.B.247</t>
  </si>
  <si>
    <t>001738</t>
  </si>
  <si>
    <t>04.B.260</t>
  </si>
  <si>
    <t>000794</t>
  </si>
  <si>
    <t>04.B.370</t>
  </si>
  <si>
    <t>000830</t>
  </si>
  <si>
    <t>42NOB</t>
  </si>
  <si>
    <t>04.B.262</t>
  </si>
  <si>
    <t>000434</t>
  </si>
  <si>
    <t>MADU CLINICAL TRIAL N4</t>
  </si>
  <si>
    <t>02.A.223</t>
  </si>
  <si>
    <t>000496</t>
  </si>
  <si>
    <t>02.A.230</t>
  </si>
  <si>
    <t>000403</t>
  </si>
  <si>
    <t>Uptake Room</t>
  </si>
  <si>
    <t>GF.B.226</t>
  </si>
  <si>
    <t>003294</t>
  </si>
  <si>
    <t xml:space="preserve"> Ward 2 East </t>
  </si>
  <si>
    <t>Patient Bay - Holding / Recovery, 9m2</t>
  </si>
  <si>
    <t>GF.B.246</t>
  </si>
  <si>
    <t>004239</t>
  </si>
  <si>
    <t xml:space="preserve">Ward 1 West </t>
  </si>
  <si>
    <t>GF.B.248</t>
  </si>
  <si>
    <t>002987</t>
  </si>
  <si>
    <t>GF.B.249</t>
  </si>
  <si>
    <t>004953</t>
  </si>
  <si>
    <t xml:space="preserve"> Ward 2D </t>
  </si>
  <si>
    <t>GF.B.250</t>
  </si>
  <si>
    <t>002975</t>
  </si>
  <si>
    <t>GF.B.251</t>
  </si>
  <si>
    <t>004043</t>
  </si>
  <si>
    <t>GF.B.263</t>
  </si>
  <si>
    <t>002988</t>
  </si>
  <si>
    <t>GF.B.265</t>
  </si>
  <si>
    <t>004415</t>
  </si>
  <si>
    <t>GF.B.266</t>
  </si>
  <si>
    <t>004946</t>
  </si>
  <si>
    <t>GF.B.267</t>
  </si>
  <si>
    <t>004264</t>
  </si>
  <si>
    <t>GF.B.268</t>
  </si>
  <si>
    <t>004087</t>
  </si>
  <si>
    <t>GF.B.271</t>
  </si>
  <si>
    <t>003534</t>
  </si>
  <si>
    <t>GF.B.272</t>
  </si>
  <si>
    <t>002963</t>
  </si>
  <si>
    <t>GF.B.360</t>
  </si>
  <si>
    <t>003524</t>
  </si>
  <si>
    <t>GF.B.363</t>
  </si>
  <si>
    <t>003555</t>
  </si>
  <si>
    <t>Patient Bay - Holding, Discharge Hot</t>
  </si>
  <si>
    <t>GF.B.231</t>
  </si>
  <si>
    <t>003597</t>
  </si>
  <si>
    <t>Patient Hold - Hot</t>
  </si>
  <si>
    <t>GF.B.212</t>
  </si>
  <si>
    <t>000389</t>
  </si>
  <si>
    <t>VSM / DIAGNOSTIC SET</t>
  </si>
  <si>
    <t>Preparation / Chair Bay</t>
  </si>
  <si>
    <t>GF.B.286</t>
  </si>
  <si>
    <t>001099</t>
  </si>
  <si>
    <t>Procedure Room / Cannulation</t>
  </si>
  <si>
    <t>GF.B.298</t>
  </si>
  <si>
    <t>001094</t>
  </si>
  <si>
    <t>GF.B.224</t>
  </si>
  <si>
    <t>003291</t>
  </si>
  <si>
    <t>GF.B.225</t>
  </si>
  <si>
    <t>003567</t>
  </si>
  <si>
    <t>GF.B.227</t>
  </si>
  <si>
    <t>003576</t>
  </si>
  <si>
    <t>GF.B.228</t>
  </si>
  <si>
    <t>004037</t>
  </si>
  <si>
    <t>GF.B.230</t>
  </si>
  <si>
    <t>004419</t>
  </si>
  <si>
    <t>OVERNIGHT DIAGNOSTICS</t>
  </si>
  <si>
    <t>05.B.003</t>
  </si>
  <si>
    <t>003016</t>
  </si>
  <si>
    <t>1 Bed Room</t>
  </si>
  <si>
    <t>05.B.010</t>
  </si>
  <si>
    <t>004294</t>
  </si>
  <si>
    <t>05.B.011</t>
  </si>
  <si>
    <t>004076</t>
  </si>
  <si>
    <t>05.B.014</t>
  </si>
  <si>
    <t>004470</t>
  </si>
  <si>
    <t>05.B.015</t>
  </si>
  <si>
    <t>004208</t>
  </si>
  <si>
    <t>05.B.037</t>
  </si>
  <si>
    <t>004282</t>
  </si>
  <si>
    <t>05.B.040</t>
  </si>
  <si>
    <t>003134</t>
  </si>
  <si>
    <t>05.B.041</t>
  </si>
  <si>
    <t>003297</t>
  </si>
  <si>
    <t>1 Bed Room - Bariatric</t>
  </si>
  <si>
    <t>05.B.033</t>
  </si>
  <si>
    <t>003269</t>
  </si>
  <si>
    <t>05.B.036</t>
  </si>
  <si>
    <t>003556</t>
  </si>
  <si>
    <t>Reception / Clerical</t>
  </si>
  <si>
    <t>02.B.009</t>
  </si>
  <si>
    <t>003293</t>
  </si>
  <si>
    <t>003616</t>
  </si>
  <si>
    <t>003711</t>
  </si>
  <si>
    <t>004408</t>
  </si>
  <si>
    <t>SUBACUTE IPU GEM PALLIATIVE</t>
  </si>
  <si>
    <t>04.A.103</t>
  </si>
  <si>
    <t>003774</t>
  </si>
  <si>
    <t>005108</t>
  </si>
  <si>
    <t>005109</t>
  </si>
  <si>
    <t>005110</t>
  </si>
  <si>
    <t>005421</t>
  </si>
  <si>
    <t>005422</t>
  </si>
  <si>
    <t xml:space="preserve">WARD 2C </t>
  </si>
  <si>
    <t>005423</t>
  </si>
  <si>
    <t>006134</t>
  </si>
  <si>
    <t>006819</t>
  </si>
  <si>
    <t>TRANSIT LOUNGE</t>
  </si>
  <si>
    <t>LG.B.174</t>
  </si>
  <si>
    <t>000432</t>
  </si>
  <si>
    <t>000494</t>
  </si>
  <si>
    <t>001060</t>
  </si>
  <si>
    <t>003008</t>
  </si>
  <si>
    <t>1 Bed Room - Class N, Renal Dialysis</t>
  </si>
  <si>
    <t>05.B.118</t>
  </si>
  <si>
    <t>Office - Clinical Workroom</t>
  </si>
  <si>
    <t>07.B.119</t>
  </si>
  <si>
    <t>MONITOR: CENTRAL STATION - DISPLAY, REMOTE</t>
  </si>
  <si>
    <t>16x Beds per Screen</t>
  </si>
  <si>
    <t>07.B.175</t>
  </si>
  <si>
    <t>Staff Station</t>
  </si>
  <si>
    <t>07.B.118</t>
  </si>
  <si>
    <t>MONITOR: CENTRAL STATION - REMOTE</t>
  </si>
  <si>
    <t>07.B.176</t>
  </si>
  <si>
    <t>MONITOR: CENTRAL STATION - MAIN</t>
  </si>
  <si>
    <t>Under Bench</t>
  </si>
  <si>
    <t>Server - Desktop or Virtual</t>
  </si>
  <si>
    <t>Waveform/data</t>
  </si>
  <si>
    <t>LG.B.105</t>
  </si>
  <si>
    <t>MONITOR: CENTRAL STATION - DISPLAY, DESK</t>
  </si>
  <si>
    <t>Desktop Mounted</t>
  </si>
  <si>
    <t>LG.B.330</t>
  </si>
  <si>
    <t>Desktop</t>
  </si>
  <si>
    <t>LG.B.339</t>
  </si>
  <si>
    <t>LG.B.020</t>
  </si>
  <si>
    <t>LG.B.241</t>
  </si>
  <si>
    <t>Patient Bay - Non-Acute Treatment, 10m2</t>
  </si>
  <si>
    <t>LG.B.004</t>
  </si>
  <si>
    <t>LG.B.005</t>
  </si>
  <si>
    <t>LG.B.007</t>
  </si>
  <si>
    <t>LG.B.008</t>
  </si>
  <si>
    <t>LG.B.012</t>
  </si>
  <si>
    <t>LG.B.013</t>
  </si>
  <si>
    <t>Multipurpose Procedure Room - ENT / Eye</t>
  </si>
  <si>
    <t>LG.B.023</t>
  </si>
  <si>
    <t>Multipurpose Procedure Room (Fast Track &amp; Acute)</t>
  </si>
  <si>
    <t>LG.B.024</t>
  </si>
  <si>
    <t>Triage Assessment Room</t>
  </si>
  <si>
    <t>LG.B.027</t>
  </si>
  <si>
    <t>LG.B.028</t>
  </si>
  <si>
    <t>LG.B.029</t>
  </si>
  <si>
    <t>Behavioural Assessment Room</t>
  </si>
  <si>
    <t>LG.B.041</t>
  </si>
  <si>
    <t>LG.B.043</t>
  </si>
  <si>
    <t>LG.B.081</t>
  </si>
  <si>
    <t>LG.B.082</t>
  </si>
  <si>
    <t>MONITOR: DISPLAY SCREEN - SLAVE, PATIENT</t>
  </si>
  <si>
    <t>Ceiling mounted</t>
  </si>
  <si>
    <t>16x Beds per Screen ( option for 32x beds for large format)</t>
  </si>
  <si>
    <t>Ante Room</t>
  </si>
  <si>
    <t>LG.B.109</t>
  </si>
  <si>
    <t>LG.B.122</t>
  </si>
  <si>
    <t>LG.B.126</t>
  </si>
  <si>
    <t>CT Scanning Control Room</t>
  </si>
  <si>
    <t>LG.B.202</t>
  </si>
  <si>
    <t>LG.B.211</t>
  </si>
  <si>
    <t>LG.B.212</t>
  </si>
  <si>
    <t>LG.B.225</t>
  </si>
  <si>
    <t>Patient Bay - Acute Treatment, 12m2</t>
  </si>
  <si>
    <t>LG.B.227</t>
  </si>
  <si>
    <t>LG.B.229</t>
  </si>
  <si>
    <t>LG.B.230</t>
  </si>
  <si>
    <t>LG.B.232</t>
  </si>
  <si>
    <t>LG.B.234</t>
  </si>
  <si>
    <t>LG.B.238</t>
  </si>
  <si>
    <t>1 Bed Room - Class N</t>
  </si>
  <si>
    <t>LG.B.256</t>
  </si>
  <si>
    <t>LG.B.259</t>
  </si>
  <si>
    <t>LG.B.261</t>
  </si>
  <si>
    <t>LG.B.262</t>
  </si>
  <si>
    <t>Patient Bay - Acute Treatment (Class S)</t>
  </si>
  <si>
    <t>LG.B.263</t>
  </si>
  <si>
    <t>LG.B.266</t>
  </si>
  <si>
    <t>Patient Bay - Acute, Bariatric</t>
  </si>
  <si>
    <t>LG.B.268</t>
  </si>
  <si>
    <t>LG.B.270</t>
  </si>
  <si>
    <t>LG.B.272</t>
  </si>
  <si>
    <t>LG.B.274</t>
  </si>
  <si>
    <t>LG.B.277</t>
  </si>
  <si>
    <t>LG.B.279</t>
  </si>
  <si>
    <t>LG.B.285</t>
  </si>
  <si>
    <t>LG.B.287</t>
  </si>
  <si>
    <t>LG.B.288</t>
  </si>
  <si>
    <t>LG.B.290</t>
  </si>
  <si>
    <t>LG.B.291</t>
  </si>
  <si>
    <t>LG.B.293</t>
  </si>
  <si>
    <t>LG.B.306</t>
  </si>
  <si>
    <t>Patient Bay - Enclosed</t>
  </si>
  <si>
    <t>LG.B.310</t>
  </si>
  <si>
    <t>LG.B.312</t>
  </si>
  <si>
    <t>LG.B.315</t>
  </si>
  <si>
    <t>LG.B.317</t>
  </si>
  <si>
    <t>LG.B.318</t>
  </si>
  <si>
    <t>LG.B.320</t>
  </si>
  <si>
    <t>LG.B.322</t>
  </si>
  <si>
    <t>LG.B.324</t>
  </si>
  <si>
    <t>LG.B.325</t>
  </si>
  <si>
    <t>LG.B.331</t>
  </si>
  <si>
    <t>LG.B.333</t>
  </si>
  <si>
    <t>Patient Bay - 10m2</t>
  </si>
  <si>
    <t>LG.B.343</t>
  </si>
  <si>
    <t>LG.B.352</t>
  </si>
  <si>
    <t>LG.B.356</t>
  </si>
  <si>
    <t>LG.B.359</t>
  </si>
  <si>
    <t>LG.B.360</t>
  </si>
  <si>
    <t>LG.B.362</t>
  </si>
  <si>
    <t>LG.B.363</t>
  </si>
  <si>
    <t>LG.B.364</t>
  </si>
  <si>
    <t>LG.B.366</t>
  </si>
  <si>
    <t>LG.B.368</t>
  </si>
  <si>
    <t>LG.B.371</t>
  </si>
  <si>
    <t>LG.B.375</t>
  </si>
  <si>
    <t>LG.B.378</t>
  </si>
  <si>
    <t>LG.B.380</t>
  </si>
  <si>
    <t>LG.B.381</t>
  </si>
  <si>
    <t>LG.B.383</t>
  </si>
  <si>
    <t>LG.B.384</t>
  </si>
  <si>
    <t>LG.B.386</t>
  </si>
  <si>
    <t>LG.B.390</t>
  </si>
  <si>
    <t>LG.B.391</t>
  </si>
  <si>
    <t>LG.B.393</t>
  </si>
  <si>
    <t>LG.B.395</t>
  </si>
  <si>
    <t>LG.B.402</t>
  </si>
  <si>
    <t>LG.B.404</t>
  </si>
  <si>
    <t>LG.B.406</t>
  </si>
  <si>
    <t>03.A.008</t>
  </si>
  <si>
    <t>GENERIC IPU</t>
  </si>
  <si>
    <t>08.B.161</t>
  </si>
  <si>
    <t>(SN - allocated tranfer from ICU 10/04/24)</t>
  </si>
  <si>
    <t>TBA</t>
  </si>
  <si>
    <t>08.B.218</t>
  </si>
  <si>
    <t>09.B.160</t>
  </si>
  <si>
    <t>09.B.216</t>
  </si>
  <si>
    <t>10.B.160</t>
  </si>
  <si>
    <t>10.B.216</t>
  </si>
  <si>
    <t>06.B.027</t>
  </si>
  <si>
    <t>06.B.033</t>
  </si>
  <si>
    <t>MONITOR: MRI, HIGH ACUITY - ANAESTHETIC</t>
  </si>
  <si>
    <t>yes slave high acuity to induction room with Airway parameters</t>
  </si>
  <si>
    <t>06.B.129</t>
  </si>
  <si>
    <t>(SN- Added,10/04/24)</t>
  </si>
  <si>
    <t>06.B.133</t>
  </si>
  <si>
    <t>02.A.190</t>
  </si>
  <si>
    <t>02.A.231</t>
  </si>
  <si>
    <t>MRI Scanning Room</t>
  </si>
  <si>
    <t>GF.B.353</t>
  </si>
  <si>
    <t>GF.B.358</t>
  </si>
  <si>
    <t>GF.B.368</t>
  </si>
  <si>
    <t>Shared PET / CT Control Room</t>
  </si>
  <si>
    <t>GF.B.234</t>
  </si>
  <si>
    <t>SPECT / CT Control Room</t>
  </si>
  <si>
    <t>GF.B.237</t>
  </si>
  <si>
    <t>CT Control Room (Shared)</t>
  </si>
  <si>
    <t>GF.B.281</t>
  </si>
  <si>
    <t>Fluoroscopy Control Room</t>
  </si>
  <si>
    <t>GF.B.345</t>
  </si>
  <si>
    <t>GF.B.350</t>
  </si>
  <si>
    <t>MRI Control Room</t>
  </si>
  <si>
    <t>GF.B.354</t>
  </si>
  <si>
    <t>GF.B.357</t>
  </si>
  <si>
    <t>GF.B.369</t>
  </si>
  <si>
    <t>Office - Clinical Workroom, Perioperative</t>
  </si>
  <si>
    <t>02.B.062</t>
  </si>
  <si>
    <t>02.B.088</t>
  </si>
  <si>
    <t>02.B.092</t>
  </si>
  <si>
    <t>02.B.108</t>
  </si>
  <si>
    <t>02.B.109</t>
  </si>
  <si>
    <t>02.B.110</t>
  </si>
  <si>
    <t>Patient Bay - Holding, 9m2 - Perioperative</t>
  </si>
  <si>
    <t>02.B.117</t>
  </si>
  <si>
    <t>02.B.118</t>
  </si>
  <si>
    <t>02.B.119</t>
  </si>
  <si>
    <t>Patient Bay - Enclosed, 13m2</t>
  </si>
  <si>
    <t>02.B.123</t>
  </si>
  <si>
    <t>02.B.124</t>
  </si>
  <si>
    <t>02.B.126</t>
  </si>
  <si>
    <t>02.B.127</t>
  </si>
  <si>
    <t>02.B.128</t>
  </si>
  <si>
    <t>02.B.129</t>
  </si>
  <si>
    <t>02.B.130</t>
  </si>
  <si>
    <t>02.B.155</t>
  </si>
  <si>
    <t>MONITOR: SLAVE SCREEN (ANAESTHETIC etc)</t>
  </si>
  <si>
    <t>02.B.164</t>
  </si>
  <si>
    <t>Control Room</t>
  </si>
  <si>
    <t>02.B.165</t>
  </si>
  <si>
    <t>Patient Bay - Recovery Stage 1, 9m2</t>
  </si>
  <si>
    <t>02.B.169</t>
  </si>
  <si>
    <t>02.B.170</t>
  </si>
  <si>
    <t>02.B.172</t>
  </si>
  <si>
    <t>02.B.173</t>
  </si>
  <si>
    <t>02.B.174</t>
  </si>
  <si>
    <t>02.B.176</t>
  </si>
  <si>
    <t>02.B.178</t>
  </si>
  <si>
    <t>02.B.179</t>
  </si>
  <si>
    <t>02.B.181</t>
  </si>
  <si>
    <t>02.B.182</t>
  </si>
  <si>
    <t>02.B.184</t>
  </si>
  <si>
    <t>02.B.185</t>
  </si>
  <si>
    <t>Patient Bay - ECT</t>
  </si>
  <si>
    <t>02.B.187</t>
  </si>
  <si>
    <t>02.B.188</t>
  </si>
  <si>
    <t>02.B.192</t>
  </si>
  <si>
    <t>02.B.194</t>
  </si>
  <si>
    <t>02.B.195</t>
  </si>
  <si>
    <t>02.B.196</t>
  </si>
  <si>
    <t>02.B.198</t>
  </si>
  <si>
    <t>02.B.199</t>
  </si>
  <si>
    <t>02.B.099</t>
  </si>
  <si>
    <t>02.B.493</t>
  </si>
  <si>
    <t>Patient Bay - Recovery, Bariatric</t>
  </si>
  <si>
    <t>02.B.200</t>
  </si>
  <si>
    <t>02.B.202</t>
  </si>
  <si>
    <t>02.B.203</t>
  </si>
  <si>
    <t>02.B.208</t>
  </si>
  <si>
    <t>02.B.210</t>
  </si>
  <si>
    <t>02.B.211</t>
  </si>
  <si>
    <t>02.B.214</t>
  </si>
  <si>
    <t>02.B.216</t>
  </si>
  <si>
    <t>02.B.227</t>
  </si>
  <si>
    <t>02.B.234</t>
  </si>
  <si>
    <t>02.B.245</t>
  </si>
  <si>
    <t>02.B.246</t>
  </si>
  <si>
    <t>02.B.256</t>
  </si>
  <si>
    <t>02.B.257</t>
  </si>
  <si>
    <t>02.B.261</t>
  </si>
  <si>
    <t>02.B.266</t>
  </si>
  <si>
    <t>02.B.272</t>
  </si>
  <si>
    <t>02.B.107</t>
  </si>
  <si>
    <t>02.B.175</t>
  </si>
  <si>
    <t>Staff Station, Control Hub</t>
  </si>
  <si>
    <t>02.B.061</t>
  </si>
  <si>
    <t>Operating Room, Category 1 Hybrid</t>
  </si>
  <si>
    <t>02.B.273</t>
  </si>
  <si>
    <t>Operating Room, Category 1 Orthopaedics</t>
  </si>
  <si>
    <t>02.B.281</t>
  </si>
  <si>
    <t>02.B.283</t>
  </si>
  <si>
    <t>02.B.284</t>
  </si>
  <si>
    <t>Operating Room, Category 2 Technical Suite</t>
  </si>
  <si>
    <t>02.B.285</t>
  </si>
  <si>
    <t>02.B.294</t>
  </si>
  <si>
    <t>02.B.295</t>
  </si>
  <si>
    <t>02.B.448</t>
  </si>
  <si>
    <t>02.B.450</t>
  </si>
  <si>
    <t>02.B.454</t>
  </si>
  <si>
    <t>02.B.455</t>
  </si>
  <si>
    <t>02.B.456</t>
  </si>
  <si>
    <t>02.B.457</t>
  </si>
  <si>
    <t>02.B.458</t>
  </si>
  <si>
    <t>02.B.183</t>
  </si>
  <si>
    <t>02.B.464</t>
  </si>
  <si>
    <t>02.B.465</t>
  </si>
  <si>
    <t>02.B.481</t>
  </si>
  <si>
    <t>Store - Equipment Major</t>
  </si>
  <si>
    <t>02.B.302</t>
  </si>
  <si>
    <t>SHARED SPACES IPU</t>
  </si>
  <si>
    <t>08.B.166</t>
  </si>
  <si>
    <t>09.B.165</t>
  </si>
  <si>
    <t>10.B.165</t>
  </si>
  <si>
    <t>LG.B.445</t>
  </si>
  <si>
    <t>LG.B.446</t>
  </si>
  <si>
    <t>totals ( per filtered list)</t>
  </si>
  <si>
    <t>Philips Solutiown - Unit pricing Breakdown</t>
  </si>
  <si>
    <t xml:space="preserve">To assist in costing and Distribution of items can Philips please populate this  table.  Costing will automatically update on the ILR. </t>
  </si>
  <si>
    <t>New Equipment Make</t>
  </si>
  <si>
    <t>Unit Rate</t>
  </si>
  <si>
    <t xml:space="preserve">Mounting Rate </t>
  </si>
  <si>
    <t>Install Rate</t>
  </si>
  <si>
    <t>Philips Comments</t>
  </si>
  <si>
    <t>24" Touch LCD Display</t>
  </si>
  <si>
    <t>Central Station Primary Display</t>
  </si>
  <si>
    <t>Philips</t>
  </si>
  <si>
    <t>866126 - 24"Touch display.  Table top mount included.  Installation included with central monitoring platform.</t>
  </si>
  <si>
    <t>EarlyVue VS30</t>
  </si>
  <si>
    <t>Low Acuity Monitor</t>
  </si>
  <si>
    <t>EarlyVue VS30 - 863359 W01_Wireless, G01_EWS Local, SP1_FAST SpO2, T01_Predictive Temp, S01_1yr Warranty; M1191BL-Reusable Adult SpO2 Sensor; M4556B - Easy Care Cuff, 1 Hose, Adult XL (1); 989803209771 - Adult NIBP Air Hose 3.0m; 989803206541 - VSM Premium Roll Stand.</t>
  </si>
  <si>
    <t>IntelliBridge Enterprise</t>
  </si>
  <si>
    <t>Patient Monitoring Gateway</t>
  </si>
  <si>
    <t xml:space="preserve">Virtual Server to be supplied by WH ICT.  Installation included in Unit Rate. Intellibridge Enterprise (IBE) - Existing EMR gateway expansion and mapping - 866183_P02 - Expansion PICiX 128 bed license; 891050_E01 Interoperability services. </t>
  </si>
  <si>
    <t>IntelliVue AD75</t>
  </si>
  <si>
    <t>High Acuity Remote Display</t>
  </si>
  <si>
    <t>867130 - AD75 Active Display</t>
  </si>
  <si>
    <t>IntelliVue BIS Module</t>
  </si>
  <si>
    <t>Parameter Module, BIS</t>
  </si>
  <si>
    <t>M1034B - BIS module, including engine and quad sensors. Installation included.  Module for use with MX series monitor with integrated module rack (MX500/550) or FMX (4 Slot)</t>
  </si>
  <si>
    <t>IntelliVue Docking Station</t>
  </si>
  <si>
    <t>Docking Station</t>
  </si>
  <si>
    <t>867043 - Intellivue Dock for use with Intellivue X3 - power and networking where required. Dock supplied with clamp for mounting.  Installation not applicable.</t>
  </si>
  <si>
    <t>IntelliVue EC10 Module</t>
  </si>
  <si>
    <t>Parameter Module, Anaesthesia Machine Interface</t>
  </si>
  <si>
    <t>865115 - Intellibridge EC10 module, driver to be confirmed. Installation not applicable</t>
  </si>
  <si>
    <t>IntelliVue EC5 Hardare Dongle</t>
  </si>
  <si>
    <t>Hardware Dongle, Anaesthesia Machine Interface</t>
  </si>
  <si>
    <t>865114 - Intellibridge EC5 dongle, driver to be confirmed. Installation not applicable.</t>
  </si>
  <si>
    <t>IntelliVue Microstream CO₂ Extension</t>
  </si>
  <si>
    <t>Parameter Module, CO₂</t>
  </si>
  <si>
    <t>867041 - Microstream Extension &gt;&gt; B06 Dual Invasive pressure, Temperature. Mounting and installation not applicable.</t>
  </si>
  <si>
    <t>IntelliVue MX450</t>
  </si>
  <si>
    <t>Host Patient Monitor</t>
  </si>
  <si>
    <t>Intellivue MX450 - 12 inch screen. 866062 A06_6 waves, H12_Intensive Care Software, E22_Quick Release Mount, E24_Lithium Ion Battery.  Wall Mounting - 989806101902 - VHM-PL Kit MX450/550; 989804305048 - Dual Cable Hook; 989806101906 - 9"/ cm Down Post; 989804304969 - Wall Channel POLYMOUNT 19" Seismic; M8040a/A02 - fixed clamp mount.  Intellivue X3 as companion costed separately.  Accessory Kit costed separately.</t>
  </si>
  <si>
    <t>IntelliVue MX500</t>
  </si>
  <si>
    <t>Intellivue MX500 - 12 inch screen, 3 slot integrated module rack. 866062 A06_6 waves, H12_Intensive Care Software, E22_Quick Release Mount, E24_Lithium Ion Battery, J125_Replica Display.  Wall Mounting &gt;&gt; 989806101902 - VHM-PL Kit MX450/550; 989804305048 - Dual Cable Hook; 989806101906 - 9"/ cm Down Post; 989804304969 - Wall Channel POLYMOUNT 19" Seismic; M8040a/A02 - fixed clamp mount.  Intellivue X3 as companion costed separately.  Accessory Kit costed separately.</t>
  </si>
  <si>
    <t>IntelliVue MX550</t>
  </si>
  <si>
    <t>Intellivue MX550 - 15 inch screen, 3 slot integrated module rack. 866062 A06_6 waves, H12_Intensive Care Software, E22_Quick Release Mount, E24_Lithium Ion Battery.  Wall Mounting - 989806101902 - VHM-PL Kit MX450/550; 989804305048 - Dual Cable Hook; 989806101906 - 9"/ cm Down Post; 989804304969 - Wall Channel POLYMOUNT 19" Seismic; M8040a/A02 - fixed clamp mount.  Intellivue X3 as companion costed separately.  Accessory Kit costed separately.</t>
  </si>
  <si>
    <t>IntelliVue MX750</t>
  </si>
  <si>
    <t>Intellivue MX750 - 19 inch screen. 866471 A08_8 waves, H12_Intensive Care Software; FMX 4 slot module rack 866468 -E20_Multimeasurement Module Mount. Wall Mounting &gt;&gt; 989806101905 - VHM-PL Kit for MX750, 989804305048 - Dual Cable Hook for VHM, 989804304969 - Wall Channel POLYMOUNT 19" Seismic. Intellivue X3 as companion costed separately.  Accessory Kit costed separately.</t>
  </si>
  <si>
    <t>IntelliVue NMT Module</t>
  </si>
  <si>
    <t>Parameter Module, NMT</t>
  </si>
  <si>
    <t>865383 - Intellivue NMT, includes patient cable. Mounting and installation not applicable.</t>
  </si>
  <si>
    <t>IntelliVue X3 (Philips FAST SpO₂)</t>
  </si>
  <si>
    <t>Transport Monitor</t>
  </si>
  <si>
    <t>Intellivue X3 &gt;&gt; 867030 A05_5 waves, H72_Critical Care Transport Software, B06_Dual Invasive Pressure and Temp, SP1_FAST SpO2, C12_12 Lead ECG, SC1_System Cable 0.75m, E31_Carry Handle.</t>
  </si>
  <si>
    <t>IntelliVue X3 (Philips FAST SpO₂), WIFI</t>
  </si>
  <si>
    <t>Intellivue X3 &gt;&gt; 867030 A05_5 waves, H72_Critical Care Transport Software, B06_Dual Invasive Pressure and Temp, SP1_FAST SpO2, C12_12 Lead ECG, SC1_System Cable 0.75m, E31_Carry Handle, J35_802.11 Wireless IF.</t>
  </si>
  <si>
    <t>IntelliVue X3 (Nellcor SpO₂)</t>
  </si>
  <si>
    <t>Intellivue X3 &gt;&gt; 867030 A05_5 waves, H72_Critical Care Transport Software, B06_Dual Invasive Pressure and Temp, SP6_Nellcor OxiMax SpO2, C12_12 Lead ECG, SC1_System Cable 0.75m, E31_Carry Handle. PLEASE NOTE: It is recommended the SpO2 socket be standardised across the hospital to enable Intellivue X3 movment between departments.  Existing Intellivue X3s at Footscray have FAST sockets. No SpO2 socket replacment pathway available.</t>
  </si>
  <si>
    <t>IntelliVue X3 (Nellcor  SpO₂), WIFI</t>
  </si>
  <si>
    <t>Intellivue X3 &gt;&gt; 867030 A05_5 waves, H72_Critical Care Transport Software, B06_Dual Invasive Pressure and Temp, SP6_Nellcor OxiMax SpO2, C12_12 Lead ECG, SC1_System Cable 0.75m, E31_Carry Handle, J35_802.11 Wireless IF. PLEASE NOTE: It is recommended the SpO2 socket be standardised across the hospital to enable Intellivue X3 movment between departments.  Existing Intellivue X3s at Footscray have FAST sockets. No SpO2 socket replacment pathway available.</t>
  </si>
  <si>
    <t>IntelliVue X3  transfer</t>
  </si>
  <si>
    <t>X3 upgrade to WIFI</t>
  </si>
  <si>
    <t>Intellivue X3 Hardware upgrade &gt;&gt; 867031 J35_802.11 Wireless IF</t>
  </si>
  <si>
    <t>MX40</t>
  </si>
  <si>
    <t>Telemetry</t>
  </si>
  <si>
    <t>PIC  iX PC Tower - Overview</t>
  </si>
  <si>
    <t>Central Station PC Tower - Overview</t>
  </si>
  <si>
    <t>Pricing is dependant on the number of licenses required per department, this will inform number of PCs and Displays - please see IRL BAFO tab</t>
  </si>
  <si>
    <t xml:space="preserve">PIC  iX PC Tower - Surveillance </t>
  </si>
  <si>
    <t>Central Station PC Tower - surveillance</t>
  </si>
  <si>
    <t xml:space="preserve">PICiX 4 - Surveillance License </t>
  </si>
  <si>
    <t>Central Station Software Licences</t>
  </si>
  <si>
    <t>Professional Services</t>
  </si>
  <si>
    <t>Patient Monitoring IT Network Design</t>
  </si>
  <si>
    <t>891038 - Philips Network Assessment P01_Wireless Assessment</t>
  </si>
  <si>
    <t>Video Over Cat 6 Solution</t>
  </si>
  <si>
    <t>Video over Cat 6 Solution</t>
  </si>
  <si>
    <t>Point to point Cabling, Power, mounting and displays to be provided by MPX. 2560 Multi-Video Solution for EFP PIC iX PC. (Technology Solutions products; check availability for your geography)Supported 1920x1080 and 2560x1440 display resolutions Client display up to 328 feet (100m) via Cat 6 UTP/STP cabling from the PIC iX PC. Each component must be powered via the provided 5V DC power adapter. 989803207311 2560 Multi-Video 4 PIC Mirror SenderIncludes: AC Cord, Power Supply, Mounting Ears+Screws x 1 per slave display; 989803207331 2560 Multi-Video PIC Mirror ReceiverIncludes: Power Cord, Power Supply, Mounting Ears+Screws x 1 per slave display</t>
  </si>
  <si>
    <t>IntelliVue CO/PiCCO Module</t>
  </si>
  <si>
    <t>Parameter Module, CO/PiCCO</t>
  </si>
  <si>
    <t>Intellivue Haemodynamic Extension - 867039 B10_Invasive Temp, Dual Invasive Pressure, CO/PiCCO.  Single Cardiac Output modules also available. Installation and Mounting not applicable.</t>
  </si>
  <si>
    <t>IntelliVue CL Charging Station</t>
  </si>
  <si>
    <t>Telemetry Battery Charging Station</t>
  </si>
  <si>
    <t>865220 Intellivue CL Charging station - 9 MX40 Li Ion battery slots.  Desk mounted. Installation not applicable.</t>
  </si>
  <si>
    <t xml:space="preserve">MX40 Wall Storage - 989604195551 </t>
  </si>
  <si>
    <t xml:space="preserve">MX40 Wall Storage </t>
  </si>
  <si>
    <t>MX40 Wall Storage - 989604195551 Wall storage bay for (8) Philips MX40; 989804304969 Wall Channel POLYMOUNT 19" Seismic</t>
  </si>
  <si>
    <r>
      <rPr>
        <b/>
        <sz val="11"/>
        <color theme="1"/>
        <rFont val="Calibri"/>
        <family val="2"/>
        <scheme val="minor"/>
      </rPr>
      <t>Duplicate - please see line 10 on this tab.</t>
    </r>
    <r>
      <rPr>
        <sz val="11"/>
        <color theme="1"/>
        <rFont val="Calibri"/>
        <family val="2"/>
        <scheme val="minor"/>
      </rPr>
      <t xml:space="preserve"> 867043 - Intellivue Dock for use with Intellivue X3 - power and networking where required. Dock supplied with clamp for mounting.  Installation not applicable.</t>
    </r>
  </si>
  <si>
    <t xml:space="preserve">FMX 4 slot module rack </t>
  </si>
  <si>
    <t>FLEXIBLE MODULE SERVER</t>
  </si>
  <si>
    <t>FMX 4 slot module rack 866468 -E20_Multimeasurement Module Mount. Max 2 x FMX racks per MX750.</t>
  </si>
  <si>
    <t>??</t>
  </si>
  <si>
    <t>wall mounted Central Station Display</t>
  </si>
  <si>
    <t>Mounting for single 866126 - 24" Touch Display.  989804304750 - Flush Tilt/Swivel Mount for Flat Panel, 989804304969 - Seismic PolyMount 19"/48.3cm Channel</t>
  </si>
  <si>
    <t>PHILIPS ADD - Accessory Kit - 12 LEAD Adult</t>
  </si>
  <si>
    <t>12 LEAD Adult</t>
  </si>
  <si>
    <t>Accessory Rate - includes installation. Kit - M1663A CBL 10 Lead ECG Trunk AAMI/IEC 2m; M1976A CBL 5 Leadset, Grabber,Chest; M1968A CBL 5 Leadset, Grabber, AAMI, ICU -Limb; 989803209771 Adult NIBP Air Hose 3.0m;  M4556B Easy Care Cuff, 1 Hose, Adult XL (1); M1191BL Reusable Adult SpO2 Sensor.</t>
  </si>
  <si>
    <t>PHILIPS ADD - Bariatric NBP Cuffs</t>
  </si>
  <si>
    <t> </t>
  </si>
  <si>
    <t xml:space="preserve"> M4558B Easy Care Cuff,1 Hose,Lrg Adult XL (1); M4559B Easy Care Cuff, 1 Hose, Thigh (1) </t>
  </si>
  <si>
    <t>PHILIPS ADD - Accessory Kit - 12 LEAD Paeds</t>
  </si>
  <si>
    <t>Accessory Rate - Kit - M1663A CBL 10 Lead ECG Trunk AAMI/IEC 2m; M1976A CBL 5 Leadset, Grabber,Chest; M1968A CBL 5 Leadset, Grabber, AAMI, ICU -Limb; 989803209771 Adult NIBP Air Hose 3.0m;  M4552B Easy Care Cuff, 1 Hose, Infant (1); M4553B Easy Care Cuff, 1 Hose, Pediatric (1); M4554B Easy Care Cuff, 1 Hose, Small Adult (1); M1191BL Reusable Adult SpO2 Sensor.</t>
  </si>
  <si>
    <t>PHILIPS ADD - Accessory Kit - Anaesthetics Adult</t>
  </si>
  <si>
    <t>Accessory Rate - includes installation. Kit -989803170181 CBL OR 5-Lead ECG Trunk Cable (orange), M1968A CBL 5 Leadset, Grabber, AAMI, ICU -Limb, 989803209771 Adult NIBP Air Hose 3.0m, M4556B Easy Care Cuff, 1 Hose, Adult XL (1), M1191BL Reusable Adult SpO2 Sensor.</t>
  </si>
  <si>
    <t>PHILIPS ADD - Enterprise Link (PICiX 4 Headless)</t>
  </si>
  <si>
    <t>Headless Central Monitoring</t>
  </si>
  <si>
    <t>Facilitates EMR integration for induction bay monitors and data from CT, SPECT, Fluro, Proc room MX500s.
PICiX 4 Enterprise Link - 866390 RV4 x 1, NL4 x 32, 12L x 32, PRO x 32, V1S x 32;  866424 HS1_PC Hardware with SSD, HPS_Lithium ion UPS; Installation</t>
  </si>
  <si>
    <t>Philips ADD - Network Requirements</t>
  </si>
  <si>
    <t>Virtual Servers</t>
  </si>
  <si>
    <t>866424 - HVM_Vmware Server x 5</t>
  </si>
  <si>
    <t>Philips ADD - Project Costs</t>
  </si>
  <si>
    <t>Project Costs</t>
  </si>
  <si>
    <t>Bank Gurantee. Insurance</t>
  </si>
  <si>
    <t>Philips ADD - FlexCredit - Silver Package</t>
  </si>
  <si>
    <t>Additional Clinical Education</t>
  </si>
  <si>
    <t>Silver Package - 3 year cover. Additional to installation and Go Live support. Online learning subscription for 3 years, 50 hours of onsite clinical support, one consultation and planning meeting per year, annual clinical training day per year.  Suggest package be applied to a single department eg CCU.</t>
  </si>
  <si>
    <t>Philips ADD - Technical Training</t>
  </si>
  <si>
    <t>Technical Training</t>
  </si>
  <si>
    <t>Intellivue and PICiX Technical Training - 5 day course for upto 6  biomedical engineers.  Onsite at Western Health.</t>
  </si>
  <si>
    <t>Philips ADD - Project Management</t>
  </si>
  <si>
    <t>Project Management</t>
  </si>
  <si>
    <t>891073 Project Management Services</t>
  </si>
  <si>
    <t>Philips ADD - Out of Hours labour Costs - weekend/public holiday</t>
  </si>
  <si>
    <t xml:space="preserve"> Cost per Hour.  Undertaking work outside business hours will be at Philips discretion</t>
  </si>
  <si>
    <t xml:space="preserve"> </t>
  </si>
  <si>
    <t>Sub Total</t>
  </si>
  <si>
    <t>Equipment Category</t>
  </si>
  <si>
    <t>Qty Required</t>
  </si>
  <si>
    <t>New Model</t>
  </si>
  <si>
    <t>Mounting Rate</t>
  </si>
  <si>
    <t>Accessory Rate</t>
  </si>
  <si>
    <t>Extended Price</t>
  </si>
  <si>
    <r>
      <t xml:space="preserve">configuration - 
</t>
    </r>
    <r>
      <rPr>
        <sz val="11"/>
        <color rgb="FFFFFFFF"/>
        <rFont val="Calibri"/>
        <family val="2"/>
      </rPr>
      <t>•</t>
    </r>
    <r>
      <rPr>
        <sz val="11"/>
        <color rgb="FFFFFFFF"/>
        <rFont val="Arial Narrow"/>
        <family val="2"/>
      </rPr>
      <t xml:space="preserve"> Compact
</t>
    </r>
    <r>
      <rPr>
        <sz val="11"/>
        <color rgb="FFFFFFFF"/>
        <rFont val="Calibri"/>
        <family val="2"/>
      </rPr>
      <t>•</t>
    </r>
    <r>
      <rPr>
        <sz val="11"/>
        <color rgb="FFFFFFFF"/>
        <rFont val="Arial Narrow"/>
        <family val="2"/>
      </rPr>
      <t xml:space="preserve"> Compact &amp; medium screen
</t>
    </r>
    <r>
      <rPr>
        <sz val="11"/>
        <color rgb="FFFFFFFF"/>
        <rFont val="Calibri"/>
        <family val="2"/>
      </rPr>
      <t>•</t>
    </r>
    <r>
      <rPr>
        <sz val="11"/>
        <color rgb="FFFFFFFF"/>
        <rFont val="Arial Narrow"/>
        <family val="2"/>
      </rPr>
      <t xml:space="preserve"> Compact &amp; large screen</t>
    </r>
  </si>
  <si>
    <t>Central Station Monitoring</t>
  </si>
  <si>
    <t>Central Station  - Slave Display</t>
  </si>
  <si>
    <t>Medium Acuity Monitoring</t>
  </si>
  <si>
    <t xml:space="preserve">Intellivue MX450 Software upgrade to latest revision - 866362 SUP Software Upgrade to REV P </t>
  </si>
  <si>
    <t>Temp004</t>
  </si>
  <si>
    <t xml:space="preserve">Telemetry Wall Storage </t>
  </si>
  <si>
    <t xml:space="preserve">Central Station - Surveillance </t>
  </si>
  <si>
    <t>004862</t>
  </si>
  <si>
    <t>006470</t>
  </si>
  <si>
    <t>006480</t>
  </si>
  <si>
    <t>006465</t>
  </si>
  <si>
    <t>006471</t>
  </si>
  <si>
    <t>006468</t>
  </si>
  <si>
    <t>006477</t>
  </si>
  <si>
    <t>006478</t>
  </si>
  <si>
    <t>006474</t>
  </si>
  <si>
    <t>006476</t>
  </si>
  <si>
    <t>006479</t>
  </si>
  <si>
    <t>006475</t>
  </si>
  <si>
    <t>006472</t>
  </si>
  <si>
    <t>006469</t>
  </si>
  <si>
    <t>006473</t>
  </si>
  <si>
    <t>006467</t>
  </si>
  <si>
    <t>temp010</t>
  </si>
  <si>
    <t>004821</t>
  </si>
  <si>
    <t>004822</t>
  </si>
  <si>
    <t>004823</t>
  </si>
  <si>
    <t>004824</t>
  </si>
  <si>
    <t>004825</t>
  </si>
  <si>
    <t>004826</t>
  </si>
  <si>
    <t>temp011</t>
  </si>
  <si>
    <t>temp012</t>
  </si>
  <si>
    <t>temp013</t>
  </si>
  <si>
    <t>Intellivue MX450 Software upgrade to latest revision - 866362 SUP_Software Upgrade to REV P, J15_Replica Display.</t>
  </si>
  <si>
    <t>Mounting for standalone Intellivue X3 &gt;&gt; 989806102550 - VHM-25 for Philips X3; 989806102550 - VHM-25 for Philips X3; 989804304969 - Seismic PolyMount 19"/48.3cm Channel. 
Accessory Rate - includes installation. Kit - M1663A CBL 10 Lead ECG Trunk AAMI/IEC 2m; M1976A CBL 5 Leadset, Grabber,Chest; M1968A CBL 5 Leadset, Grabber, AAMI, ICU -Limb; 989803209771 Adult NIBP Air Hose 3.0m;  M4556B Easy Care Cuff, 1 Hose, Adult XL (1); M1191BL Reusable Adult SpO2 Sensor.</t>
  </si>
  <si>
    <t>Intellivue MX500 - 12 inch screen, 3 slot integrated module rack. 866062 A06_6 waves, H12_Intensive Care Software, E22_Quick Release Mount, E24_Lithium Ion Battery.
Accessory Rate - includes installation. Kit - M1663A CBL 10 Lead ECG Trunk AAMI/IEC 2m; M1976A CBL 5 Leadset, Grabber,Chest; M1968A CBL 5 Leadset, Grabber, AAMI, ICU -Limb; 989803209771 Adult NIBP Air Hose 3.0m;  M4556B Easy Care Cuff, 1 Hose, Adult XL (1); M1191BL Reusable Adult SpO2 Sensor.</t>
  </si>
  <si>
    <t>Central Station - Overview</t>
  </si>
  <si>
    <t>Underbench Mounted</t>
  </si>
  <si>
    <t>PICiX 4 Surveillance 866390 -RV4 x 1, NEW x 1, NTP x 24, 12L x 24, PRO x 24, VIS x 24; PICiX 4 EFP PC x 1 - 866424  HS1_PC with SSD, HPS_Lithium Ion UPS; 866126 24"Display x 1; Installation</t>
  </si>
  <si>
    <t>PICiX 4 Surveillance 866390 -RV4 x 1, NEW x 1, NTP x 26, 12L x 26, PRO x 26, VIS x 26; PICiX 4 EFP PC x 1 - 866424  HS1_PC with SSD, HPS_Lithium Ion UPS; Installation</t>
  </si>
  <si>
    <t xml:space="preserve"> Added Mounting via 867043 - Intellivue Dock for use with Intellivue X3 - power and networking where required. Dock supplied with clamp for mounting. </t>
  </si>
  <si>
    <t xml:space="preserve"> Added Mounting via 867043 - Intellivue Dock for use with Intellivue X3 - power and networking where required. Dock supplied with clamp for mounting. 
</t>
  </si>
  <si>
    <t>005036</t>
  </si>
  <si>
    <t xml:space="preserve"> Added Mounting via 867043 - Intellivue Dock for use with Intellivue X3 - power and networking where required. Dock supplied with clamp for mounting. 
Accessory Rate includes Installation only</t>
  </si>
  <si>
    <t>005037</t>
  </si>
  <si>
    <t>005038</t>
  </si>
  <si>
    <t>005039</t>
  </si>
  <si>
    <t>High Acuity Monitoring</t>
  </si>
  <si>
    <t>Pendant Mounted</t>
  </si>
  <si>
    <t>005021</t>
  </si>
  <si>
    <t>005022</t>
  </si>
  <si>
    <t>005041</t>
  </si>
  <si>
    <t>005042</t>
  </si>
  <si>
    <t>005043</t>
  </si>
  <si>
    <t>005044</t>
  </si>
  <si>
    <t>005045</t>
  </si>
  <si>
    <t>005046</t>
  </si>
  <si>
    <t>005097</t>
  </si>
  <si>
    <t>005048</t>
  </si>
  <si>
    <t>005049</t>
  </si>
  <si>
    <t>005050</t>
  </si>
  <si>
    <t>005051</t>
  </si>
  <si>
    <t>005809</t>
  </si>
  <si>
    <t>005810</t>
  </si>
  <si>
    <t>005811</t>
  </si>
  <si>
    <t>005812</t>
  </si>
  <si>
    <t>005813</t>
  </si>
  <si>
    <t>MODULE, DEVICE DRIVER</t>
  </si>
  <si>
    <t>Module</t>
  </si>
  <si>
    <t>005665</t>
  </si>
  <si>
    <t>005666</t>
  </si>
  <si>
    <t>005668</t>
  </si>
  <si>
    <t>005667</t>
  </si>
  <si>
    <t>005670</t>
  </si>
  <si>
    <t>005669</t>
  </si>
  <si>
    <t>005671</t>
  </si>
  <si>
    <t>005700</t>
  </si>
  <si>
    <t>005699</t>
  </si>
  <si>
    <t>005681</t>
  </si>
  <si>
    <t>005682</t>
  </si>
  <si>
    <t>005684</t>
  </si>
  <si>
    <t>005683</t>
  </si>
  <si>
    <t>005663</t>
  </si>
  <si>
    <t>MODULE, INTERFACE</t>
  </si>
  <si>
    <t>005689</t>
  </si>
  <si>
    <t>005694</t>
  </si>
  <si>
    <t>005688</t>
  </si>
  <si>
    <t>005691</t>
  </si>
  <si>
    <t>005687</t>
  </si>
  <si>
    <t>005690</t>
  </si>
  <si>
    <t>005686</t>
  </si>
  <si>
    <t>005696</t>
  </si>
  <si>
    <t>005695</t>
  </si>
  <si>
    <t>005698</t>
  </si>
  <si>
    <t>005693</t>
  </si>
  <si>
    <t>005685</t>
  </si>
  <si>
    <t>005692</t>
  </si>
  <si>
    <t>Parameter Module, CCO/CO</t>
  </si>
  <si>
    <t>006404</t>
  </si>
  <si>
    <t>000220</t>
  </si>
  <si>
    <t>000217</t>
  </si>
  <si>
    <t>000222</t>
  </si>
  <si>
    <t>000289</t>
  </si>
  <si>
    <t>000224</t>
  </si>
  <si>
    <t>000219</t>
  </si>
  <si>
    <t>004837</t>
  </si>
  <si>
    <t>006037</t>
  </si>
  <si>
    <t>006038</t>
  </si>
  <si>
    <t>006101</t>
  </si>
  <si>
    <t>006103</t>
  </si>
  <si>
    <t>006104</t>
  </si>
  <si>
    <t>006106</t>
  </si>
  <si>
    <t>006116</t>
  </si>
  <si>
    <t>006117</t>
  </si>
  <si>
    <t>006118</t>
  </si>
  <si>
    <t>006119</t>
  </si>
  <si>
    <t>006120</t>
  </si>
  <si>
    <t>006515</t>
  </si>
  <si>
    <t>006537</t>
  </si>
  <si>
    <t>006540</t>
  </si>
  <si>
    <t>5233</t>
  </si>
  <si>
    <t>5263</t>
  </si>
  <si>
    <t>5264</t>
  </si>
  <si>
    <t>5265</t>
  </si>
  <si>
    <t>5266</t>
  </si>
  <si>
    <t>5267</t>
  </si>
  <si>
    <t>Temp003</t>
  </si>
  <si>
    <t>006107</t>
  </si>
  <si>
    <t>Transfer Items</t>
  </si>
  <si>
    <t>006108</t>
  </si>
  <si>
    <t>Temp006</t>
  </si>
  <si>
    <t>Temp007</t>
  </si>
  <si>
    <t>temp 006</t>
  </si>
  <si>
    <t>006105</t>
  </si>
  <si>
    <t>005381</t>
  </si>
  <si>
    <t>005383</t>
  </si>
  <si>
    <t>005382</t>
  </si>
  <si>
    <t>Temp008</t>
  </si>
  <si>
    <t>Temp009</t>
  </si>
  <si>
    <t>Low Acuity Monitoring</t>
  </si>
  <si>
    <t>Roll Stand - 989803209441 - GCX roll stand. Accessory Rate - includes installation. Kit - M1663A CBL 10 Lead ECG Trunk AAMI/IEC 2m; M1976A CBL 5 Leadset, Grabber,Chest; M1968A CBL 5 Leadset, Grabber, AAMI, ICU -Limb; 989803209771 Adult NIBP Air Hose 3.0m;  M4556B Easy Care Cuff, 1 Hose, Adult XL (1); M1191BL Reusable Adult SpO2 Sensor.</t>
  </si>
  <si>
    <t>MRI</t>
  </si>
  <si>
    <t>NA</t>
  </si>
  <si>
    <t>Not supplied by Philips Healthcare.  Please contact Imaging Solutions</t>
  </si>
  <si>
    <t>Accessory Rate - Includes installation. Accessories - 989803171831 CBL ECG 5 lead Grabber, AAMI, Telemetry; 989803176201 MX40 Lithium ion battery pkg 1 &gt;&gt; Lithium Ion battery mandetory for 865352 MX40. Recommend 2 batteries per device to ensure continuous workflow.</t>
  </si>
  <si>
    <t>003077</t>
  </si>
  <si>
    <t>003028</t>
  </si>
  <si>
    <t>MP30 out of support. Intellivue MX500 scoped to replace. Accessory Rate - includes installation. Kit - M1663A CBL 10 Lead ECG Trunk AAMI/IEC 2m; M1976A CBL 5 Leadset, Grabber,Chest; M1968A CBL 5 Leadset, Grabber, AAMI, ICU -Limb; 989803209771 Adult NIBP Air Hose 3.0m;  M4556B Easy Care Cuff, 1 Hose, Adult XL (1); M1191BL Reusable Adult SpO2 Sensor.</t>
  </si>
  <si>
    <t>Intellivue MX750 - 19 inch screen. 866471 A08_8 waves, H12_Intensive Care Software, J15_Replica Display; FMX 4 slot module rack 866468 -E20_Multimeasurement Module Mount. 
Accessory Rate - includes installation. Kit - M1663A CBL 10 Lead ECG Trunk AAMI/IEC 2m; M1976A CBL 5 Leadset, Grabber,Chest; M1968A CBL 5 Leadset, Grabber, AAMI, ICU -Limb; 989803209771 Adult NIBP Air Hose 3.0m;  M4556B Easy Care Cuff, 1 Hose, Adult XL (1); M1191BL Reusable Adult SpO2 Sensor.</t>
  </si>
  <si>
    <t>Intellivue MX750 Software upgrade to latest revision. 866474 SUP_Upgrade to SW</t>
  </si>
  <si>
    <t>005803</t>
  </si>
  <si>
    <t>005804</t>
  </si>
  <si>
    <t>005805</t>
  </si>
  <si>
    <t>005806</t>
  </si>
  <si>
    <t>005807</t>
  </si>
  <si>
    <t>005808</t>
  </si>
  <si>
    <t>Docked to Host Monitor</t>
  </si>
  <si>
    <t>003380</t>
  </si>
  <si>
    <t>Accessory Rate - installation only</t>
  </si>
  <si>
    <t>003002</t>
  </si>
  <si>
    <t>001075</t>
  </si>
  <si>
    <t>Temp005</t>
  </si>
  <si>
    <t>003075</t>
  </si>
  <si>
    <t>001004</t>
  </si>
  <si>
    <t>003023</t>
  </si>
  <si>
    <t>006522</t>
  </si>
  <si>
    <t>004877</t>
  </si>
  <si>
    <t>004830</t>
  </si>
  <si>
    <t>temp014</t>
  </si>
  <si>
    <t>004863</t>
  </si>
  <si>
    <t>004827</t>
  </si>
  <si>
    <t>004733</t>
  </si>
  <si>
    <t>006529</t>
  </si>
  <si>
    <t>006530</t>
  </si>
  <si>
    <t>006524</t>
  </si>
  <si>
    <t>006523</t>
  </si>
  <si>
    <t>005374</t>
  </si>
  <si>
    <t>6441</t>
  </si>
  <si>
    <t>6442</t>
  </si>
  <si>
    <t>6443</t>
  </si>
  <si>
    <t>6444</t>
  </si>
  <si>
    <t>6445</t>
  </si>
  <si>
    <t>6446</t>
  </si>
  <si>
    <t>6447</t>
  </si>
  <si>
    <t>6448</t>
  </si>
  <si>
    <t>6449</t>
  </si>
  <si>
    <t>6450</t>
  </si>
  <si>
    <t>6451</t>
  </si>
  <si>
    <t>6452</t>
  </si>
  <si>
    <t>6453</t>
  </si>
  <si>
    <t>6454</t>
  </si>
  <si>
    <t>6455</t>
  </si>
  <si>
    <t>001076</t>
  </si>
  <si>
    <t>003375</t>
  </si>
  <si>
    <t>005040</t>
  </si>
  <si>
    <t>005026</t>
  </si>
  <si>
    <t>005025</t>
  </si>
  <si>
    <t>005005</t>
  </si>
  <si>
    <t>005067</t>
  </si>
  <si>
    <t>004878</t>
  </si>
  <si>
    <t>004874</t>
  </si>
  <si>
    <t>006115</t>
  </si>
  <si>
    <t>006114</t>
  </si>
  <si>
    <t>006113</t>
  </si>
  <si>
    <t>005822</t>
  </si>
  <si>
    <t>005815</t>
  </si>
  <si>
    <t>005035</t>
  </si>
  <si>
    <t>005816</t>
  </si>
  <si>
    <t>005818</t>
  </si>
  <si>
    <t>005821</t>
  </si>
  <si>
    <t>004829</t>
  </si>
  <si>
    <t>004832</t>
  </si>
  <si>
    <t>004833</t>
  </si>
  <si>
    <t>004835</t>
  </si>
  <si>
    <t>004836</t>
  </si>
  <si>
    <t>004799</t>
  </si>
  <si>
    <t>Temp002</t>
  </si>
  <si>
    <t>004734</t>
  </si>
  <si>
    <t>005027</t>
  </si>
  <si>
    <t>005028</t>
  </si>
  <si>
    <t>005029</t>
  </si>
  <si>
    <t>005030</t>
  </si>
  <si>
    <t>005031</t>
  </si>
  <si>
    <t>005032</t>
  </si>
  <si>
    <t>005033</t>
  </si>
  <si>
    <t>005034</t>
  </si>
  <si>
    <t>001879</t>
  </si>
  <si>
    <t>001880</t>
  </si>
  <si>
    <t>Temp001</t>
  </si>
  <si>
    <t>001878</t>
  </si>
  <si>
    <t xml:space="preserve">Needs to be a large screen that takes a video feed from the patient monitor.  </t>
  </si>
  <si>
    <t>Intellivue AD75</t>
  </si>
  <si>
    <r>
      <t xml:space="preserve">Point to point cabling, power, ceiling mounting and display to be provided by MPX.  </t>
    </r>
    <r>
      <rPr>
        <sz val="11"/>
        <color rgb="FF00B050"/>
        <rFont val="Calibri"/>
        <family val="2"/>
        <scheme val="minor"/>
      </rPr>
      <t xml:space="preserve">As per MPX-RFI-036658 communication 867130 - AD75 Active Display &gt;&gt; interactive secondary display, </t>
    </r>
    <r>
      <rPr>
        <b/>
        <u/>
        <sz val="11"/>
        <color rgb="FF00B050"/>
        <rFont val="Calibri"/>
        <family val="2"/>
        <scheme val="minor"/>
      </rPr>
      <t>wall mounted to allow clinical staff interaction</t>
    </r>
    <r>
      <rPr>
        <sz val="11"/>
        <color rgb="FF00B050"/>
        <rFont val="Calibri"/>
        <family val="2"/>
        <scheme val="minor"/>
      </rPr>
      <t>.  This can occur independantly of the primary MX750.  Accessory rate includes installation only. Wall Mounting &gt;&gt; 989806101905 - VHM-PL Kit for MX750, 989804304969 - Wall Channel POLYMOUNT 19" Seismic.</t>
    </r>
  </si>
  <si>
    <t>Ceiling Mounted</t>
  </si>
  <si>
    <t>PHILIPS ADD</t>
  </si>
  <si>
    <t>Patient Network Design</t>
  </si>
  <si>
    <t>891038 - Philips Network Assessment P01_Wireless Assessment, includes wired assessment</t>
  </si>
  <si>
    <t>Enterprise Link</t>
  </si>
  <si>
    <t>Network Requirments</t>
  </si>
  <si>
    <t>Included Silver Package x 2 - 3 year cover. Additional to installation and Go Live support. Online learning subscription for 3 years, 50 hours of onsite clinical support, one consultation and planning meeting per year, annual clinical training day per year.  Suggest package be applied to a single department eg CCU and Perioperative Services</t>
  </si>
  <si>
    <t>Included Intellivue and PICiX Technical Training - 5 day course for upto 6  biomedical engineers x 2 courses. Onsite at Western Health.</t>
  </si>
  <si>
    <t>Project Management Services x 10 days</t>
  </si>
  <si>
    <t>Intellibridge Enterprise</t>
  </si>
  <si>
    <t>Central Monitoring - Locations</t>
  </si>
  <si>
    <t>Central Station Location</t>
  </si>
  <si>
    <t>Sub Department</t>
  </si>
  <si>
    <t>Location of Central Station</t>
  </si>
  <si>
    <t>Room Number</t>
  </si>
  <si>
    <t>Room Name</t>
  </si>
  <si>
    <t>CLINICAL SUPPORT AREA</t>
  </si>
  <si>
    <t xml:space="preserve">Surveillance </t>
  </si>
  <si>
    <t xml:space="preserve">REMOTE CENTRAL LOCATIONS </t>
  </si>
  <si>
    <t>Overview</t>
  </si>
  <si>
    <t>Slave - wall Mounted ( mirror 07.b.118 )</t>
  </si>
  <si>
    <t xml:space="preserve">Slave - wall Mounted ( mirror 07.b.167 ) </t>
  </si>
  <si>
    <t>MONITORED AREAS</t>
  </si>
  <si>
    <t>RESUSCITATION ZONE</t>
  </si>
  <si>
    <t>FAST TRACK ZONE</t>
  </si>
  <si>
    <t>ACUTE ASSESSMENT &amp; TREATMENT ZONE</t>
  </si>
  <si>
    <t>Triage ZONE</t>
  </si>
  <si>
    <t>EMERGENCY OBSERVATION UNIT</t>
  </si>
  <si>
    <t>PATIENT CARE AREA</t>
  </si>
  <si>
    <t>OverView</t>
  </si>
  <si>
    <t>PACU</t>
  </si>
  <si>
    <t>SDSU</t>
  </si>
  <si>
    <t>SDSU SUPPORT AREAS</t>
  </si>
  <si>
    <t>CLINICAL SUPPORT</t>
  </si>
  <si>
    <r>
      <t xml:space="preserve">This location would also like to see  </t>
    </r>
    <r>
      <rPr>
        <b/>
        <sz val="11"/>
        <color theme="1"/>
        <rFont val="Arial"/>
        <family val="2"/>
      </rPr>
      <t>all Beds In PSP</t>
    </r>
  </si>
  <si>
    <t>Slave Displays</t>
  </si>
  <si>
    <t>OPERATING/INTERVENTIONAL/PROCEDURE ZONE</t>
  </si>
  <si>
    <t>Audit Barcode</t>
  </si>
  <si>
    <t>Asset_no</t>
  </si>
  <si>
    <t>Make</t>
  </si>
  <si>
    <t>Name</t>
  </si>
  <si>
    <t>Description</t>
  </si>
  <si>
    <t>Serial</t>
  </si>
  <si>
    <t>Location</t>
  </si>
  <si>
    <t>Asset_sub_system_code</t>
  </si>
  <si>
    <t>Purchase date</t>
  </si>
  <si>
    <t>Warranty period</t>
  </si>
  <si>
    <t>Floor</t>
  </si>
  <si>
    <t>Installation_date</t>
  </si>
  <si>
    <t>Working life</t>
  </si>
  <si>
    <t>Alteration_date_time</t>
  </si>
  <si>
    <t>Check For Transfer</t>
  </si>
  <si>
    <t>WH199009</t>
  </si>
  <si>
    <t>PHILIPS MEDICAL SYSTEMS AUSTRA</t>
  </si>
  <si>
    <t>865115</t>
  </si>
  <si>
    <t>Intellibridge EC10</t>
  </si>
  <si>
    <t>DE73785558</t>
  </si>
  <si>
    <t>1</t>
  </si>
  <si>
    <t>WH199011</t>
  </si>
  <si>
    <t>DE73785516</t>
  </si>
  <si>
    <t>WH199013</t>
  </si>
  <si>
    <t>DE73785561</t>
  </si>
  <si>
    <t>WH199017</t>
  </si>
  <si>
    <t>DE73785592</t>
  </si>
  <si>
    <t>WH199019</t>
  </si>
  <si>
    <t>DE73785560</t>
  </si>
  <si>
    <t>WH199020</t>
  </si>
  <si>
    <t>DE73785595</t>
  </si>
  <si>
    <t>WH199022</t>
  </si>
  <si>
    <t>DE73785554</t>
  </si>
  <si>
    <t>WH199023</t>
  </si>
  <si>
    <t>DE73785536</t>
  </si>
  <si>
    <t>WH199024</t>
  </si>
  <si>
    <t>DE73785587</t>
  </si>
  <si>
    <t>WH199026</t>
  </si>
  <si>
    <t>DE73785523</t>
  </si>
  <si>
    <t>WH199030</t>
  </si>
  <si>
    <t>DE73785556</t>
  </si>
  <si>
    <t>WH199037</t>
  </si>
  <si>
    <t>DE73785562</t>
  </si>
  <si>
    <t>WH199038</t>
  </si>
  <si>
    <t>DE73785557</t>
  </si>
  <si>
    <t>WH162542</t>
  </si>
  <si>
    <t>865220</t>
  </si>
  <si>
    <t>Mx40 IntelliVue Battery Charging Station</t>
  </si>
  <si>
    <t>DOCKING STATION, BATTERY, TELEMETRY</t>
  </si>
  <si>
    <t>DE66812747</t>
  </si>
  <si>
    <t>CCU FH</t>
  </si>
  <si>
    <t>MEPOWERSUPPLY</t>
  </si>
  <si>
    <t>2</t>
  </si>
  <si>
    <t>WH162543</t>
  </si>
  <si>
    <t>DE66812766</t>
  </si>
  <si>
    <t>WH162552</t>
  </si>
  <si>
    <t>DE66812739</t>
  </si>
  <si>
    <t>WH162553</t>
  </si>
  <si>
    <t>DE66812755</t>
  </si>
  <si>
    <t>WH131704</t>
  </si>
  <si>
    <t>865240</t>
  </si>
  <si>
    <t>IntelliVue MX800</t>
  </si>
  <si>
    <t>MONITORING SYSTEMS, PHYSIOLOGIC</t>
  </si>
  <si>
    <t>Resus ED FH</t>
  </si>
  <si>
    <t>G</t>
  </si>
  <si>
    <t>WH131705</t>
  </si>
  <si>
    <t>WH131706</t>
  </si>
  <si>
    <t>WH162548</t>
  </si>
  <si>
    <t>865346 WMTS AP CONTROLLER</t>
  </si>
  <si>
    <t>Intellivue Smart-Hopping APC</t>
  </si>
  <si>
    <t>CONTROLLER, ACCESS POINT</t>
  </si>
  <si>
    <t>SG71511220</t>
  </si>
  <si>
    <t>ICT.06</t>
  </si>
  <si>
    <t>WH131359</t>
  </si>
  <si>
    <t>866062</t>
  </si>
  <si>
    <t>IntelliVue MX450</t>
  </si>
  <si>
    <t>WH131724</t>
  </si>
  <si>
    <t>MEMONITOR</t>
  </si>
  <si>
    <t>WH131725</t>
  </si>
  <si>
    <t>WH131726</t>
  </si>
  <si>
    <t>DE35157530</t>
  </si>
  <si>
    <t>WH131727</t>
  </si>
  <si>
    <t>WH131728</t>
  </si>
  <si>
    <t>WH131729</t>
  </si>
  <si>
    <t>WH161221</t>
  </si>
  <si>
    <t>DE671L0248</t>
  </si>
  <si>
    <t>ICU FH</t>
  </si>
  <si>
    <t>MECOVID19</t>
  </si>
  <si>
    <t>WH161222</t>
  </si>
  <si>
    <t>DE671K9625</t>
  </si>
  <si>
    <t>FH Plant room</t>
  </si>
  <si>
    <t>WH161223</t>
  </si>
  <si>
    <t>DE671K9649</t>
  </si>
  <si>
    <t xml:space="preserve">FH ED </t>
  </si>
  <si>
    <t>WH161224</t>
  </si>
  <si>
    <t>DE671K9663</t>
  </si>
  <si>
    <t>WH161225</t>
  </si>
  <si>
    <t>DE671K9664</t>
  </si>
  <si>
    <t>WH161226</t>
  </si>
  <si>
    <t>DE671K9644</t>
  </si>
  <si>
    <t>FH ED</t>
  </si>
  <si>
    <t>WH162508</t>
  </si>
  <si>
    <t>WH178771</t>
  </si>
  <si>
    <t>DE671K6651</t>
  </si>
  <si>
    <t>ED FH</t>
  </si>
  <si>
    <t>WH178772</t>
  </si>
  <si>
    <t>DE671K6696</t>
  </si>
  <si>
    <t>WH178775</t>
  </si>
  <si>
    <t>DE671K6647</t>
  </si>
  <si>
    <t>EOU - Cubicle 2</t>
  </si>
  <si>
    <t>WH178777</t>
  </si>
  <si>
    <t>DE671K6648</t>
  </si>
  <si>
    <t>WH179094</t>
  </si>
  <si>
    <t>DE671T8569</t>
  </si>
  <si>
    <t>WH179095</t>
  </si>
  <si>
    <t>DE671T8592</t>
  </si>
  <si>
    <t>WH179126</t>
  </si>
  <si>
    <t>DE671T8572</t>
  </si>
  <si>
    <t>WH185068</t>
  </si>
  <si>
    <t>DE671K6571</t>
  </si>
  <si>
    <t>ED - SSU - 3A - FH</t>
  </si>
  <si>
    <t>WH185071</t>
  </si>
  <si>
    <t>DE671K6556</t>
  </si>
  <si>
    <t>WH185072</t>
  </si>
  <si>
    <t>DE671K6586</t>
  </si>
  <si>
    <t>ED - FH</t>
  </si>
  <si>
    <t>WH185074</t>
  </si>
  <si>
    <t>DE671K6535</t>
  </si>
  <si>
    <t>Emergency FH Covid stock</t>
  </si>
  <si>
    <t>WH185076</t>
  </si>
  <si>
    <t>DE671K6557</t>
  </si>
  <si>
    <t>WH185077</t>
  </si>
  <si>
    <t>DE671K6546</t>
  </si>
  <si>
    <t>3A - FH</t>
  </si>
  <si>
    <t>WH185080</t>
  </si>
  <si>
    <t>DE671K6566</t>
  </si>
  <si>
    <t>WH185081</t>
  </si>
  <si>
    <t>DE671K6553</t>
  </si>
  <si>
    <t>Ward 3A - FH</t>
  </si>
  <si>
    <t>WH185083</t>
  </si>
  <si>
    <t>DE671K6583</t>
  </si>
  <si>
    <t>WH185084</t>
  </si>
  <si>
    <t>DE671K6561</t>
  </si>
  <si>
    <t>WH185469</t>
  </si>
  <si>
    <t>DE758Y7136</t>
  </si>
  <si>
    <t>WH214234</t>
  </si>
  <si>
    <t>DE671L7234</t>
  </si>
  <si>
    <t>WH214235</t>
  </si>
  <si>
    <t>DE671L7211</t>
  </si>
  <si>
    <t>WH214236</t>
  </si>
  <si>
    <t>DE671L3261</t>
  </si>
  <si>
    <t>WH214237</t>
  </si>
  <si>
    <t>DE671L7244</t>
  </si>
  <si>
    <t>WH214238</t>
  </si>
  <si>
    <t>DE671L7206</t>
  </si>
  <si>
    <t>WH214239</t>
  </si>
  <si>
    <t>DE671L3239</t>
  </si>
  <si>
    <t>WH214240</t>
  </si>
  <si>
    <t>DE671L7304</t>
  </si>
  <si>
    <t>WH214241</t>
  </si>
  <si>
    <t>DE671L7237</t>
  </si>
  <si>
    <t>WH214242</t>
  </si>
  <si>
    <t>DE671L7262</t>
  </si>
  <si>
    <t>WH214243</t>
  </si>
  <si>
    <t>DE671L7221</t>
  </si>
  <si>
    <t>WH214244</t>
  </si>
  <si>
    <t>DE671L7309</t>
  </si>
  <si>
    <t>WH214245</t>
  </si>
  <si>
    <t>DE671L7229</t>
  </si>
  <si>
    <t>WH214246</t>
  </si>
  <si>
    <t>DE671L7204</t>
  </si>
  <si>
    <t>WH214247</t>
  </si>
  <si>
    <t>DE671L7208</t>
  </si>
  <si>
    <t>WH214248</t>
  </si>
  <si>
    <t>DE671L7213</t>
  </si>
  <si>
    <t>WH162502</t>
  </si>
  <si>
    <t>866064</t>
  </si>
  <si>
    <t>IntelliVue MX500</t>
  </si>
  <si>
    <t>WH162503</t>
  </si>
  <si>
    <t>WH162504</t>
  </si>
  <si>
    <t>DE671F0905</t>
  </si>
  <si>
    <t>WH162505</t>
  </si>
  <si>
    <t>WH162506</t>
  </si>
  <si>
    <t>WH162507</t>
  </si>
  <si>
    <t>003048</t>
  </si>
  <si>
    <t>WH162518</t>
  </si>
  <si>
    <t>866126</t>
  </si>
  <si>
    <t>MONITORS, CENTRAL STATION</t>
  </si>
  <si>
    <t>K18C007286</t>
  </si>
  <si>
    <t>003047</t>
  </si>
  <si>
    <t>WH162519</t>
  </si>
  <si>
    <t>J18C013671</t>
  </si>
  <si>
    <t>WH186127</t>
  </si>
  <si>
    <t>865114</t>
  </si>
  <si>
    <t>EC5 IntelliBridge Interface Module</t>
  </si>
  <si>
    <t>DE411E8913</t>
  </si>
  <si>
    <t>WH186128</t>
  </si>
  <si>
    <t>DE411E8914</t>
  </si>
  <si>
    <t>WH186129</t>
  </si>
  <si>
    <t>DE411E8909</t>
  </si>
  <si>
    <t>WH186130</t>
  </si>
  <si>
    <t>DE411E8892</t>
  </si>
  <si>
    <t>WH186131</t>
  </si>
  <si>
    <t>DE411E8915</t>
  </si>
  <si>
    <t>WH186132</t>
  </si>
  <si>
    <t>DE411E8910</t>
  </si>
  <si>
    <t>WH186133</t>
  </si>
  <si>
    <t>DE411E8905</t>
  </si>
  <si>
    <t>WH186134</t>
  </si>
  <si>
    <t>DE411E8906</t>
  </si>
  <si>
    <t>WH186135</t>
  </si>
  <si>
    <t>DE411E8898</t>
  </si>
  <si>
    <t>WH186136</t>
  </si>
  <si>
    <t>DE411E8900</t>
  </si>
  <si>
    <t>WH186137</t>
  </si>
  <si>
    <t>DE411E8897</t>
  </si>
  <si>
    <t>WH186138</t>
  </si>
  <si>
    <t>DE411E8895</t>
  </si>
  <si>
    <t>WH186139</t>
  </si>
  <si>
    <t>DE411E8901</t>
  </si>
  <si>
    <t>WH186140</t>
  </si>
  <si>
    <t>DE411E8907</t>
  </si>
  <si>
    <t>005823</t>
  </si>
  <si>
    <t>WH185610</t>
  </si>
  <si>
    <t>G21H029612</t>
  </si>
  <si>
    <t>ICU expansion</t>
  </si>
  <si>
    <t>005824</t>
  </si>
  <si>
    <t>WH185611</t>
  </si>
  <si>
    <t>G21H029380</t>
  </si>
  <si>
    <t>005825</t>
  </si>
  <si>
    <t>WH185612</t>
  </si>
  <si>
    <t>G21H029556</t>
  </si>
  <si>
    <t>WH162546</t>
  </si>
  <si>
    <t>866212</t>
  </si>
  <si>
    <t>IntelliVue Smart-hopping Sync Unit</t>
  </si>
  <si>
    <t>PHILIPS INTELLIVUE SMART-HOPPING SYNC UNIT</t>
  </si>
  <si>
    <t>SG63931006</t>
  </si>
  <si>
    <t>WH162547</t>
  </si>
  <si>
    <t>SG63931001</t>
  </si>
  <si>
    <t>005827</t>
  </si>
  <si>
    <t>WH185614</t>
  </si>
  <si>
    <t>866424</t>
  </si>
  <si>
    <t>Patient Information Center iX (PIC iX)</t>
  </si>
  <si>
    <t>US433F2275</t>
  </si>
  <si>
    <t>005858</t>
  </si>
  <si>
    <t>WH185674</t>
  </si>
  <si>
    <t>US433F5267</t>
  </si>
  <si>
    <t>ED- FH UPGRADE</t>
  </si>
  <si>
    <t>WH185598</t>
  </si>
  <si>
    <t>866468</t>
  </si>
  <si>
    <t>IntelliVue FMX-4</t>
  </si>
  <si>
    <t>MODULE RACK</t>
  </si>
  <si>
    <t>DE61637308</t>
  </si>
  <si>
    <t>MEMODULERACK</t>
  </si>
  <si>
    <t>WH185599</t>
  </si>
  <si>
    <t>DE61637299</t>
  </si>
  <si>
    <t>WH185600</t>
  </si>
  <si>
    <t>DE61637305</t>
  </si>
  <si>
    <t>WH185601</t>
  </si>
  <si>
    <t>DE61637301</t>
  </si>
  <si>
    <t>WH185602</t>
  </si>
  <si>
    <t>DE61637307</t>
  </si>
  <si>
    <t>WH185608</t>
  </si>
  <si>
    <t>DE61637297</t>
  </si>
  <si>
    <t>WH179096</t>
  </si>
  <si>
    <t>866471</t>
  </si>
  <si>
    <t>IntelliVue MX750</t>
  </si>
  <si>
    <t>DE71317303</t>
  </si>
  <si>
    <t>WH179097</t>
  </si>
  <si>
    <t>DE71317286</t>
  </si>
  <si>
    <t>WH179099</t>
  </si>
  <si>
    <t>DE71317297</t>
  </si>
  <si>
    <t>WH179114</t>
  </si>
  <si>
    <t>DE71317294</t>
  </si>
  <si>
    <t>WH179115</t>
  </si>
  <si>
    <t>DE71317298</t>
  </si>
  <si>
    <t>WH179116</t>
  </si>
  <si>
    <t>DE71317305</t>
  </si>
  <si>
    <t>WH179117</t>
  </si>
  <si>
    <t>DE71317299</t>
  </si>
  <si>
    <t>WH179118</t>
  </si>
  <si>
    <t>DE71317290</t>
  </si>
  <si>
    <t>WH179119</t>
  </si>
  <si>
    <t>DE71317333</t>
  </si>
  <si>
    <t>WH179120</t>
  </si>
  <si>
    <t>DE71317295</t>
  </si>
  <si>
    <t>WH179121</t>
  </si>
  <si>
    <t>DE71317293</t>
  </si>
  <si>
    <t>WH179122</t>
  </si>
  <si>
    <t>DE71317337</t>
  </si>
  <si>
    <t>WH179123</t>
  </si>
  <si>
    <t>DE71317296</t>
  </si>
  <si>
    <t>WH179124</t>
  </si>
  <si>
    <t>DE71317302</t>
  </si>
  <si>
    <t>WH185592</t>
  </si>
  <si>
    <t>DE71334249</t>
  </si>
  <si>
    <t>WH185593</t>
  </si>
  <si>
    <t>DE71334254</t>
  </si>
  <si>
    <t>WH185594</t>
  </si>
  <si>
    <t>DE71334247</t>
  </si>
  <si>
    <t>WH185595</t>
  </si>
  <si>
    <t>DE71334245</t>
  </si>
  <si>
    <t>WH185596</t>
  </si>
  <si>
    <t>DE71334250</t>
  </si>
  <si>
    <t>WH185597</t>
  </si>
  <si>
    <t>DE71334253</t>
  </si>
  <si>
    <t>WH111692</t>
  </si>
  <si>
    <t>867030</t>
  </si>
  <si>
    <t>IntelliVue X3</t>
  </si>
  <si>
    <t>MULTI-PARAMETERS MODULE, PHYSIOLOGICAL</t>
  </si>
  <si>
    <t>DE694B0029</t>
  </si>
  <si>
    <t>ED - SSU -  3A - FH</t>
  </si>
  <si>
    <t>WH161227</t>
  </si>
  <si>
    <t>DE694A9956</t>
  </si>
  <si>
    <t>WH161230</t>
  </si>
  <si>
    <t>DE694A9970</t>
  </si>
  <si>
    <t>WH162509</t>
  </si>
  <si>
    <t>DE61146754</t>
  </si>
  <si>
    <t>LOANED TO CCU (BED 4) - WO R0253445</t>
  </si>
  <si>
    <t>MEMULTIPARAMETER</t>
  </si>
  <si>
    <t>WH162510</t>
  </si>
  <si>
    <t>DE61146286</t>
  </si>
  <si>
    <t>WH162511</t>
  </si>
  <si>
    <t>DE61146924</t>
  </si>
  <si>
    <t>WH162512</t>
  </si>
  <si>
    <t>DE61146752</t>
  </si>
  <si>
    <t>WH162513</t>
  </si>
  <si>
    <t>DE61146277</t>
  </si>
  <si>
    <t>WH162514</t>
  </si>
  <si>
    <t>DE61146646</t>
  </si>
  <si>
    <t>WH162515</t>
  </si>
  <si>
    <t>DE61146625</t>
  </si>
  <si>
    <t>WH162516</t>
  </si>
  <si>
    <t>DE61146284</t>
  </si>
  <si>
    <t>Cath Lab FH</t>
  </si>
  <si>
    <t>WH162517</t>
  </si>
  <si>
    <t>DE61146373</t>
  </si>
  <si>
    <t>WH162520</t>
  </si>
  <si>
    <t>DE61146280</t>
  </si>
  <si>
    <t>WH178793</t>
  </si>
  <si>
    <t>DE694B1615</t>
  </si>
  <si>
    <t>WH179086</t>
  </si>
  <si>
    <t>DE694H5822</t>
  </si>
  <si>
    <t>WH179087</t>
  </si>
  <si>
    <t>DE694H5724</t>
  </si>
  <si>
    <t>WH179088</t>
  </si>
  <si>
    <t>DE694H5708</t>
  </si>
  <si>
    <t>WH179089</t>
  </si>
  <si>
    <t>DE694H5710</t>
  </si>
  <si>
    <t>WH179090</t>
  </si>
  <si>
    <t>DE694H5783</t>
  </si>
  <si>
    <t>WH179091</t>
  </si>
  <si>
    <t>DE694H5731</t>
  </si>
  <si>
    <t>WH179092</t>
  </si>
  <si>
    <t>DE694H5723</t>
  </si>
  <si>
    <t>WH179093</t>
  </si>
  <si>
    <t>DE694H5713</t>
  </si>
  <si>
    <t>WH179125</t>
  </si>
  <si>
    <t>DE694H5868</t>
  </si>
  <si>
    <t>005069</t>
  </si>
  <si>
    <t>WH179141</t>
  </si>
  <si>
    <t>DE694H5817</t>
  </si>
  <si>
    <t xml:space="preserve">Biomed FH Workshop </t>
  </si>
  <si>
    <t>WH179142</t>
  </si>
  <si>
    <t>DE694H5782</t>
  </si>
  <si>
    <t>EOU- Cubicle 2</t>
  </si>
  <si>
    <t>005070</t>
  </si>
  <si>
    <t>WH179143</t>
  </si>
  <si>
    <t>DE694H5626</t>
  </si>
  <si>
    <t>Biomed FH Workshop</t>
  </si>
  <si>
    <t>005105</t>
  </si>
  <si>
    <t>WH179144</t>
  </si>
  <si>
    <t>DE694H5847</t>
  </si>
  <si>
    <t>Biomed SH Workshop</t>
  </si>
  <si>
    <t>006183</t>
  </si>
  <si>
    <t>WH179145</t>
  </si>
  <si>
    <t>DE694H5716</t>
  </si>
  <si>
    <t>006184</t>
  </si>
  <si>
    <t>WH179146</t>
  </si>
  <si>
    <t>DE694H5827</t>
  </si>
  <si>
    <t>WH185070</t>
  </si>
  <si>
    <t>DE694B0008</t>
  </si>
  <si>
    <t>WH185073</t>
  </si>
  <si>
    <t>DE694A9963</t>
  </si>
  <si>
    <t>WH185075</t>
  </si>
  <si>
    <t>DE694A9967</t>
  </si>
  <si>
    <t>WH185078</t>
  </si>
  <si>
    <t>DE694A9829</t>
  </si>
  <si>
    <t>WH185079</t>
  </si>
  <si>
    <t>DE694B0049</t>
  </si>
  <si>
    <t>WH185082</t>
  </si>
  <si>
    <t>DE694A9832</t>
  </si>
  <si>
    <t>WH185085</t>
  </si>
  <si>
    <t>DE694B0206</t>
  </si>
  <si>
    <t>WH185086</t>
  </si>
  <si>
    <t>DE694B0017</t>
  </si>
  <si>
    <t>WH185157</t>
  </si>
  <si>
    <t>DE694D6075</t>
  </si>
  <si>
    <t>WH185158</t>
  </si>
  <si>
    <t>DE694D6097</t>
  </si>
  <si>
    <t>WH185160</t>
  </si>
  <si>
    <t>DE694D6091</t>
  </si>
  <si>
    <t>WH185470</t>
  </si>
  <si>
    <t>DE752M8007</t>
  </si>
  <si>
    <t>WH186253</t>
  </si>
  <si>
    <t>DE7730A5U4</t>
  </si>
  <si>
    <t>WH186254</t>
  </si>
  <si>
    <t>DE7730A5TV</t>
  </si>
  <si>
    <t>WH186255</t>
  </si>
  <si>
    <t>DE7730A5LY</t>
  </si>
  <si>
    <t>WH186256</t>
  </si>
  <si>
    <t>DE7730A556</t>
  </si>
  <si>
    <t>WH186257</t>
  </si>
  <si>
    <t>DE7730A5MA</t>
  </si>
  <si>
    <t>WH186258</t>
  </si>
  <si>
    <t>DE7730A58Y</t>
  </si>
  <si>
    <t>WH186259</t>
  </si>
  <si>
    <t>DE7730A5LZ</t>
  </si>
  <si>
    <t>WH186260</t>
  </si>
  <si>
    <t>DE7730A58T</t>
  </si>
  <si>
    <t>WH186261</t>
  </si>
  <si>
    <t>DE7730A58B</t>
  </si>
  <si>
    <t>WH186262</t>
  </si>
  <si>
    <t>DE7730A5LW</t>
  </si>
  <si>
    <t>WH186263</t>
  </si>
  <si>
    <t>DE7730A5FY</t>
  </si>
  <si>
    <t>WH186264</t>
  </si>
  <si>
    <t>DE7730A58C</t>
  </si>
  <si>
    <t>WH186265</t>
  </si>
  <si>
    <t>DE7730A5FU</t>
  </si>
  <si>
    <t>WH186266</t>
  </si>
  <si>
    <t>DE7730A561</t>
  </si>
  <si>
    <t>WH186267</t>
  </si>
  <si>
    <t>DE7730A54Z</t>
  </si>
  <si>
    <t>WH185603</t>
  </si>
  <si>
    <t>MULTIPARAMETER MODULE</t>
  </si>
  <si>
    <t>DE752N8569</t>
  </si>
  <si>
    <t>WH185604</t>
  </si>
  <si>
    <t>DE752N8577</t>
  </si>
  <si>
    <t>WH185605</t>
  </si>
  <si>
    <t>DE752N8594</t>
  </si>
  <si>
    <t>WH185606</t>
  </si>
  <si>
    <t>DE752N8613</t>
  </si>
  <si>
    <t>WH185607</t>
  </si>
  <si>
    <t>DE752N8629</t>
  </si>
  <si>
    <t>WH185609</t>
  </si>
  <si>
    <t>DE752N8570</t>
  </si>
  <si>
    <t>WH161229</t>
  </si>
  <si>
    <t>DE694B0025</t>
  </si>
  <si>
    <t>WH161232</t>
  </si>
  <si>
    <t>DE694B0037</t>
  </si>
  <si>
    <t>WH161233</t>
  </si>
  <si>
    <t>DE694B0036</t>
  </si>
  <si>
    <t>WH161235</t>
  </si>
  <si>
    <t>DE694B0191</t>
  </si>
  <si>
    <t>WH161236</t>
  </si>
  <si>
    <t>DE694A9955</t>
  </si>
  <si>
    <t>WH161238</t>
  </si>
  <si>
    <t>DE694B0059</t>
  </si>
  <si>
    <t>WH178787</t>
  </si>
  <si>
    <t>DE694B0210</t>
  </si>
  <si>
    <t>WH178788</t>
  </si>
  <si>
    <t>DE694B1557</t>
  </si>
  <si>
    <t>WH179078</t>
  </si>
  <si>
    <t>DE694H5787</t>
  </si>
  <si>
    <t>WH179079</t>
  </si>
  <si>
    <t>DE694H5621</t>
  </si>
  <si>
    <t>WH179080</t>
  </si>
  <si>
    <t>DE694H5784</t>
  </si>
  <si>
    <t>WH179081</t>
  </si>
  <si>
    <t>DE694H5628</t>
  </si>
  <si>
    <t>WH179082</t>
  </si>
  <si>
    <t>DE694H5816</t>
  </si>
  <si>
    <t>WH179083</t>
  </si>
  <si>
    <t>DE694H5617</t>
  </si>
  <si>
    <t>WH179084</t>
  </si>
  <si>
    <t>DE694H5714</t>
  </si>
  <si>
    <t>WH179085</t>
  </si>
  <si>
    <t>DE694H5873</t>
  </si>
  <si>
    <t>WH111861</t>
  </si>
  <si>
    <t>867039</t>
  </si>
  <si>
    <t>Hemodynamic Extension</t>
  </si>
  <si>
    <t>DE69763462</t>
  </si>
  <si>
    <t>WH111862</t>
  </si>
  <si>
    <t>DE69761357</t>
  </si>
  <si>
    <t>004831</t>
  </si>
  <si>
    <t>WH161231</t>
  </si>
  <si>
    <t>Capnography Extension</t>
  </si>
  <si>
    <t>MODULE, CO2</t>
  </si>
  <si>
    <t>DE69740636</t>
  </si>
  <si>
    <t>WH161237</t>
  </si>
  <si>
    <t>867040</t>
  </si>
  <si>
    <t>DE69739805</t>
  </si>
  <si>
    <t>FH ICU</t>
  </si>
  <si>
    <t>WH185149</t>
  </si>
  <si>
    <t>DE69757434</t>
  </si>
  <si>
    <t>WH185150</t>
  </si>
  <si>
    <t>DE69757379</t>
  </si>
  <si>
    <t>WH111847</t>
  </si>
  <si>
    <t>867041</t>
  </si>
  <si>
    <t>Microstream CO₂ Extension</t>
  </si>
  <si>
    <t>DE69765811</t>
  </si>
  <si>
    <t>WH111849</t>
  </si>
  <si>
    <t>DE69765747</t>
  </si>
  <si>
    <t>WH111850</t>
  </si>
  <si>
    <t>DE69765814</t>
  </si>
  <si>
    <t>006538</t>
  </si>
  <si>
    <t>WH185062</t>
  </si>
  <si>
    <t>DE69744032</t>
  </si>
  <si>
    <t>Biomed Loan- loaned to ICU 26/11/2021</t>
  </si>
  <si>
    <t>WH111852</t>
  </si>
  <si>
    <t>DE69765857</t>
  </si>
  <si>
    <t>WH185154</t>
  </si>
  <si>
    <t>DE69757444</t>
  </si>
  <si>
    <t>WH185155</t>
  </si>
  <si>
    <t>DE69757460</t>
  </si>
  <si>
    <t>WH185153</t>
  </si>
  <si>
    <t>DE69757428</t>
  </si>
  <si>
    <t>WH185152</t>
  </si>
  <si>
    <t>DE69757403</t>
  </si>
  <si>
    <t>WH185151</t>
  </si>
  <si>
    <t>DE69757384</t>
  </si>
  <si>
    <t>WH185059</t>
  </si>
  <si>
    <t>DE69743920</t>
  </si>
  <si>
    <t>WH185063</t>
  </si>
  <si>
    <t>DE69743948</t>
  </si>
  <si>
    <t>FICU</t>
  </si>
  <si>
    <t>WH185060</t>
  </si>
  <si>
    <t>DE69744030</t>
  </si>
  <si>
    <t>WH209024</t>
  </si>
  <si>
    <t>DE69748224</t>
  </si>
  <si>
    <t>ICU - FH</t>
  </si>
  <si>
    <t>WH209018</t>
  </si>
  <si>
    <t>WH209017</t>
  </si>
  <si>
    <t>WH209019</t>
  </si>
  <si>
    <t>5230</t>
  </si>
  <si>
    <t>WH209021</t>
  </si>
  <si>
    <t>BME LOAN</t>
  </si>
  <si>
    <t>5231</t>
  </si>
  <si>
    <t>WH209022</t>
  </si>
  <si>
    <t>5232</t>
  </si>
  <si>
    <t>WH209023</t>
  </si>
  <si>
    <t>WH209016</t>
  </si>
  <si>
    <t>5234</t>
  </si>
  <si>
    <t>WH209025</t>
  </si>
  <si>
    <t>5235</t>
  </si>
  <si>
    <t>WH209026</t>
  </si>
  <si>
    <t>WH209036</t>
  </si>
  <si>
    <t>DE69748234</t>
  </si>
  <si>
    <t>WH209020</t>
  </si>
  <si>
    <t>WH178802</t>
  </si>
  <si>
    <t>DE69739695</t>
  </si>
  <si>
    <t>WH178805</t>
  </si>
  <si>
    <t>DE69739729</t>
  </si>
  <si>
    <t>WH111851</t>
  </si>
  <si>
    <t>DE69765780</t>
  </si>
  <si>
    <t>WH178808</t>
  </si>
  <si>
    <t>DE69740640</t>
  </si>
  <si>
    <t>WH162549</t>
  </si>
  <si>
    <t>DE61414245</t>
  </si>
  <si>
    <t>MEGASMODULE</t>
  </si>
  <si>
    <t>WH162550</t>
  </si>
  <si>
    <t>DE61414264</t>
  </si>
  <si>
    <t>WH185471</t>
  </si>
  <si>
    <t>DE742A2344</t>
  </si>
  <si>
    <t>WH185472</t>
  </si>
  <si>
    <t>DE742A2351</t>
  </si>
  <si>
    <t>WH185473</t>
  </si>
  <si>
    <t>DE742A2354</t>
  </si>
  <si>
    <t>WH179417</t>
  </si>
  <si>
    <t>989803192761</t>
  </si>
  <si>
    <t>Wireless ECG 3.0 Module (Networks 1-5)</t>
  </si>
  <si>
    <t>ECG ACQUISITION MODULE</t>
  </si>
  <si>
    <t>SGE3A51M</t>
  </si>
  <si>
    <t>RADIOLOGY MRI SUITE- FH</t>
  </si>
  <si>
    <t>MEECGRESPMODULE</t>
  </si>
  <si>
    <t>WH179416</t>
  </si>
  <si>
    <t>EXPRESSION MR400</t>
  </si>
  <si>
    <t>Expression MR400</t>
  </si>
  <si>
    <t>MONITOR, MRI COMPATIBLE</t>
  </si>
  <si>
    <t>US91004122</t>
  </si>
  <si>
    <t>RADIOLOGY MRI SUITE-FH</t>
  </si>
  <si>
    <t>MEVITALSIGNSMONI</t>
  </si>
  <si>
    <t>005007</t>
  </si>
  <si>
    <t>WH179098</t>
  </si>
  <si>
    <t>FMX-4</t>
  </si>
  <si>
    <t>MR Patient Care</t>
  </si>
  <si>
    <t>DE61617359</t>
  </si>
  <si>
    <t>WH179100</t>
  </si>
  <si>
    <t>Flexible Module Server FMX-4</t>
  </si>
  <si>
    <t>DE61617323</t>
  </si>
  <si>
    <t>WH179101</t>
  </si>
  <si>
    <t>DE61617396</t>
  </si>
  <si>
    <t>WH179102</t>
  </si>
  <si>
    <t>DE61617350</t>
  </si>
  <si>
    <t>WH179103</t>
  </si>
  <si>
    <t>DE61617354</t>
  </si>
  <si>
    <t>WH179104</t>
  </si>
  <si>
    <t>DE61617355</t>
  </si>
  <si>
    <t>WH179105</t>
  </si>
  <si>
    <t>DE61617397</t>
  </si>
  <si>
    <t>WH179106</t>
  </si>
  <si>
    <t>DE61617353</t>
  </si>
  <si>
    <t>WH179107</t>
  </si>
  <si>
    <t>DE61617310</t>
  </si>
  <si>
    <t>WH179108</t>
  </si>
  <si>
    <t>DE61617391</t>
  </si>
  <si>
    <t>WH179109</t>
  </si>
  <si>
    <t>DE61617351</t>
  </si>
  <si>
    <t>WH179110</t>
  </si>
  <si>
    <t>DE61617352</t>
  </si>
  <si>
    <t>WH179111</t>
  </si>
  <si>
    <t>DE61617313</t>
  </si>
  <si>
    <t>WH179112</t>
  </si>
  <si>
    <t>WH147219</t>
  </si>
  <si>
    <t>G3</t>
  </si>
  <si>
    <t>Philips Goldway G3 Pulse Oximeter</t>
  </si>
  <si>
    <t>OXIMETERS, PULSE</t>
  </si>
  <si>
    <t>CN12806764</t>
  </si>
  <si>
    <t>MEPULSEOXIMETER</t>
  </si>
  <si>
    <t>WH147220</t>
  </si>
  <si>
    <t>CN12806762</t>
  </si>
  <si>
    <t>WH147221</t>
  </si>
  <si>
    <t>CN12806766</t>
  </si>
  <si>
    <t>005114</t>
  </si>
  <si>
    <t>WH186034</t>
  </si>
  <si>
    <t>INTELLIVUE INFO CENTRE IX</t>
  </si>
  <si>
    <t>intelleuve pic IX</t>
  </si>
  <si>
    <t>2UA6131G8J</t>
  </si>
  <si>
    <t>WH95723</t>
  </si>
  <si>
    <t>M1012A</t>
  </si>
  <si>
    <t>Philips M1012A Cardiac Output Module</t>
  </si>
  <si>
    <t>CCO/CO MODULE, PHYSIOLOGICAL</t>
  </si>
  <si>
    <t>3805G33698</t>
  </si>
  <si>
    <t>ICU WESTERN HOSPITAL</t>
  </si>
  <si>
    <t>WH95724</t>
  </si>
  <si>
    <t>3805G33699</t>
  </si>
  <si>
    <t>WH95726</t>
  </si>
  <si>
    <t>3805G33702</t>
  </si>
  <si>
    <t>WH95727</t>
  </si>
  <si>
    <t>3805G33704</t>
  </si>
  <si>
    <t>WH95728</t>
  </si>
  <si>
    <t>3805G33707</t>
  </si>
  <si>
    <t>WH95729</t>
  </si>
  <si>
    <t>3805G33708</t>
  </si>
  <si>
    <t>WH95730</t>
  </si>
  <si>
    <t>3805G33714</t>
  </si>
  <si>
    <t>004425</t>
  </si>
  <si>
    <t>WH106455</t>
  </si>
  <si>
    <t>M3002A</t>
  </si>
  <si>
    <t>intellivue X2</t>
  </si>
  <si>
    <t>DE83628440</t>
  </si>
  <si>
    <t>Biomed Loan-Standalone</t>
  </si>
  <si>
    <t>U/K</t>
  </si>
  <si>
    <t>004427</t>
  </si>
  <si>
    <t>WH106463</t>
  </si>
  <si>
    <t>DE83628412</t>
  </si>
  <si>
    <t>WARD 3A FH</t>
  </si>
  <si>
    <t>WH106495</t>
  </si>
  <si>
    <t>DE83628119</t>
  </si>
  <si>
    <t>WH106527</t>
  </si>
  <si>
    <t>DE83628107</t>
  </si>
  <si>
    <t>WH108225</t>
  </si>
  <si>
    <t>DE466G4436</t>
  </si>
  <si>
    <t>WH108343</t>
  </si>
  <si>
    <t>DE575P5093</t>
  </si>
  <si>
    <t>002856</t>
  </si>
  <si>
    <t>WH131257</t>
  </si>
  <si>
    <t>DE466G4439</t>
  </si>
  <si>
    <t>WH131360</t>
  </si>
  <si>
    <t>DE506J3956</t>
  </si>
  <si>
    <t>WH131709</t>
  </si>
  <si>
    <t>DE575N2361</t>
  </si>
  <si>
    <t>002850</t>
  </si>
  <si>
    <t>WH131710</t>
  </si>
  <si>
    <t>DE575N2033</t>
  </si>
  <si>
    <t>000673</t>
  </si>
  <si>
    <t>WH131711</t>
  </si>
  <si>
    <t>DE575N1926</t>
  </si>
  <si>
    <t>000721</t>
  </si>
  <si>
    <t>WH131713</t>
  </si>
  <si>
    <t>DE575N2089</t>
  </si>
  <si>
    <t>000500</t>
  </si>
  <si>
    <t>WH131714</t>
  </si>
  <si>
    <t>DE575N2045</t>
  </si>
  <si>
    <t>000650</t>
  </si>
  <si>
    <t>WH131715</t>
  </si>
  <si>
    <t>DE575N2357</t>
  </si>
  <si>
    <t>000489</t>
  </si>
  <si>
    <t>WH131717</t>
  </si>
  <si>
    <t>DE575N2350</t>
  </si>
  <si>
    <t>000405</t>
  </si>
  <si>
    <t>WH131720</t>
  </si>
  <si>
    <t>DE575N2336</t>
  </si>
  <si>
    <t>000708</t>
  </si>
  <si>
    <t>WH131731</t>
  </si>
  <si>
    <t>DE575N3197</t>
  </si>
  <si>
    <t>000713</t>
  </si>
  <si>
    <t>WH131732</t>
  </si>
  <si>
    <t>DE575N3201</t>
  </si>
  <si>
    <t>000789</t>
  </si>
  <si>
    <t>WH131733</t>
  </si>
  <si>
    <t>DE575N3247</t>
  </si>
  <si>
    <t>004326</t>
  </si>
  <si>
    <t>WH131735</t>
  </si>
  <si>
    <t>DE575N3181</t>
  </si>
  <si>
    <t>004329</t>
  </si>
  <si>
    <t>WH131736</t>
  </si>
  <si>
    <t>DE575N3213</t>
  </si>
  <si>
    <t>000703</t>
  </si>
  <si>
    <t>WH131737</t>
  </si>
  <si>
    <t>DE575N3346</t>
  </si>
  <si>
    <t>000907</t>
  </si>
  <si>
    <t>WH131739</t>
  </si>
  <si>
    <t>DE575N3224</t>
  </si>
  <si>
    <t>WH133550</t>
  </si>
  <si>
    <t>DE506H7674</t>
  </si>
  <si>
    <t>FH 3A SSU</t>
  </si>
  <si>
    <t>WH133857</t>
  </si>
  <si>
    <t>DE575N2069</t>
  </si>
  <si>
    <t>000035</t>
  </si>
  <si>
    <t>WH133863</t>
  </si>
  <si>
    <t>DE575N2368</t>
  </si>
  <si>
    <t>ICU FOOT</t>
  </si>
  <si>
    <t>0056549</t>
  </si>
  <si>
    <t>WH147383</t>
  </si>
  <si>
    <t>DE575M4053</t>
  </si>
  <si>
    <t>006547</t>
  </si>
  <si>
    <t>WH147402</t>
  </si>
  <si>
    <t>DE575M3899</t>
  </si>
  <si>
    <t>000190</t>
  </si>
  <si>
    <t>WH148627</t>
  </si>
  <si>
    <t>DE575T5919</t>
  </si>
  <si>
    <t>001144</t>
  </si>
  <si>
    <t>WH162219</t>
  </si>
  <si>
    <t>DE654V8941</t>
  </si>
  <si>
    <t>000074</t>
  </si>
  <si>
    <t>WH162220</t>
  </si>
  <si>
    <t>DE654V6478</t>
  </si>
  <si>
    <t>BME FH</t>
  </si>
  <si>
    <t>WH098043</t>
  </si>
  <si>
    <t>M3014A</t>
  </si>
  <si>
    <t>MMS MODULE EXTENSION - co2</t>
  </si>
  <si>
    <t>DE52405422</t>
  </si>
  <si>
    <t>006761</t>
  </si>
  <si>
    <t>WH161184</t>
  </si>
  <si>
    <t>DE45459054</t>
  </si>
  <si>
    <t>BME WESTERN HOSPITAL</t>
  </si>
  <si>
    <t>001196</t>
  </si>
  <si>
    <t>WH162278</t>
  </si>
  <si>
    <t>DE45455693</t>
  </si>
  <si>
    <t>BIOMED FH</t>
  </si>
  <si>
    <t>000075</t>
  </si>
  <si>
    <t>WH162284</t>
  </si>
  <si>
    <t>DE83712193</t>
  </si>
  <si>
    <t>006796</t>
  </si>
  <si>
    <t>WH162864</t>
  </si>
  <si>
    <t>DE45459084</t>
  </si>
  <si>
    <t>FH BIOMED</t>
  </si>
  <si>
    <t>WH112308</t>
  </si>
  <si>
    <t>M3015A</t>
  </si>
  <si>
    <t xml:space="preserve">CO2,  Microstream -  MMS Module </t>
  </si>
  <si>
    <t>DE43511160</t>
  </si>
  <si>
    <t>WH131258</t>
  </si>
  <si>
    <t>DE45582589</t>
  </si>
  <si>
    <t>WH179420</t>
  </si>
  <si>
    <t>MR Patient Care Portal 5000</t>
  </si>
  <si>
    <t>MR Patient Care Portal 5000</t>
  </si>
  <si>
    <t>MONITORS, BEDSIDE, PHYSIOLOGIC</t>
  </si>
  <si>
    <t>US04100238</t>
  </si>
  <si>
    <t>WH162521</t>
  </si>
  <si>
    <t>IntelliVue MX40, , 2.4 GHz Smart Hopping</t>
  </si>
  <si>
    <t>US099E7372</t>
  </si>
  <si>
    <t>METELEMETRYTRANS</t>
  </si>
  <si>
    <t>WH162522</t>
  </si>
  <si>
    <t>WH162523</t>
  </si>
  <si>
    <t>WH162524</t>
  </si>
  <si>
    <t>WH162525</t>
  </si>
  <si>
    <t>WH162526</t>
  </si>
  <si>
    <t>WH162527</t>
  </si>
  <si>
    <t>WH162528</t>
  </si>
  <si>
    <t>WH162529</t>
  </si>
  <si>
    <t>WH162530</t>
  </si>
  <si>
    <t>WH162531</t>
  </si>
  <si>
    <t>WH162533</t>
  </si>
  <si>
    <t>WH162535</t>
  </si>
  <si>
    <t>WH162536</t>
  </si>
  <si>
    <t>WH162538</t>
  </si>
  <si>
    <t>US099E7351</t>
  </si>
  <si>
    <t>WH162561</t>
  </si>
  <si>
    <t>US099E7348</t>
  </si>
  <si>
    <t>CCU -SH</t>
  </si>
  <si>
    <t>WH162563</t>
  </si>
  <si>
    <t>US099E7331</t>
  </si>
  <si>
    <t>Biomed Loan</t>
  </si>
  <si>
    <t>WH162564</t>
  </si>
  <si>
    <t>US099E7344</t>
  </si>
  <si>
    <t>WH162565</t>
  </si>
  <si>
    <t>US099E7334</t>
  </si>
  <si>
    <t>WH162566</t>
  </si>
  <si>
    <t>US099E7353</t>
  </si>
  <si>
    <t>WH162567</t>
  </si>
  <si>
    <t>US099E7333</t>
  </si>
  <si>
    <t>WH162568</t>
  </si>
  <si>
    <t>US099E7338</t>
  </si>
  <si>
    <t>006460</t>
  </si>
  <si>
    <t>WH186213</t>
  </si>
  <si>
    <t>MX40-2C4</t>
  </si>
  <si>
    <t>IntelliVue MX40, 2.4 GHz Smart Hopping</t>
  </si>
  <si>
    <t>US156R2557</t>
  </si>
  <si>
    <t>Sum of Qty Required</t>
  </si>
  <si>
    <t>Sum of QTY Transfer</t>
  </si>
  <si>
    <t xml:space="preserve">Sum of New Quantity Required </t>
  </si>
  <si>
    <t>Grand Total</t>
  </si>
  <si>
    <t>Mounting  Configuration</t>
  </si>
  <si>
    <t>Attached to Transport Monitor</t>
  </si>
  <si>
    <t>Cart Mounted</t>
  </si>
  <si>
    <t>Handheld</t>
  </si>
  <si>
    <t>Docked to Docking Station</t>
  </si>
  <si>
    <t>N/A</t>
  </si>
  <si>
    <t>Anaesthesia Machine Mounted</t>
  </si>
  <si>
    <t>Row Labels</t>
  </si>
  <si>
    <t>Sum of Extended Price</t>
  </si>
  <si>
    <t xml:space="preserve">Count of New Quantity Required </t>
  </si>
  <si>
    <t>ACUTE AGED CARE IPU Total</t>
  </si>
  <si>
    <t>ACUTE RENAL HAEMODIALYSIS Total</t>
  </si>
  <si>
    <t>AMBULATORY SPECIALIST N1 Total</t>
  </si>
  <si>
    <t>CARDIAC CARE UNIT Total</t>
  </si>
  <si>
    <t>CHRONIC DISEASE &amp; WELLNESS N5 Total</t>
  </si>
  <si>
    <t>CLINICAL MEASUREMENTS UNIT N2 Total</t>
  </si>
  <si>
    <t>EMERGENCY DEPARTMENT Total</t>
  </si>
  <si>
    <t>GEM &amp; REHAB IPU Total</t>
  </si>
  <si>
    <t>GENERIC IPU Total</t>
  </si>
  <si>
    <t>ICU Total</t>
  </si>
  <si>
    <t>IPU MENTAL HEALTH Total</t>
  </si>
  <si>
    <t>IPU SPECIAL MEDICAL Total</t>
  </si>
  <si>
    <t>MADU CLINICAL TRIAL N4 Total</t>
  </si>
  <si>
    <t>MEDICAL IMAGING Total</t>
  </si>
  <si>
    <t>OVERNIGHT DIAGNOSTICS Total</t>
  </si>
  <si>
    <t>PERIOPERATIVE SERVICE PRECINCT Total</t>
  </si>
  <si>
    <t>SHARED SPACES IPU Total</t>
  </si>
  <si>
    <t>SUBACUTE IPU GEM PALLIATIVE Total</t>
  </si>
  <si>
    <t>TRANSIT LOUNGE Total</t>
  </si>
  <si>
    <r>
      <t xml:space="preserve">AD75 not compatible with MX450/500. Consider replacing MX450/500 to be located in 02.B.192 with MX750. OR Utilise slave display. </t>
    </r>
    <r>
      <rPr>
        <sz val="11"/>
        <color rgb="FF00B050"/>
        <rFont val="Calibri"/>
        <family val="2"/>
        <scheme val="minor"/>
      </rPr>
      <t>Point to point cabling, and power to be provided by MPX. As per MPX-RFI-036658 communication, 989803209471 Display 23" to be provided by Philips. Please be aware slave display will have no alarms or control over Intellivue MX450. Wall mounting - 989804304750 - Flush Tilt/Swivel Mount for Flat Panel, 989804304969 - Seismic PolyMount 19"/48.3cm Channel</t>
    </r>
  </si>
  <si>
    <r>
      <t xml:space="preserve">AD75 not compatible with MX450/500. Consider replacing MX450/500 to be located in 02.B.214 with MX750. OR Utilise slave display provided by MPX. </t>
    </r>
    <r>
      <rPr>
        <sz val="11"/>
        <color rgb="FF00B050"/>
        <rFont val="Calibri"/>
        <family val="2"/>
        <scheme val="minor"/>
      </rPr>
      <t>As per MPX-RFI-036658 communication, 989803209471 Display 23" to be provided by Philips. Please be aware slave display will have no alarms or control over Intellivue MX450. Wall mounting - 989804304750 - Flush Tilt/Swivel Mount for Flat Panel, 989804304969 - Seismic PolyMount 19"/48.3cm Channel</t>
    </r>
  </si>
  <si>
    <t>Based on the purchase of the total package presented rows 5 - 931, Philips is pleased of offer this special price</t>
  </si>
  <si>
    <t xml:space="preserve">Please refer to Executive Summary - PHILIPS Best Final Offer - 13th May 2024 for </t>
  </si>
  <si>
    <t>PICiX 4 Overview 866390 -RV4 x 1, NEW x 1, OVR x 22; PICiX 4 EFP PC x 1 - 866424  HS1_PC with SSD; PC Cabinet; Installation</t>
  </si>
  <si>
    <r>
      <t>Please confirm device to be integrated. This will inform driver selection.</t>
    </r>
    <r>
      <rPr>
        <sz val="11"/>
        <color rgb="FF0566D1"/>
        <rFont val="Calibri"/>
        <family val="2"/>
        <scheme val="minor"/>
      </rPr>
      <t xml:space="preserve"> Sept 2024 - Drivers confirmed - GE Aysis CS2; Aestiva; PB980; Fabius</t>
    </r>
  </si>
  <si>
    <r>
      <t xml:space="preserve">Please confirm device to be integrated. This will inform driver selection. </t>
    </r>
    <r>
      <rPr>
        <sz val="11"/>
        <color rgb="FF0566D1"/>
        <rFont val="Calibri"/>
        <family val="2"/>
        <scheme val="minor"/>
      </rPr>
      <t>Sept 2024 - Driver confirmed - GE Aysis CS2</t>
    </r>
  </si>
  <si>
    <r>
      <t xml:space="preserve">Please confirm device to be integrated. This will inform driver selection. </t>
    </r>
    <r>
      <rPr>
        <sz val="11"/>
        <color rgb="FF0566D1"/>
        <rFont val="Calibri"/>
        <family val="2"/>
        <scheme val="minor"/>
      </rPr>
      <t>Sept 2024 - Driver confirmed - Aestiva</t>
    </r>
  </si>
  <si>
    <r>
      <t xml:space="preserve">Please confirm device to be integrated. This will inform driver selection. </t>
    </r>
    <r>
      <rPr>
        <sz val="11"/>
        <color rgb="FF0566D1"/>
        <rFont val="Calibri"/>
        <family val="2"/>
        <scheme val="minor"/>
      </rPr>
      <t>Sept 2024 - Driver confirmed - Fabius</t>
    </r>
  </si>
  <si>
    <r>
      <t xml:space="preserve">Please confirm device to be integrated. This will inform driver selection. </t>
    </r>
    <r>
      <rPr>
        <sz val="11"/>
        <color rgb="FF0566D1"/>
        <rFont val="Calibri"/>
        <family val="2"/>
        <scheme val="minor"/>
      </rPr>
      <t>Sept 2024 - Driver confirmed - PB980</t>
    </r>
  </si>
  <si>
    <r>
      <t xml:space="preserve">Accessory Rate - includes installation. Kit - M1663A CBL 10 Lead ECG Trunk AAMI/IEC 2m; M1976A CBL 5 Leadset, Grabber,Chest; M1968A CBL 5 Leadset, Grabber, AAMI, ICU -Limb; 989803209771 Adult NIBP Air Hose 3.0m;  M4556B Easy Care Cuff, 1 Hose, Adult XL (1); M1191BL Reusable Adult SpO2 Sensor.
</t>
    </r>
    <r>
      <rPr>
        <sz val="11"/>
        <color rgb="FF0566D1"/>
        <rFont val="Calibri"/>
        <family val="2"/>
        <scheme val="minor"/>
      </rPr>
      <t>Sept 2024 - DHS-GCOR-021993 - updated to High Acuity Room. Pricing update to Intellivue MX750 wall mounted.</t>
    </r>
  </si>
  <si>
    <t xml:space="preserve">Sept 2024 - DHS-GCOR-021993 - updated to High Acuity Room. </t>
  </si>
  <si>
    <r>
      <t xml:space="preserve">Accessory Rate - includes installation. Kit - M1663A CBL 10 Lead ECG Trunk AAMI/IEC 2m; M1976A CBL 5 Leadset, Grabber,Chest; M1968A CBL 5 Leadset, Grabber, AAMI, ICU -Limb; 989803209771 Adult NIBP Air Hose 3.0m;  M4556B Easy Care Cuff, 1 Hose, Adult XL (1); M1191BL Reusable Adult SpO2 Sensor.
</t>
    </r>
    <r>
      <rPr>
        <sz val="11"/>
        <color rgb="FF0566D1"/>
        <rFont val="Calibri"/>
        <family val="2"/>
        <scheme val="minor"/>
      </rPr>
      <t xml:space="preserve">Sept 2024 - DHS-GCOR-021993 - updated to High Acuity Room. </t>
    </r>
  </si>
  <si>
    <r>
      <t xml:space="preserve">Accessory Rate - includes installation. Kit - M1663A CBL 10 Lead ECG Trunk AAMI/IEC 2m; M1976A CBL 5 Leadset, Grabber,Chest; M1968A CBL 5 Leadset, Grabber, AAMI, ICU -Limb; 989803209771 Adult NIBP Air Hose 3.0m;  M4556B Easy Care Cuff, 1 Hose, Adult XL (1); M1191BL Reusable Adult SpO2 Sensor.
</t>
    </r>
    <r>
      <rPr>
        <sz val="11"/>
        <color rgb="FF0566D1"/>
        <rFont val="Calibri"/>
        <family val="2"/>
        <scheme val="minor"/>
      </rPr>
      <t xml:space="preserve">Sept 2024 - DHS-GCOR-021993 - updated to Medium Acuity Room. </t>
    </r>
  </si>
  <si>
    <t xml:space="preserve">Sept 2024 - DHS-GCOR-021993 - updated to Medium Acuity Room. </t>
  </si>
  <si>
    <t>PICiX 4 Surveillance 866390 -RV4 x 1, NEW x 1, NTP x 24, 12L x 24, PRO x 24, VIS x 24; PICiX 4 EFP PC x 1 - 866424  HS1_PC with SSD; Installation</t>
  </si>
  <si>
    <t>PICiX 4 Overview 866390 -RV4 x 1, NEW x 1, OVR x 32; PICiX 4 EFP PC x 1 - 866424  HS1_PC with SSD; Installation</t>
  </si>
  <si>
    <t>PICiX 4 Surveillance 866390 -RV4 x 1, NEW x 1, NTP x 32, 12L x 32, PRO x 32, VIS x 32; PICiX 4 EFP PC x 1 - 866424  HS1_PC with SSD; Installation</t>
  </si>
  <si>
    <t>Sept 2024 - DHS-GCOR-022387 - MX800 swapped for Intellivue MX750 - 19 inch screen. 866471 A08_8 waves, H12_Intensive Care Software, J15_Replica Display; FMX 4 slot module rack 866468 -E20_Multimeasurement Module Mount. 
Accessory Rate - includes installation. Kit - M1663A CBL 10 Lead ECG Trunk AAMI/IEC 2m; M1976A CBL 5 Leadset, Grabber,Chest; M1968A CBL 5 Leadset, Grabber, AAMI, ICU -Limb; 989803209771 Adult NIBP Air Hose 3.0m;  M4556B Easy Care Cuff, 1 Hose, Adult XL (1); M1191BL Reusable Adult SpO2 Sensor.</t>
  </si>
  <si>
    <t>PICiX 4 Surveillance 866390 -RV4 x 1, NEW x 1, NTP x 30, 12L x 32, PRO x 30, VIS x 30; PICiX 4 EFP PC x 1 - 866424  HS1_PC with SSD; PC Cabinet; Installation</t>
  </si>
  <si>
    <t>Sept 2024 - DHS-GCOR-022044 - Monitors not required.  Removed from ILR</t>
  </si>
  <si>
    <t>Sept 2024 - EQ-0-680-0PW00-07 - Monitoring not required.  Removed from ILR</t>
  </si>
  <si>
    <r>
      <t xml:space="preserve">Point to point cabling, power, and ceiling mounting to be provided by MPX. </t>
    </r>
    <r>
      <rPr>
        <sz val="11"/>
        <color rgb="FF00B050"/>
        <rFont val="Calibri"/>
        <family val="2"/>
        <scheme val="minor"/>
      </rPr>
      <t>As per MPX-RFI-036658 communication, 989803209471 Display 23" to be provided by Philips.</t>
    </r>
    <r>
      <rPr>
        <sz val="11"/>
        <color theme="1"/>
        <rFont val="Calibri"/>
        <family val="2"/>
        <scheme val="minor"/>
      </rPr>
      <t xml:space="preserve">
</t>
    </r>
    <r>
      <rPr>
        <sz val="11"/>
        <color rgb="FF0566D1"/>
        <rFont val="Calibri"/>
        <family val="2"/>
        <scheme val="minor"/>
      </rPr>
      <t>Sept 2024 - EQ-0-680-0PW00-07 - slave ceiling mount x 1 changed to slave wall mount x 1.  Wall Mount - 989804304747 8" M Series Arm 75/100mm VESA;  989804304969 Wall Channel POLYMOUNT 19" Seismic</t>
    </r>
  </si>
  <si>
    <r>
      <t xml:space="preserve">Point to point cabling, power, and ceiling mounting to be provided by MPX. </t>
    </r>
    <r>
      <rPr>
        <sz val="11"/>
        <color rgb="FF00B050"/>
        <rFont val="Calibri"/>
        <family val="2"/>
        <scheme val="minor"/>
      </rPr>
      <t xml:space="preserve">As per MPX-RFI-036658 communication, 989803209471 Display 23" to be provided by Philips.
</t>
    </r>
    <r>
      <rPr>
        <sz val="11"/>
        <color rgb="FF0566D1"/>
        <rFont val="Calibri"/>
        <family val="2"/>
        <scheme val="minor"/>
      </rPr>
      <t>Sept 2024 - EQ-0-680-0PW00-07 - slave ceiling mount x 1 changed to slave wall mount x 1.  Wall Mount - 989804304747 8" M Series Arm 75/100mm VESA;  989804304969 Wall Channel POLYMOUNT 19" Seismic</t>
    </r>
  </si>
  <si>
    <r>
      <t xml:space="preserve">Point to point cabling, power, and ceiling mounting to be provided by MPX.  </t>
    </r>
    <r>
      <rPr>
        <sz val="11"/>
        <color rgb="FF00B050"/>
        <rFont val="Calibri"/>
        <family val="2"/>
        <scheme val="minor"/>
      </rPr>
      <t>As per MPX-RFI-036658 communication, 989803209471 Display 23" to be provided by Philips.</t>
    </r>
    <r>
      <rPr>
        <sz val="11"/>
        <color theme="1"/>
        <rFont val="Calibri"/>
        <family val="2"/>
        <scheme val="minor"/>
      </rPr>
      <t xml:space="preserve">
</t>
    </r>
    <r>
      <rPr>
        <sz val="11"/>
        <color rgb="FF0566D1"/>
        <rFont val="Calibri"/>
        <family val="2"/>
        <scheme val="minor"/>
      </rPr>
      <t>Sept 2024 - EQ-0-680-0PW00-07 - slave ceiling mount x 1 changed to slave wall mount x 1.  Wall Mount - 989804304747 8" M Series Arm 75/100mm VESA;  989804304969 Wall Channel POLYMOUNT 19" Seismic</t>
    </r>
  </si>
  <si>
    <r>
      <t xml:space="preserve">Point to point cabling, power, and ceiling mounting to be provided by MPX.  </t>
    </r>
    <r>
      <rPr>
        <sz val="11"/>
        <color rgb="FF00B050"/>
        <rFont val="Calibri"/>
        <family val="2"/>
        <scheme val="minor"/>
      </rPr>
      <t>As per  As per MPX-RFI-036658 communication, 989803209471 Display 23" to be provided by Philips.</t>
    </r>
    <r>
      <rPr>
        <sz val="11"/>
        <color theme="1"/>
        <rFont val="Calibri"/>
        <family val="2"/>
        <scheme val="minor"/>
      </rPr>
      <t xml:space="preserve">
</t>
    </r>
    <r>
      <rPr>
        <sz val="11"/>
        <color rgb="FF0566D1"/>
        <rFont val="Calibri"/>
        <family val="2"/>
        <scheme val="minor"/>
      </rPr>
      <t>Sept 2024 - EQ-0-680-0PW00-07 - slave ceiling mount x 1 changed to slave wall mount x 1.  Wall Mount - 989804304747 8" M Series Arm 75/100mm VESA;  989804304969 Wall Channel POLYMOUNT 19" Seismic</t>
    </r>
  </si>
  <si>
    <r>
      <t xml:space="preserve">Point to point cabling, power, and ceiling mounting to be provided by MPX.  </t>
    </r>
    <r>
      <rPr>
        <sz val="11"/>
        <color rgb="FF00B050"/>
        <rFont val="Calibri"/>
        <family val="2"/>
        <scheme val="minor"/>
      </rPr>
      <t>As per  As per MPX-RFI-036658 communication, 989803209471 - Display 23" to be provided by Philips.</t>
    </r>
    <r>
      <rPr>
        <sz val="11"/>
        <color theme="1"/>
        <rFont val="Calibri"/>
        <family val="2"/>
        <scheme val="minor"/>
      </rPr>
      <t xml:space="preserve">
</t>
    </r>
    <r>
      <rPr>
        <sz val="11"/>
        <color rgb="FF0566D1"/>
        <rFont val="Calibri"/>
        <family val="2"/>
        <scheme val="minor"/>
      </rPr>
      <t>Sept 2024 - EQ-0-680-0PW00-07 - slave ceiling mount x 1 changed to slave wall mount x 1.  Wall Mount - 989804304747 8" M Series Arm 75/100mm VESA;  989804304969 Wall Channel POLYMOUNT 19" Seismic</t>
    </r>
  </si>
  <si>
    <r>
      <t xml:space="preserve">Accessory Rate - includes installation. Kit - M1663A CBL 10 Lead ECG Trunk AAMI/IEC 2m; M1976A CBL 5 Leadset, Grabber,Chest; M1968A CBL 5 Leadset, Grabber, AAMI, ICU -Limb; 989803209771 Adult NIBP Air Hose 3.0m;  M4556B Easy Care Cuff, 1 Hose, Adult XL (1); M1191BL Reusable Adult SpO2 Sensor.
</t>
    </r>
    <r>
      <rPr>
        <sz val="11"/>
        <color rgb="FF0566D1"/>
        <rFont val="Calibri"/>
        <family val="2"/>
        <scheme val="minor"/>
      </rPr>
      <t>Sept 2024 - MX500 replaced with MX450 for standardisation across department</t>
    </r>
  </si>
  <si>
    <r>
      <t xml:space="preserve">Accessory Rate - installation only
</t>
    </r>
    <r>
      <rPr>
        <sz val="11"/>
        <color rgb="FF0566D1"/>
        <rFont val="Calibri"/>
        <family val="2"/>
        <scheme val="minor"/>
      </rPr>
      <t xml:space="preserve">Sept 2024 -  Added Mounting via 867043 - Intellivue Dock for use with Intellivue X3 - power and networking where required. Dock supplied with clamp for mounting. </t>
    </r>
  </si>
  <si>
    <r>
      <t xml:space="preserve">FMX 4 slot module rack not compatible with MX800.  If transferring please transfer existing FMS 8 slot module racks.
</t>
    </r>
    <r>
      <rPr>
        <sz val="11"/>
        <color rgb="FF0566D1"/>
        <rFont val="Calibri"/>
        <family val="2"/>
        <scheme val="minor"/>
      </rPr>
      <t>Sept 2024 - FMS not required. MX800 replaced with MX750.  FMX included with MX750 pricing.</t>
    </r>
  </si>
  <si>
    <r>
      <t xml:space="preserve">Intellivue MX450 Software upgrade to latest revision - 866362 SUP Software Upgrade to REV P 
</t>
    </r>
    <r>
      <rPr>
        <sz val="11"/>
        <color rgb="FF0566D1"/>
        <rFont val="Calibri"/>
        <family val="2"/>
        <scheme val="minor"/>
      </rPr>
      <t>866362 J15 Replica Display</t>
    </r>
  </si>
  <si>
    <r>
      <t xml:space="preserve">Suggest J15 to MX450 for external display. Point to point cabling, power, ceiling mounting and display to be provided by MPX.
</t>
    </r>
    <r>
      <rPr>
        <sz val="11"/>
        <color rgb="FF0566D1"/>
        <rFont val="Calibri"/>
        <family val="2"/>
        <scheme val="minor"/>
      </rPr>
      <t>Sept 2024 - Wall mounting.  J15 replica display option added.</t>
    </r>
  </si>
  <si>
    <t>Sept 2024 - DHS-GCOR-022206 &gt;&gt; change to wall mounted display.  Wall mounting - 989804304750 - Flush Tilt/Swivel Mount for Flat Panel, 989804304969 - Seismic PolyMount 19"/48.3cm Channel</t>
  </si>
  <si>
    <r>
      <t xml:space="preserve">AD75 not compatible with MX450 to be located LG.B.225.  Point to point cabling, and power to be provided by MPX. </t>
    </r>
    <r>
      <rPr>
        <sz val="11"/>
        <color rgb="FF00B050"/>
        <rFont val="Calibri"/>
        <family val="2"/>
        <scheme val="minor"/>
      </rPr>
      <t>As per MPX-RFI-036658 communication, 989803209471 Display 23" to be provided by Philips.</t>
    </r>
    <r>
      <rPr>
        <sz val="11"/>
        <color theme="1"/>
        <rFont val="Calibri"/>
        <family val="2"/>
        <scheme val="minor"/>
      </rPr>
      <t xml:space="preserve">
</t>
    </r>
    <r>
      <rPr>
        <sz val="11"/>
        <color rgb="FF0566D1"/>
        <rFont val="Calibri"/>
        <family val="2"/>
        <scheme val="minor"/>
      </rPr>
      <t>Sept 2024 - Slave Wall mounting - 989804304750 - Flush Tilt/Swivel Mount for Flat Panel, 989804304969 - Seismic PolyMount 19"/48.3cm Channel</t>
    </r>
  </si>
  <si>
    <r>
      <t xml:space="preserve">Accessory Rate - installation only
</t>
    </r>
    <r>
      <rPr>
        <sz val="11"/>
        <color rgb="FF0566D1"/>
        <rFont val="Calibri"/>
        <family val="2"/>
        <scheme val="minor"/>
      </rPr>
      <t>Sept 2024 - BAR Cabinet configuration to be confirmed.  Intellivue X3 only set up &gt;&gt; 989804304794 X3 flush mount $141.00; M8040A_A01 Fixed Mount $176.00; Intellivue Dock $777.00</t>
    </r>
  </si>
  <si>
    <r>
      <rPr>
        <sz val="11"/>
        <color rgb="FF0566D1"/>
        <rFont val="Calibri"/>
        <family val="2"/>
        <scheme val="minor"/>
      </rPr>
      <t>Intellivue MX450 to be transferred as per column P.  Costed as such. Please confirm.</t>
    </r>
    <r>
      <rPr>
        <sz val="11"/>
        <color theme="1"/>
        <rFont val="Calibri"/>
        <family val="2"/>
        <scheme val="minor"/>
      </rPr>
      <t xml:space="preserve">
Accessory Rate - includes installation. Kit - M1663A CBL 10 Lead ECG Trunk AAMI/IEC 2m; M1976A CBL 5 Leadset, Grabber,Chest; M1968A CBL 5 Leadset, Grabber, AAMI, ICU -Limb; 989803209771 Adult NIBP Air Hose 3.0m;  M4556B Easy Care Cuff, 1 Hose, Adult XL (1); M1191BL Reusable Adult SpO2 Sensor.</t>
    </r>
  </si>
  <si>
    <t xml:space="preserve">4m MSL Cable </t>
  </si>
  <si>
    <r>
      <t xml:space="preserve">AD75 not compatible with MX450.  Point to point cabling, and power to be provided by MPX. </t>
    </r>
    <r>
      <rPr>
        <sz val="11"/>
        <color rgb="FF00B050"/>
        <rFont val="Calibri"/>
        <family val="2"/>
        <scheme val="minor"/>
      </rPr>
      <t>As per MPX-RFI-036658 communication, 989803209471 Display 23" to be provided by Philips. Please be aware slave display will have no alarms or control over Intellivue MX450 located in CT.</t>
    </r>
    <r>
      <rPr>
        <sz val="11"/>
        <color theme="1"/>
        <rFont val="Calibri"/>
        <family val="2"/>
        <scheme val="minor"/>
      </rPr>
      <t xml:space="preserve"> </t>
    </r>
    <r>
      <rPr>
        <sz val="11"/>
        <color rgb="FF00B050"/>
        <rFont val="Calibri"/>
        <family val="2"/>
        <scheme val="minor"/>
      </rPr>
      <t>Web Access only available where area is centrally monitored.</t>
    </r>
    <r>
      <rPr>
        <sz val="11"/>
        <color theme="1"/>
        <rFont val="Calibri"/>
        <family val="2"/>
        <scheme val="minor"/>
      </rPr>
      <t xml:space="preserve">
</t>
    </r>
    <r>
      <rPr>
        <sz val="11"/>
        <color rgb="FF0566D1"/>
        <rFont val="Calibri"/>
        <family val="2"/>
        <scheme val="minor"/>
      </rPr>
      <t>Sept 2024 - DHS-GCOR-022206 Slave Wall mounting - 989804304750 - Flush Tilt/Swivel Mount for Flat Panel, 989804304969 - Seismic PolyMount 19"/48.3cm Channel</t>
    </r>
  </si>
  <si>
    <r>
      <t xml:space="preserve">Point to point cabling, power, and ceiling mounting to be provided by MPX.  </t>
    </r>
    <r>
      <rPr>
        <sz val="11"/>
        <color rgb="FF00B050"/>
        <rFont val="Calibri"/>
        <family val="2"/>
        <scheme val="minor"/>
      </rPr>
      <t>As per MPX-RFI-036658 communication, 989803209471 Display 23" to be provided by Philips. Please be aware slave display will have no alarms or control over Intellivue MX450 located in CT. Web Access only available where area is centrally monitored.</t>
    </r>
    <r>
      <rPr>
        <sz val="11"/>
        <color theme="1"/>
        <rFont val="Calibri"/>
        <family val="2"/>
        <scheme val="minor"/>
      </rPr>
      <t xml:space="preserve">
</t>
    </r>
    <r>
      <rPr>
        <sz val="11"/>
        <color rgb="FF0566D1"/>
        <rFont val="Calibri"/>
        <family val="2"/>
        <scheme val="minor"/>
      </rPr>
      <t>Sept 2024 - DHS-GCOR-022206 - Slave Wall mounting - 989804304750 - Flush Tilt/Swivel Mount for Flat Panel, 989804304969 - Seismic PolyMount 19"/48.3cm Channel</t>
    </r>
  </si>
  <si>
    <r>
      <t xml:space="preserve">AD75 not compatible with MX450.  Point to point cabling, and power to be provided by MPX. </t>
    </r>
    <r>
      <rPr>
        <sz val="11"/>
        <color rgb="FF00B050"/>
        <rFont val="Calibri"/>
        <family val="2"/>
        <scheme val="minor"/>
      </rPr>
      <t>As per MPX-RFI-036658 communication, 989803209471 Display 23" to be provided by Philips. Please be aware slave display will have no alarms or control over Intellivue MX450 located in CT. Web Access only available where area is centrally monitored.</t>
    </r>
    <r>
      <rPr>
        <sz val="11"/>
        <color theme="1"/>
        <rFont val="Calibri"/>
        <family val="2"/>
        <scheme val="minor"/>
      </rPr>
      <t xml:space="preserve">
</t>
    </r>
    <r>
      <rPr>
        <sz val="11"/>
        <color rgb="FF0566D1"/>
        <rFont val="Calibri"/>
        <family val="2"/>
        <scheme val="minor"/>
      </rPr>
      <t>Sept 2024 - DHS-GCOR-022206 Slave Wall mounting - 989804304750 - Flush Tilt/Swivel Mount for Flat Panel, 989804304969 - Seismic PolyMount 19"/48.3cm Channel</t>
    </r>
  </si>
  <si>
    <r>
      <t xml:space="preserve">AD75 not compatible with MX450.  Point to point cabling, and power to be provided by MPX. </t>
    </r>
    <r>
      <rPr>
        <sz val="11"/>
        <color rgb="FF00B050"/>
        <rFont val="Calibri"/>
        <family val="2"/>
        <scheme val="minor"/>
      </rPr>
      <t>As per MPX-RFI-036658 communication, 989803209471 Display 23" to be provided by Philips. Please be aware slave display will have no alarms or control over Intellivue MX450 located in CT. Web Access only available where area is centrally monitored.</t>
    </r>
    <r>
      <rPr>
        <sz val="11"/>
        <color theme="1"/>
        <rFont val="Calibri"/>
        <family val="2"/>
        <scheme val="minor"/>
      </rPr>
      <t xml:space="preserve">
</t>
    </r>
    <r>
      <rPr>
        <sz val="11"/>
        <color rgb="FF0566D1"/>
        <rFont val="Calibri"/>
        <family val="2"/>
        <scheme val="minor"/>
      </rPr>
      <t>Sept 2024 - DHS-GCOR-022206 - Slave Monitors x 2 (GF.B.277 &amp; GF.B.280) Wall mounting - 989804304750 - Flush Tilt/Swivel Mount for Flat Panel, 989804304969 - Seismic PolyMount 19"/48.3cm Channel</t>
    </r>
  </si>
  <si>
    <r>
      <t xml:space="preserve">AD75 not compatible with MX450.  Point to point cabling, and power to be provided by MPX. </t>
    </r>
    <r>
      <rPr>
        <sz val="11"/>
        <color rgb="FF00B050"/>
        <rFont val="Calibri"/>
        <family val="2"/>
        <scheme val="minor"/>
      </rPr>
      <t>As per MPX-RFI-036658 communication, 989803209471 Display 23" to be provided by Philips. Please be aware slave display will have no alarms or control over Intellivue MX450 located in CT. Web Access only available where area is centrally monitored.</t>
    </r>
    <r>
      <rPr>
        <sz val="11"/>
        <color theme="1"/>
        <rFont val="Calibri"/>
        <family val="2"/>
        <scheme val="minor"/>
      </rPr>
      <t xml:space="preserve">
</t>
    </r>
    <r>
      <rPr>
        <sz val="11"/>
        <color rgb="FF0566D1"/>
        <rFont val="Calibri"/>
        <family val="2"/>
        <scheme val="minor"/>
      </rPr>
      <t>Sept 2024 - EQ-0-680-0PW00-07 - Monitoring not required.  Removed from ILR - Please confirm removal of associated Slave monitoring.</t>
    </r>
  </si>
  <si>
    <t>PICiX 4 Surveillance 866390 -RV4 x 1, NEW x 1, NTP x 16, 12L x 16, PRO x 16, VIS x 16; PICiX 4 EFP PC x 1 - 866424  HS1_PC with SSD; PC Cabinet ; Installation</t>
  </si>
  <si>
    <r>
      <t xml:space="preserve">As per MPX-RFI-036658 communication alternate option - Web Access Single patient/Multipatient View as web application on desktop PCs, to be utilise. Licensing provided as part of PICiX 4 scope. MPX to provide PC. Further discussion required. Point to point cabling and slave display pricing removed.
</t>
    </r>
    <r>
      <rPr>
        <sz val="11"/>
        <color rgb="FF0566D1"/>
        <rFont val="Calibri"/>
        <family val="2"/>
        <scheme val="minor"/>
      </rPr>
      <t>Sept 2024 - DHS-GCOR-022070 - slave screen option reinstated. Pricing includes - Video Over Cat 6 sender and receiver, Display x 2, wall mounted, speaker solution &gt;&gt; no interaction with monitor possible.</t>
    </r>
    <r>
      <rPr>
        <sz val="11"/>
        <color rgb="FF00B050"/>
        <rFont val="Calibri"/>
        <family val="2"/>
        <scheme val="minor"/>
      </rPr>
      <t xml:space="preserve"> </t>
    </r>
    <r>
      <rPr>
        <sz val="11"/>
        <color rgb="FF0566D1"/>
        <rFont val="Calibri"/>
        <family val="2"/>
        <scheme val="minor"/>
      </rPr>
      <t>Wall mounting - 989804304750 - Flush Tilt/Swivel Mount for Flat Panel, 989804304969 - Seismic PolyMount 19"/48.3cm Channel</t>
    </r>
  </si>
  <si>
    <r>
      <t>MAX 2 Displays per surveillance or overview location</t>
    </r>
    <r>
      <rPr>
        <sz val="11"/>
        <color rgb="FF0566D1"/>
        <rFont val="Calibri"/>
        <family val="2"/>
        <scheme val="minor"/>
      </rPr>
      <t xml:space="preserve">
Sept 2024 - EQ-0-680-0PW00-07 - change from desk mounted to wall mounted. Wall mounting - 989804304750 - Flush Tilt/Swivel Mount for Flat Panel, 989804304969 - Seismic PolyMount 19"/48.3cm Channel</t>
    </r>
  </si>
  <si>
    <t>Sept 2024 - Increase display and wall mount to quantity 2. Wall mounting - 989804304750 - Flush Tilt/Swivel Mount for Flat Panel, 989804304969 - Seismic PolyMount 19"/48.3cm Channel</t>
  </si>
  <si>
    <t>Sept 2024 - EQ-0-680-0PW00-07 - change display quantity from 2 to 1 and from desk mounted to wall mounted. Wall mounting - 989804304750 - Flush Tilt/Swivel Mount for Flat Panel, 989804304969 - Seismic PolyMount 19"/48.3cm Channel</t>
  </si>
  <si>
    <t>Sept 2024 - EQ-0-680-0PW00-07 - change displays x 2 from desk mounted to wall mounted. Wall mounting - 989804304750 - Flush Tilt/Swivel Mount for Flat Panel, 989804304969 - Seismic PolyMount 19"/48.3cm Channel</t>
  </si>
  <si>
    <r>
      <t xml:space="preserve">As per MPX-RFI-036658 communication alternate option - Web Access Single patient/Multipatient View as web application on desktop computer, to be utilise. Licensing provided as part of PICiX 4 scope. MPX to provide PC. Further discussion required. Point to point cabling and slave display pricing removed.
</t>
    </r>
    <r>
      <rPr>
        <sz val="11"/>
        <color rgb="FF0566D1"/>
        <rFont val="Calibri"/>
        <family val="2"/>
        <scheme val="minor"/>
      </rPr>
      <t>Sept 2024 - DHS-GCOR-022387 - DVI connection confirmed.  Philips to supply 23" slave screens x 2 - wall Mounting.</t>
    </r>
    <r>
      <rPr>
        <sz val="11"/>
        <color rgb="FF00B050"/>
        <rFont val="Calibri"/>
        <family val="2"/>
        <scheme val="minor"/>
      </rPr>
      <t xml:space="preserve"> </t>
    </r>
    <r>
      <rPr>
        <sz val="11"/>
        <color rgb="FF0566D1"/>
        <rFont val="Calibri"/>
        <family val="2"/>
        <scheme val="minor"/>
      </rPr>
      <t>Wall mounting - 989804304750 - Flush Tilt/Swivel Mount for Flat Panel, 989804304969 - Seismic PolyMount 19"/48.3cm Channel</t>
    </r>
  </si>
  <si>
    <r>
      <t xml:space="preserve">As per MPX-RFI-036658 communication alternate option - Web Access Single patient/Multipatient View as web application on desktop computer, to be utilise. Licensing provided as part of PICiX 4 scope. MPX to provide PC. Further discussion required. Point to point cabling and slave display pricing removed.
</t>
    </r>
    <r>
      <rPr>
        <sz val="11"/>
        <color rgb="FF0566D1"/>
        <rFont val="Calibri"/>
        <family val="2"/>
        <scheme val="minor"/>
      </rPr>
      <t>Sept 2024 - DHS-GCOR-022387 - Web Access adopted.</t>
    </r>
  </si>
  <si>
    <t>PICiX 4 Overview 866390 -RV4 x 1, NEW x 1, OVR x 24; PICiX 4 EFP PC x 1 - 866424  HS1_PC with SSD; PC cabinet; Installation</t>
  </si>
  <si>
    <t xml:space="preserve">Sept 2024 - DHS-GCOR-022206 - wall mounted displays x 2. Wall Mounting </t>
  </si>
  <si>
    <r>
      <t>Point to point Cabling, Power, and mounting to be provided by MPX. A</t>
    </r>
    <r>
      <rPr>
        <sz val="11"/>
        <color rgb="FF00B050"/>
        <rFont val="Calibri"/>
        <family val="2"/>
        <scheme val="minor"/>
      </rPr>
      <t xml:space="preserve">s per MPX-RFI-036658 communication, 989803209471 Display 23" to be provided by Philips. Please be aware slave display will have no alarms or control over Intellivue MX450.
</t>
    </r>
    <r>
      <rPr>
        <sz val="11"/>
        <color rgb="FF0566D1"/>
        <rFont val="Calibri"/>
        <family val="2"/>
        <scheme val="minor"/>
      </rPr>
      <t>Sept 2024 - EQ-0-680-0PW00-076 - Wall mounting - 989804304750 - Flush Tilt/Swivel Mount for Flat Panel, 989804304969 - Seismic PolyMount 19"/48.3cm Channel</t>
    </r>
  </si>
  <si>
    <r>
      <t xml:space="preserve">Point to point Cabling, Power, and mounting to be provided by MPX. </t>
    </r>
    <r>
      <rPr>
        <sz val="11"/>
        <color rgb="FF00B050"/>
        <rFont val="Calibri"/>
        <family val="2"/>
        <scheme val="minor"/>
      </rPr>
      <t xml:space="preserve">As per MPX-RFI-036658 communication, 989803209471 Display 23" to be provided by Philips. Please be aware slave display will have no alarms or control over Intellivue MX450.
</t>
    </r>
    <r>
      <rPr>
        <sz val="11"/>
        <color rgb="FF0566D1"/>
        <rFont val="Calibri"/>
        <family val="2"/>
        <scheme val="minor"/>
      </rPr>
      <t>Sept 2024 - EQ-0-680-0PW00-076 - Wall mounting - 989804304750 - Flush Tilt/Swivel Mount for Flat Panel, 989804304969 - Seismic PolyMount 19"/48.3cm Channel</t>
    </r>
  </si>
  <si>
    <r>
      <t xml:space="preserve">Please confirm additional display required in 02.B.165 or 02.B.448. Costed in 02.B.448 only.  Please refer to NFH_PlanSet_Patient Monitoring_Full_V2
</t>
    </r>
    <r>
      <rPr>
        <sz val="11"/>
        <color rgb="FF0566D1"/>
        <rFont val="Calibri"/>
        <family val="2"/>
        <scheme val="minor"/>
      </rPr>
      <t>Sept 2024 - 989803209471 Display 23" to be provided by Philips. Wall mounting - 989804304750 - Flush Tilt/Swivel Mount for Flat Panel, 989804304969 - Seismic PolyMount 19"/48.3cm Channel.  Slave from 02.B.163.</t>
    </r>
  </si>
  <si>
    <r>
      <t xml:space="preserve">Intellivue MX500 - 12 inch screen, 3 slot integrated module rack. 866062 A06_6 waves, H12_Intensive Care Software, E22_Quick Release Mount, E24_Lithium Ion Battery.
Accessory Rate - includes installation. Kit - M1663A CBL 10 Lead ECG Trunk AAMI/IEC 2m; M1976A CBL 5 Leadset, Grabber,Chest; M1968A CBL 5 Leadset, Grabber, AAMI, ICU -Limb; 989803209771 Adult NIBP Air Hose 3.0m;  M4556B Easy Care Cuff, 1 Hose, Adult XL (1); M1191BL Reusable Adult SpO2 Sensor.
</t>
    </r>
    <r>
      <rPr>
        <sz val="11"/>
        <color rgb="FF0566D1"/>
        <rFont val="Calibri"/>
        <family val="2"/>
        <scheme val="minor"/>
      </rPr>
      <t>Sept 2024 - Wall mounting adjusted to 989804304557 - 12" M Series Arm (single height); 989806101983 - 12in Fluted Post for M Series; 989804305048 - Dual Cable Hook M Series; M8040A - Fixed Clamp Mount; 989804304969 - Seismic PolyMount 19"/48.3cm Channel</t>
    </r>
  </si>
  <si>
    <r>
      <t xml:space="preserve">Please confirm additional display required in 02.B.257 or 02.B.256. Costed in 02.B.256 only.  Please refer to NFH_PlanSet_Patient Monitoring_Full_V2
</t>
    </r>
    <r>
      <rPr>
        <sz val="11"/>
        <color rgb="FF0566D1"/>
        <rFont val="Calibri"/>
        <family val="2"/>
        <scheme val="minor"/>
      </rPr>
      <t>Sept 2024 - 989803209471 Display 23" to be provided by Philips. Wall mounting - 989804304750 - Flush Tilt/Swivel Mount for Flat Panel, 989804304969 - Seismic PolyMount 19"/48.3cm Channel.  Slave from 02.B.255.</t>
    </r>
  </si>
  <si>
    <r>
      <t xml:space="preserve">Please confirm additional display required in 02.B.261 or 02.B.246. Costed in 02.B.246 only.  Please refer to NFH_PlanSet_Patient Monitoring_Full_V2
</t>
    </r>
    <r>
      <rPr>
        <sz val="11"/>
        <color rgb="FF0566D1"/>
        <rFont val="Calibri"/>
        <family val="2"/>
        <scheme val="minor"/>
      </rPr>
      <t>Sept 2024 - 989803209471 Display 23" to be provided by Philips. Wall mounting - 989804304750 - Flush Tilt/Swivel Mount for Flat Panel, 989804304969 - Seismic PolyMount 19"/48.3cm Channel.  Slave from 02.B.247.</t>
    </r>
  </si>
  <si>
    <r>
      <t xml:space="preserve">Please confirm additional display required in 02.B.266 or 02.B.272. Costed in 02.B.272 only.  Please refer to NFH_PlanSet_Patient Monitoring_Full_V2
</t>
    </r>
    <r>
      <rPr>
        <sz val="11"/>
        <color rgb="FF0566D1"/>
        <rFont val="Calibri"/>
        <family val="2"/>
        <scheme val="minor"/>
      </rPr>
      <t>Sept 2024 - 989803209471 Display 23" to be provided by Philips. Wall mounting - 989804304750 - Flush Tilt/Swivel Mount for Flat Panel, 989804304969 - Seismic PolyMount 19"/48.3cm Channel.  Slave from 02.B.243.</t>
    </r>
  </si>
  <si>
    <r>
      <t>Intellivue MX500 - 12 inch screen, 3 slot integrated module rack. 866062 A06_6 waves, H12_Intensive Care Software, E22_Quick Release Mount, E24_Lithium Ion Battery.
Accessory Rate - includes installation. Kit - M1663A CBL 10 Lead ECG Trunk AAMI/IEC 2m; M1976A CBL 5 Leadset, Grabber,Chest; M1968A CBL 5 Leadset, Grabber, AAMI, ICU -Limb; 989803209771 Adult NIBP Air Hose 3.0m;  M4556B Easy Care Cuff, 1 Hose, Adult XL (1); M1191BL Reusable Adult SpO2 Sensor.</t>
    </r>
    <r>
      <rPr>
        <sz val="11"/>
        <color rgb="FF0566D1"/>
        <rFont val="Calibri"/>
        <family val="2"/>
        <scheme val="minor"/>
      </rPr>
      <t xml:space="preserve">
Sept 2024 - Wall mounting adjusted to 989804304557 - 12" M Series Arm (single height); 989806101983 - 12in Fluted Post for M Series; 989804305048 - Dual Cable Hook M Series; M8040A - Fixed Clamp Mount; 989804304969 - Seismic PolyMount 19"/48.3cm Channel</t>
    </r>
  </si>
  <si>
    <t>Transfer Costs</t>
  </si>
  <si>
    <t xml:space="preserve"> Transfer of  applicable Philips monitoring from existing Footscray Hospital to new site, with MPX providing packing and transport between sites.</t>
  </si>
  <si>
    <t>Intellivue X3 Hardware upgrade &gt;&gt; 867031 J35_802.11 Wireless IF; SW upgrade to Rev P</t>
  </si>
  <si>
    <t>Intellivue MX40 802.11a/b/g Patient Worn Monitor &gt;&gt; 865352 S01_Continuous ECG, C01_Enhanced Arrhythmia.  Mounting and accessory kit costed separately.</t>
  </si>
  <si>
    <t>PICiX 4 Surveillance 866390 -RV4 x 1, NEW x 1, NTP x 6, 12L x 6, PRO x 6, VIS x 6; PICiX 4 EFP PC x 1 - 866424  HS1_PC with SSD; PC Cabinet;  Installation</t>
  </si>
  <si>
    <t>PICiX 4 Surveillance 866390 -RV4 x 1, NEW x 1, NTP x 5, 12L x 5, PRO x 5, VIS x 5; PICiX 4 EFP PC x 1 - 866424  HS1_PC with SSD; PC Cabinet; Installation</t>
  </si>
  <si>
    <t>PICiX 4 Surveillance 866390 -RV4 x 1, NEW x 1, NTP x 12, 12L x 12, PRO x 12, VIS x 12; PICiX 4 EFP PC x 1 - 866424  HS1_PC with SSD; PC Cabinet; Installation</t>
  </si>
  <si>
    <t>PICiX 4 Surveillance 866390 -RV4 x 1, NEW x 1, NTP x 24, 12L x 24, PRO x 24, VIS x 24; PICiX 4 EFP PC x 1 - 866424  HS1_PC with SSD, PC Cabinet; Installation</t>
  </si>
  <si>
    <r>
      <t xml:space="preserve">Please confirm device to be integrated. This will inform driver selection.
</t>
    </r>
    <r>
      <rPr>
        <sz val="11"/>
        <color rgb="FF0566D1"/>
        <rFont val="Calibri"/>
        <family val="2"/>
        <scheme val="minor"/>
      </rPr>
      <t>Sept 2024 - Driver confirmed GE Aisys CS2</t>
    </r>
  </si>
  <si>
    <t>SUBTOTAL (lines 5-932)</t>
  </si>
  <si>
    <r>
      <t xml:space="preserve">Intellivue MX750 -  866471 - A08_ 8 waves (12 wave option available), H32_Anaesthetic Software, J15_Replica Display; 866468 FMX 4 slot module rack.
Accessory Rate - includes installation. Kit -989803170181 CBL OR 5-Lead ECG Trunk Cable (orange), M1968A CBL 5 Leadset, Grabber, AAMI, ICU -Limb, 989803209771 Adult NIBP Air Hose 3.0m, M4556B Easy Care Cuff, 1 Hose, Adult XL (1), M1191BL Reusable Adult SpO2 Sensor.
Mounting to be supplied by Anaesthetic device manufacturer.
</t>
    </r>
    <r>
      <rPr>
        <sz val="11"/>
        <color rgb="FF0566D1"/>
        <rFont val="Calibri"/>
        <family val="2"/>
        <scheme val="minor"/>
      </rPr>
      <t xml:space="preserve">Sept 2024 - Specification increased to Intellivue MX850 to accomodate additional displays x 2.  </t>
    </r>
  </si>
  <si>
    <t>989803209471 Display 23"</t>
  </si>
  <si>
    <t xml:space="preserve"> 989803209471 Display 23"</t>
  </si>
  <si>
    <t xml:space="preserve"> 989803209471 Display 23</t>
  </si>
  <si>
    <t>Intellivue MX850</t>
  </si>
  <si>
    <t>Intellivue MX850 - 22 inch screen. 866470 A08_8 waves, H12_Intensive Care Software; FMX 4 slot module rack 866468 -E20_Multimeasurement Module Mount. Wall Mounting &gt;&gt; 989806101905 - VHM-PL Kit for MX850, 989804305048 - Dual Cable Hook for VHM, 989804304969 - Wall Channel POLYMOUNT 19" Seismic. Intellivue X3 as companion costed separately.  Accessory Kit costed separately.</t>
  </si>
  <si>
    <r>
      <t xml:space="preserve">Accessory rate includes installation only. Wall Mounting &gt;&gt; 989806101905 - VHM-PL Kit for MX750, 989804304969 - Wall Channel POLYMOUNT 19" Seismic.
</t>
    </r>
    <r>
      <rPr>
        <sz val="11"/>
        <color rgb="FF0566D1"/>
        <rFont val="Calibri"/>
        <family val="2"/>
        <scheme val="minor"/>
      </rPr>
      <t>Sept 2024 - DHS-GCOR-022589 - combine MX500 and AD75 on single 19" wall channel, using fixed arm for each -  989804304558 - 8" M Series Kit for AD75; wall channel provided with MX500 induction monitor.</t>
    </r>
    <r>
      <rPr>
        <sz val="11"/>
        <color theme="1"/>
        <rFont val="Calibri"/>
        <family val="2"/>
        <scheme val="minor"/>
      </rPr>
      <t xml:space="preserve">
October 2024 - MPX-GCOR-082918 - AD75 solution replaced by XDS solution &gt;&gt; will display Anaesthetic Monitor - Intellivue MX850.  MPX to supply All in One PC.</t>
    </r>
  </si>
  <si>
    <t>XDS Solution</t>
  </si>
  <si>
    <t>Replaces AD75 in Anaesthetic Bays as replica display to Anaesthetic Monitor - Intellivue MX850. MPX to supply All in One PC.</t>
  </si>
  <si>
    <r>
      <t xml:space="preserve">Please see BAFO offer </t>
    </r>
    <r>
      <rPr>
        <sz val="11"/>
        <color rgb="FF0566D1"/>
        <rFont val="Calibri"/>
        <family val="2"/>
        <scheme val="minor"/>
      </rPr>
      <t>- Sept 2024 - state notification - devices not required
MPX-GCOR-085712 - EarlyVue VS30s have been reinstated to the ILR (quantity 87). Configuration as originally tendered - EarlyVue VS30 - 863359 W01_Wireless, G01_EWS Local, SP1_FAST SpO2, T01_Predictive Temp; M1191BL-Reusable Adult SpO2 Sensor; M4556B - Easy Care Cuff, 1 Hose, Adult XL (1); 989803209771 - Adult NIBP Air Hose 3.0m; 989803206541 - VSM Premium Roll Stand.</t>
    </r>
    <r>
      <rPr>
        <sz val="11"/>
        <color theme="1"/>
        <rFont val="Calibri"/>
        <family val="2"/>
        <scheme val="minor"/>
      </rPr>
      <t xml:space="preserve">
MPX-SI-003367 - Contract variation to include Barcode Scanners (989803176611) and Holders (989803210381) for each VS30.</t>
    </r>
  </si>
  <si>
    <t>Variation - removal of AD75 in Anaesthetic Bays - PHILIPS-GCOR-000090</t>
  </si>
  <si>
    <t>Variation - addition of Barcode Scanners and Holders to VS30s - MPX-SI-003367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</si>
</sst>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8" formatCode="&quot;$&quot;#,##0.00;[Red]\-&quot;$&quot;#,##0.00"/>
    <numFmt numFmtId="44" formatCode="_-&quot;$&quot;* #,##0.00_-;\-&quot;$&quot;* #,##0.00_-;_-&quot;$&quot;* &quot;-&quot;??_-;_-@_-"/>
  </numFmts>
  <fonts count="3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20"/>
      <color theme="0"/>
      <name val="Calibri"/>
      <family val="2"/>
      <scheme val="minor"/>
    </font>
    <font>
      <b/>
      <sz val="11"/>
      <color rgb="FFFFFF00"/>
      <name val="Calibri"/>
      <family val="2"/>
      <scheme val="minor"/>
    </font>
    <font>
      <b/>
      <sz val="11"/>
      <color rgb="FFFFFFFF"/>
      <name val="Calibri"/>
      <family val="2"/>
    </font>
    <font>
      <b/>
      <sz val="11"/>
      <color rgb="FFFFFFFF"/>
      <name val="Arial Narrow"/>
      <family val="2"/>
    </font>
    <font>
      <b/>
      <sz val="12"/>
      <color theme="1"/>
      <name val="Calibri"/>
      <family val="2"/>
      <scheme val="minor"/>
    </font>
    <font>
      <sz val="11"/>
      <color rgb="FF000000"/>
      <name val="Calibri"/>
      <family val="2"/>
      <scheme val="minor"/>
    </font>
    <font>
      <strike/>
      <sz val="11"/>
      <color theme="1"/>
      <name val="Calibri"/>
      <family val="2"/>
      <scheme val="minor"/>
    </font>
    <font>
      <sz val="8"/>
      <name val="Calibri"/>
      <family val="2"/>
      <scheme val="minor"/>
    </font>
    <font>
      <b/>
      <sz val="12"/>
      <color theme="0"/>
      <name val="Calibri"/>
      <family val="2"/>
      <scheme val="minor"/>
    </font>
    <font>
      <sz val="11"/>
      <color rgb="FFFFFFFF"/>
      <name val="Calibri"/>
      <family val="2"/>
    </font>
    <font>
      <sz val="11"/>
      <color rgb="FFFFFFFF"/>
      <name val="Arial Narrow"/>
      <family val="2"/>
    </font>
    <font>
      <b/>
      <sz val="11"/>
      <name val="Calibri"/>
      <family val="2"/>
      <scheme val="minor"/>
    </font>
    <font>
      <b/>
      <strike/>
      <sz val="11"/>
      <color theme="1"/>
      <name val="Calibri"/>
      <family val="2"/>
      <scheme val="minor"/>
    </font>
    <font>
      <sz val="11"/>
      <color theme="1"/>
      <name val="Arial"/>
      <family val="2"/>
    </font>
    <font>
      <sz val="20"/>
      <color theme="0"/>
      <name val="Calibri"/>
      <family val="2"/>
      <scheme val="minor"/>
    </font>
    <font>
      <b/>
      <sz val="11"/>
      <color theme="1"/>
      <name val="Arial"/>
      <family val="2"/>
    </font>
    <font>
      <sz val="10"/>
      <color theme="0"/>
      <name val="Calibri"/>
      <family val="2"/>
      <scheme val="minor"/>
    </font>
    <font>
      <sz val="11"/>
      <color rgb="FF000000"/>
      <name val="Calibri"/>
      <family val="2"/>
    </font>
    <font>
      <sz val="11"/>
      <color rgb="FFFF0000"/>
      <name val="Calibri"/>
      <family val="2"/>
      <scheme val="minor"/>
    </font>
    <font>
      <b/>
      <sz val="12"/>
      <color rgb="FFFF0000"/>
      <name val="Calibri"/>
      <family val="2"/>
      <scheme val="minor"/>
    </font>
    <font>
      <b/>
      <sz val="11"/>
      <color rgb="FF00B050"/>
      <name val="Calibri"/>
      <family val="2"/>
      <scheme val="minor"/>
    </font>
    <font>
      <sz val="11"/>
      <color rgb="FF00B050"/>
      <name val="Calibri"/>
      <family val="2"/>
      <scheme val="minor"/>
    </font>
    <font>
      <b/>
      <sz val="12"/>
      <color rgb="FF00B050"/>
      <name val="Calibri"/>
      <family val="2"/>
      <scheme val="minor"/>
    </font>
    <font>
      <sz val="11"/>
      <name val="Calibri"/>
      <family val="2"/>
    </font>
    <font>
      <b/>
      <u/>
      <sz val="11"/>
      <color rgb="FF00B050"/>
      <name val="Calibri"/>
      <family val="2"/>
      <scheme val="minor"/>
    </font>
    <font>
      <sz val="11"/>
      <color rgb="FF7030A0"/>
      <name val="Calibri"/>
      <family val="2"/>
      <scheme val="minor"/>
    </font>
    <font>
      <b/>
      <u/>
      <sz val="12"/>
      <color rgb="FF7030A0"/>
      <name val="Calibri"/>
      <family val="2"/>
      <scheme val="minor"/>
    </font>
    <font>
      <b/>
      <u val="singleAccounting"/>
      <sz val="14"/>
      <color rgb="FF7030A0"/>
      <name val="Calibri"/>
      <family val="2"/>
      <scheme val="minor"/>
    </font>
    <font>
      <b/>
      <sz val="12"/>
      <color rgb="FF0566D1"/>
      <name val="Calibri"/>
      <family val="2"/>
      <scheme val="minor"/>
    </font>
    <font>
      <b/>
      <sz val="11"/>
      <color rgb="FF0566D1"/>
      <name val="Calibri"/>
      <family val="2"/>
      <scheme val="minor"/>
    </font>
    <font>
      <sz val="11"/>
      <color rgb="FF0566D1"/>
      <name val="Calibri"/>
      <family val="2"/>
      <scheme val="minor"/>
    </font>
    <font>
      <sz val="11"/>
      <color rgb="FF0573EB"/>
      <name val="Calibri"/>
      <family val="2"/>
      <scheme val="minor"/>
    </font>
  </fonts>
  <fills count="51">
    <fill>
      <patternFill patternType="none"/>
    </fill>
    <fill>
      <patternFill patternType="gray125"/>
    </fill>
    <fill>
      <patternFill patternType="solid">
        <fgColor theme="4" tint="-0.249977111117893"/>
        <bgColor theme="4" tint="-0.249977111117893"/>
      </patternFill>
    </fill>
    <fill>
      <patternFill patternType="solid">
        <fgColor theme="9" tint="-0.499984740745262"/>
        <bgColor indexed="64"/>
      </patternFill>
    </fill>
    <fill>
      <patternFill patternType="solid">
        <fgColor rgb="FF7030A0"/>
        <bgColor theme="4" tint="-0.249977111117893"/>
      </patternFill>
    </fill>
    <fill>
      <patternFill patternType="solid">
        <fgColor theme="9" tint="-0.249977111117893"/>
        <bgColor theme="4" tint="-0.249977111117893"/>
      </patternFill>
    </fill>
    <fill>
      <patternFill patternType="solid">
        <fgColor rgb="FFFF0000"/>
        <bgColor theme="4" tint="-0.249977111117893"/>
      </patternFill>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theme="6" tint="0.79998168889431442"/>
        <bgColor theme="6" tint="0.79998168889431442"/>
      </patternFill>
    </fill>
    <fill>
      <patternFill patternType="solid">
        <fgColor rgb="FF0566D1"/>
        <bgColor indexed="64"/>
      </patternFill>
    </fill>
    <fill>
      <patternFill patternType="solid">
        <fgColor rgb="FF0566D1"/>
        <bgColor theme="4" tint="-0.249977111117893"/>
      </patternFill>
    </fill>
    <fill>
      <patternFill patternType="solid">
        <fgColor theme="2" tint="-0.499984740745262"/>
        <bgColor theme="4" tint="-0.249977111117893"/>
      </patternFill>
    </fill>
    <fill>
      <patternFill patternType="solid">
        <fgColor theme="7" tint="0.79998168889431442"/>
        <bgColor indexed="64"/>
      </patternFill>
    </fill>
    <fill>
      <patternFill patternType="solid">
        <fgColor theme="9" tint="0.39997558519241921"/>
        <bgColor indexed="64"/>
      </patternFill>
    </fill>
    <fill>
      <patternFill patternType="solid">
        <fgColor rgb="FFFFFF00"/>
        <bgColor indexed="64"/>
      </patternFill>
    </fill>
    <fill>
      <patternFill patternType="solid">
        <fgColor theme="2" tint="-0.749992370372631"/>
        <bgColor indexed="64"/>
      </patternFill>
    </fill>
    <fill>
      <patternFill patternType="solid">
        <fgColor theme="1" tint="0.249977111117893"/>
        <bgColor theme="4" tint="-0.249977111117893"/>
      </patternFill>
    </fill>
    <fill>
      <patternFill patternType="solid">
        <fgColor theme="1" tint="0.34998626667073579"/>
        <bgColor indexed="64"/>
      </patternFill>
    </fill>
    <fill>
      <patternFill patternType="solid">
        <fgColor theme="5" tint="0.79998168889431442"/>
        <bgColor indexed="65"/>
      </patternFill>
    </fill>
    <fill>
      <patternFill patternType="solid">
        <fgColor rgb="FF92D050"/>
        <bgColor indexed="64"/>
      </patternFill>
    </fill>
    <fill>
      <patternFill patternType="solid">
        <fgColor rgb="FF0573EB"/>
        <bgColor indexed="64"/>
      </patternFill>
    </fill>
    <fill>
      <patternFill patternType="solid">
        <fgColor theme="2" tint="-9.9978637043366805E-2"/>
        <bgColor indexed="64"/>
      </patternFill>
    </fill>
    <fill>
      <patternFill patternType="solid">
        <fgColor theme="1" tint="0.249977111117893"/>
        <bgColor indexed="64"/>
      </patternFill>
    </fill>
    <fill>
      <patternFill patternType="solid">
        <fgColor rgb="FFBF8F00"/>
        <bgColor indexed="64"/>
      </patternFill>
    </fill>
    <fill>
      <patternFill patternType="solid">
        <fgColor rgb="FFFFE699"/>
        <bgColor indexed="64"/>
      </patternFill>
    </fill>
    <fill>
      <patternFill patternType="solid">
        <fgColor rgb="FF5A3AB4"/>
        <bgColor indexed="64"/>
      </patternFill>
    </fill>
    <fill>
      <patternFill patternType="solid">
        <fgColor rgb="FF947DD5"/>
        <bgColor indexed="64"/>
      </patternFill>
    </fill>
    <fill>
      <patternFill patternType="solid">
        <fgColor rgb="FFD9D9D9"/>
        <bgColor indexed="64"/>
      </patternFill>
    </fill>
    <fill>
      <patternFill patternType="solid">
        <fgColor rgb="FFFFD966"/>
        <bgColor indexed="64"/>
      </patternFill>
    </fill>
    <fill>
      <patternFill patternType="solid">
        <fgColor rgb="FFFFF2CC"/>
        <bgColor indexed="64"/>
      </patternFill>
    </fill>
    <fill>
      <patternFill patternType="solid">
        <fgColor rgb="FFFF8143"/>
        <bgColor indexed="64"/>
      </patternFill>
    </fill>
    <fill>
      <patternFill patternType="solid">
        <fgColor rgb="FFFFC2A4"/>
        <bgColor indexed="64"/>
      </patternFill>
    </fill>
    <fill>
      <patternFill patternType="solid">
        <fgColor rgb="FFFF10FE"/>
        <bgColor indexed="64"/>
      </patternFill>
    </fill>
    <fill>
      <patternFill patternType="solid">
        <fgColor rgb="FFFFCAFE"/>
        <bgColor indexed="64"/>
      </patternFill>
    </fill>
    <fill>
      <patternFill patternType="solid">
        <fgColor rgb="FF07FDAD"/>
        <bgColor indexed="64"/>
      </patternFill>
    </fill>
    <fill>
      <patternFill patternType="solid">
        <fgColor rgb="FFD1FFF0"/>
        <bgColor indexed="64"/>
      </patternFill>
    </fill>
    <fill>
      <patternFill patternType="solid">
        <fgColor rgb="FF009900"/>
        <bgColor indexed="64"/>
      </patternFill>
    </fill>
    <fill>
      <patternFill patternType="solid">
        <fgColor rgb="FFFFA77F"/>
        <bgColor indexed="64"/>
      </patternFill>
    </fill>
    <fill>
      <patternFill patternType="solid">
        <fgColor rgb="FFFFDAC9"/>
        <bgColor indexed="64"/>
      </patternFill>
    </fill>
    <fill>
      <patternFill patternType="solid">
        <fgColor rgb="FFF4B084"/>
        <bgColor indexed="64"/>
      </patternFill>
    </fill>
    <fill>
      <patternFill patternType="solid">
        <fgColor rgb="FFF8CBAD"/>
        <bgColor indexed="64"/>
      </patternFill>
    </fill>
    <fill>
      <patternFill patternType="solid">
        <fgColor rgb="FF0070C0"/>
        <bgColor indexed="64"/>
      </patternFill>
    </fill>
    <fill>
      <patternFill patternType="solid">
        <fgColor rgb="FFD0CECE"/>
        <bgColor indexed="64"/>
      </patternFill>
    </fill>
    <fill>
      <patternFill patternType="solid">
        <fgColor rgb="FFFFFFCC"/>
        <bgColor indexed="64"/>
      </patternFill>
    </fill>
    <fill>
      <patternFill patternType="solid">
        <fgColor theme="8" tint="0.59999389629810485"/>
        <bgColor indexed="64"/>
      </patternFill>
    </fill>
    <fill>
      <patternFill patternType="solid">
        <fgColor theme="2" tint="-0.499984740745262"/>
        <bgColor indexed="64"/>
      </patternFill>
    </fill>
    <fill>
      <patternFill patternType="solid">
        <fgColor rgb="FF0573EB"/>
        <bgColor theme="4" tint="-0.249977111117893"/>
      </patternFill>
    </fill>
    <fill>
      <patternFill patternType="solid">
        <fgColor rgb="FFFF0000"/>
        <bgColor indexed="64"/>
      </patternFill>
    </fill>
    <fill>
      <patternFill patternType="solid">
        <fgColor rgb="FFFFFF00"/>
        <bgColor rgb="FF000000"/>
      </patternFill>
    </fill>
    <fill>
      <patternFill patternType="solid">
        <fgColor rgb="FFEDEDED"/>
        <bgColor rgb="FFEDEDED"/>
      </patternFill>
    </fill>
  </fills>
  <borders count="23">
    <border>
      <left/>
      <right/>
      <top/>
      <bottom/>
      <diagonal/>
    </border>
    <border>
      <left style="thin">
        <color indexed="64"/>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bottom/>
      <diagonal/>
    </border>
    <border>
      <left/>
      <right/>
      <top style="thin">
        <color indexed="64"/>
      </top>
      <bottom/>
      <diagonal/>
    </border>
    <border>
      <left/>
      <right/>
      <top style="thin">
        <color indexed="64"/>
      </top>
      <bottom style="thin">
        <color indexed="64"/>
      </bottom>
      <diagonal/>
    </border>
    <border>
      <left/>
      <right style="thin">
        <color auto="1"/>
      </right>
      <top/>
      <bottom/>
      <diagonal/>
    </border>
    <border>
      <left style="thin">
        <color rgb="FFC9C9C9"/>
      </left>
      <right/>
      <top style="thin">
        <color rgb="FFC9C9C9"/>
      </top>
      <bottom style="thin">
        <color rgb="FFC9C9C9"/>
      </bottom>
      <diagonal/>
    </border>
    <border>
      <left/>
      <right/>
      <top style="thin">
        <color rgb="FFC9C9C9"/>
      </top>
      <bottom style="thin">
        <color rgb="FFC9C9C9"/>
      </bottom>
      <diagonal/>
    </border>
    <border>
      <left/>
      <right style="thin">
        <color indexed="64"/>
      </right>
      <top style="thin">
        <color indexed="64"/>
      </top>
      <bottom style="thin">
        <color rgb="FFC9C9C9"/>
      </bottom>
      <diagonal/>
    </border>
    <border>
      <left style="thin">
        <color indexed="64"/>
      </left>
      <right style="thin">
        <color indexed="64"/>
      </right>
      <top style="thin">
        <color indexed="64"/>
      </top>
      <bottom style="thin">
        <color rgb="FFC9C9C9"/>
      </bottom>
      <diagonal/>
    </border>
    <border>
      <left style="thin">
        <color indexed="64"/>
      </left>
      <right/>
      <top style="thin">
        <color indexed="64"/>
      </top>
      <bottom style="thin">
        <color rgb="FFC9C9C9"/>
      </bottom>
      <diagonal/>
    </border>
    <border>
      <left/>
      <right style="thin">
        <color rgb="FFC9C9C9"/>
      </right>
      <top style="thin">
        <color rgb="FFC9C9C9"/>
      </top>
      <bottom style="thin">
        <color rgb="FFC9C9C9"/>
      </bottom>
      <diagonal/>
    </border>
  </borders>
  <cellStyleXfs count="8">
    <xf numFmtId="0" fontId="0" fillId="0" borderId="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0" fontId="1" fillId="19" borderId="0" applyNumberFormat="0" applyBorder="0" applyAlignment="0" applyProtection="0"/>
    <xf numFmtId="0" fontId="19" fillId="0" borderId="0"/>
    <xf numFmtId="0" fontId="1" fillId="0" borderId="0"/>
  </cellStyleXfs>
  <cellXfs count="323">
    <xf numFmtId="0" fontId="0" fillId="0" borderId="0" xfId="0"/>
    <xf numFmtId="0" fontId="2" fillId="2" borderId="1" xfId="1" applyFont="1" applyFill="1" applyBorder="1" applyAlignment="1">
      <alignment vertical="center" wrapText="1"/>
    </xf>
    <xf numFmtId="0" fontId="2" fillId="2" borderId="0" xfId="1" applyFont="1" applyFill="1" applyAlignment="1">
      <alignment vertical="center" wrapText="1"/>
    </xf>
    <xf numFmtId="0" fontId="1" fillId="0" borderId="0" xfId="1" applyAlignment="1">
      <alignment horizontal="left" indent="1"/>
    </xf>
    <xf numFmtId="0" fontId="5" fillId="0" borderId="0" xfId="1" applyFont="1" applyAlignment="1">
      <alignment horizontal="left" vertical="center" indent="1"/>
    </xf>
    <xf numFmtId="0" fontId="1" fillId="0" borderId="0" xfId="1"/>
    <xf numFmtId="0" fontId="1" fillId="0" borderId="0" xfId="1" applyAlignment="1">
      <alignment horizontal="left" vertical="center" wrapText="1" indent="1"/>
    </xf>
    <xf numFmtId="0" fontId="1" fillId="0" borderId="0" xfId="1" applyAlignment="1">
      <alignment vertical="center"/>
    </xf>
    <xf numFmtId="0" fontId="1" fillId="0" borderId="0" xfId="1" applyAlignment="1">
      <alignment horizontal="center" vertical="center"/>
    </xf>
    <xf numFmtId="0" fontId="1" fillId="0" borderId="3" xfId="1" applyBorder="1" applyAlignment="1">
      <alignment horizontal="left" vertical="center" indent="1"/>
    </xf>
    <xf numFmtId="0" fontId="5" fillId="0" borderId="3" xfId="1" applyFont="1" applyBorder="1" applyAlignment="1">
      <alignment horizontal="left" vertical="center" indent="1"/>
    </xf>
    <xf numFmtId="0" fontId="1" fillId="0" borderId="3" xfId="1" applyBorder="1" applyAlignment="1">
      <alignment horizontal="center" vertical="center"/>
    </xf>
    <xf numFmtId="0" fontId="1" fillId="0" borderId="3" xfId="1" applyBorder="1" applyAlignment="1">
      <alignment horizontal="left" vertical="center" wrapText="1" indent="1"/>
    </xf>
    <xf numFmtId="0" fontId="1" fillId="0" borderId="3" xfId="1" applyBorder="1" applyAlignment="1">
      <alignment horizontal="left" indent="1"/>
    </xf>
    <xf numFmtId="0" fontId="6" fillId="3" borderId="0" xfId="1" applyFont="1" applyFill="1" applyAlignment="1">
      <alignment horizontal="center" vertical="center"/>
    </xf>
    <xf numFmtId="0" fontId="5" fillId="0" borderId="0" xfId="1" applyFont="1" applyAlignment="1">
      <alignment horizontal="center" vertical="center"/>
    </xf>
    <xf numFmtId="0" fontId="5" fillId="0" borderId="3" xfId="1" applyFont="1" applyBorder="1" applyAlignment="1">
      <alignment horizontal="center" vertical="center"/>
    </xf>
    <xf numFmtId="0" fontId="2" fillId="10" borderId="0" xfId="1" applyFont="1" applyFill="1" applyAlignment="1">
      <alignment horizontal="center" vertical="center"/>
    </xf>
    <xf numFmtId="0" fontId="3" fillId="7" borderId="6" xfId="1" applyFont="1" applyFill="1" applyBorder="1" applyAlignment="1">
      <alignment horizontal="left" vertical="center" indent="1"/>
    </xf>
    <xf numFmtId="0" fontId="1" fillId="0" borderId="5" xfId="1" applyBorder="1" applyAlignment="1">
      <alignment horizontal="left" vertical="center" wrapText="1" indent="1"/>
    </xf>
    <xf numFmtId="0" fontId="4" fillId="2" borderId="11" xfId="1" applyFont="1" applyFill="1" applyBorder="1" applyAlignment="1">
      <alignment horizontal="center" vertical="center" wrapText="1"/>
    </xf>
    <xf numFmtId="0" fontId="4" fillId="2" borderId="9" xfId="1" applyFont="1" applyFill="1" applyBorder="1" applyAlignment="1">
      <alignment horizontal="center" vertical="center" wrapText="1"/>
    </xf>
    <xf numFmtId="0" fontId="4" fillId="2" borderId="12" xfId="1" applyFont="1" applyFill="1" applyBorder="1" applyAlignment="1">
      <alignment horizontal="center" vertical="center" wrapText="1"/>
    </xf>
    <xf numFmtId="0" fontId="4" fillId="4" borderId="9" xfId="1" applyFont="1" applyFill="1" applyBorder="1" applyAlignment="1">
      <alignment horizontal="center" vertical="center" wrapText="1"/>
    </xf>
    <xf numFmtId="0" fontId="4" fillId="12" borderId="9" xfId="1" applyFont="1" applyFill="1" applyBorder="1" applyAlignment="1">
      <alignment horizontal="center" vertical="center" wrapText="1"/>
    </xf>
    <xf numFmtId="0" fontId="4" fillId="5" borderId="9" xfId="1" applyFont="1" applyFill="1" applyBorder="1" applyAlignment="1">
      <alignment horizontal="center" vertical="center" wrapText="1"/>
    </xf>
    <xf numFmtId="0" fontId="7" fillId="5" borderId="9" xfId="1" applyFont="1" applyFill="1" applyBorder="1" applyAlignment="1">
      <alignment horizontal="center" vertical="center" wrapText="1"/>
    </xf>
    <xf numFmtId="0" fontId="4" fillId="6" borderId="9" xfId="1" applyFont="1" applyFill="1" applyBorder="1" applyAlignment="1">
      <alignment horizontal="center" vertical="center" wrapText="1"/>
    </xf>
    <xf numFmtId="0" fontId="4" fillId="11" borderId="9" xfId="1" applyFont="1" applyFill="1" applyBorder="1" applyAlignment="1">
      <alignment horizontal="center" vertical="center" wrapText="1"/>
    </xf>
    <xf numFmtId="0" fontId="2" fillId="11" borderId="9" xfId="1" applyFont="1" applyFill="1" applyBorder="1" applyAlignment="1">
      <alignment horizontal="center" vertical="center" wrapText="1"/>
    </xf>
    <xf numFmtId="0" fontId="4" fillId="2" borderId="9" xfId="1" applyFont="1" applyFill="1" applyBorder="1" applyAlignment="1">
      <alignment horizontal="left" vertical="center" wrapText="1" indent="1"/>
    </xf>
    <xf numFmtId="0" fontId="4" fillId="2" borderId="10" xfId="1" applyFont="1" applyFill="1" applyBorder="1" applyAlignment="1">
      <alignment horizontal="left" vertical="center" wrapText="1" indent="1"/>
    </xf>
    <xf numFmtId="0" fontId="10" fillId="8" borderId="8" xfId="1" applyFont="1" applyFill="1" applyBorder="1" applyAlignment="1">
      <alignment horizontal="center" vertical="center"/>
    </xf>
    <xf numFmtId="0" fontId="10" fillId="8" borderId="4" xfId="1" applyFont="1" applyFill="1" applyBorder="1" applyAlignment="1">
      <alignment horizontal="center" vertical="center"/>
    </xf>
    <xf numFmtId="0" fontId="1" fillId="8" borderId="4" xfId="1" applyFill="1" applyBorder="1" applyAlignment="1">
      <alignment horizontal="left" vertical="center" wrapText="1" indent="1"/>
    </xf>
    <xf numFmtId="0" fontId="1" fillId="8" borderId="7" xfId="1" applyFill="1" applyBorder="1" applyAlignment="1">
      <alignment horizontal="left" vertical="center" wrapText="1" indent="1"/>
    </xf>
    <xf numFmtId="49" fontId="11" fillId="0" borderId="6" xfId="0" applyNumberFormat="1" applyFont="1" applyBorder="1" applyAlignment="1">
      <alignment horizontal="center" vertical="center"/>
    </xf>
    <xf numFmtId="49" fontId="11" fillId="9" borderId="6" xfId="0" applyNumberFormat="1" applyFont="1" applyFill="1" applyBorder="1" applyAlignment="1">
      <alignment horizontal="center" vertical="center"/>
    </xf>
    <xf numFmtId="0" fontId="5" fillId="13" borderId="3" xfId="1" applyFont="1" applyFill="1" applyBorder="1" applyAlignment="1">
      <alignment horizontal="left" vertical="center" indent="1"/>
    </xf>
    <xf numFmtId="0" fontId="12" fillId="13" borderId="3" xfId="1" applyFont="1" applyFill="1" applyBorder="1" applyAlignment="1">
      <alignment horizontal="center" vertical="center"/>
    </xf>
    <xf numFmtId="0" fontId="4" fillId="2" borderId="13" xfId="1" applyFont="1" applyFill="1" applyBorder="1" applyAlignment="1">
      <alignment horizontal="center" vertical="center" wrapText="1"/>
    </xf>
    <xf numFmtId="44" fontId="0" fillId="0" borderId="0" xfId="4" applyFont="1"/>
    <xf numFmtId="0" fontId="2" fillId="16" borderId="0" xfId="0" applyFont="1" applyFill="1" applyAlignment="1">
      <alignment horizontal="center" vertical="center"/>
    </xf>
    <xf numFmtId="0" fontId="0" fillId="0" borderId="0" xfId="0" applyAlignment="1">
      <alignment horizontal="left" indent="1"/>
    </xf>
    <xf numFmtId="0" fontId="0" fillId="10" borderId="0" xfId="0" applyFill="1"/>
    <xf numFmtId="44" fontId="0" fillId="10" borderId="0" xfId="4" applyFont="1" applyFill="1"/>
    <xf numFmtId="0" fontId="0" fillId="0" borderId="0" xfId="0" applyAlignment="1">
      <alignment horizontal="center" vertical="center"/>
    </xf>
    <xf numFmtId="0" fontId="0" fillId="0" borderId="0" xfId="0" applyAlignment="1">
      <alignment vertical="center"/>
    </xf>
    <xf numFmtId="0" fontId="0" fillId="0" borderId="0" xfId="0" applyAlignment="1">
      <alignment horizontal="left" vertical="center" indent="1"/>
    </xf>
    <xf numFmtId="0" fontId="0" fillId="0" borderId="0" xfId="0" applyAlignment="1">
      <alignment horizontal="center" vertical="center" wrapText="1"/>
    </xf>
    <xf numFmtId="0" fontId="0" fillId="18" borderId="2" xfId="0" applyFill="1" applyBorder="1" applyAlignment="1">
      <alignment horizontal="center" vertical="center"/>
    </xf>
    <xf numFmtId="0" fontId="0" fillId="20" borderId="2" xfId="0" applyFill="1" applyBorder="1" applyAlignment="1">
      <alignment horizontal="center" vertical="center"/>
    </xf>
    <xf numFmtId="0" fontId="0" fillId="0" borderId="2" xfId="0" applyBorder="1" applyAlignment="1">
      <alignment horizontal="left" vertical="center" indent="1"/>
    </xf>
    <xf numFmtId="0" fontId="0" fillId="0" borderId="2" xfId="0" applyBorder="1" applyAlignment="1">
      <alignment horizontal="center" vertical="center"/>
    </xf>
    <xf numFmtId="0" fontId="0" fillId="0" borderId="2" xfId="0" applyBorder="1" applyAlignment="1">
      <alignment horizontal="center" vertical="center" wrapText="1"/>
    </xf>
    <xf numFmtId="0" fontId="0" fillId="0" borderId="15" xfId="0" applyBorder="1" applyAlignment="1">
      <alignment horizontal="center" vertical="center"/>
    </xf>
    <xf numFmtId="0" fontId="0" fillId="0" borderId="15" xfId="0" applyBorder="1" applyAlignment="1">
      <alignment horizontal="left" vertical="center" indent="1"/>
    </xf>
    <xf numFmtId="22" fontId="0" fillId="0" borderId="15" xfId="0" applyNumberFormat="1" applyBorder="1" applyAlignment="1">
      <alignment horizontal="center" vertical="center"/>
    </xf>
    <xf numFmtId="0" fontId="0" fillId="0" borderId="15" xfId="0" applyBorder="1" applyAlignment="1">
      <alignment vertical="center"/>
    </xf>
    <xf numFmtId="0" fontId="0" fillId="21" borderId="2" xfId="0" applyFill="1" applyBorder="1" applyAlignment="1">
      <alignment horizontal="center" vertical="center"/>
    </xf>
    <xf numFmtId="0" fontId="0" fillId="0" borderId="2" xfId="0" applyBorder="1" applyAlignment="1">
      <alignment vertical="center" wrapText="1"/>
    </xf>
    <xf numFmtId="0" fontId="0" fillId="0" borderId="0" xfId="0" pivotButton="1"/>
    <xf numFmtId="0" fontId="3" fillId="0" borderId="0" xfId="0" applyFont="1"/>
    <xf numFmtId="44" fontId="0" fillId="0" borderId="0" xfId="0" applyNumberFormat="1" applyAlignment="1">
      <alignment horizontal="center" vertical="center"/>
    </xf>
    <xf numFmtId="44" fontId="0" fillId="0" borderId="3" xfId="4" applyFont="1" applyFill="1" applyBorder="1" applyAlignment="1">
      <alignment vertical="center"/>
    </xf>
    <xf numFmtId="44" fontId="0" fillId="13" borderId="3" xfId="4" applyFont="1" applyFill="1" applyBorder="1"/>
    <xf numFmtId="0" fontId="1" fillId="0" borderId="0" xfId="1" applyAlignment="1">
      <alignment horizontal="left" vertical="center" indent="1"/>
    </xf>
    <xf numFmtId="0" fontId="0" fillId="10" borderId="0" xfId="0" applyFill="1" applyAlignment="1">
      <alignment horizontal="center" vertical="center"/>
    </xf>
    <xf numFmtId="0" fontId="19" fillId="0" borderId="0" xfId="6"/>
    <xf numFmtId="0" fontId="19" fillId="0" borderId="0" xfId="6" applyAlignment="1">
      <alignment horizontal="center" vertical="center"/>
    </xf>
    <xf numFmtId="0" fontId="19" fillId="0" borderId="0" xfId="6" applyAlignment="1">
      <alignment horizontal="center"/>
    </xf>
    <xf numFmtId="0" fontId="20" fillId="0" borderId="0" xfId="1" applyFont="1" applyAlignment="1">
      <alignment vertical="center"/>
    </xf>
    <xf numFmtId="0" fontId="20" fillId="0" borderId="0" xfId="1" applyFont="1" applyAlignment="1">
      <alignment horizontal="center" vertical="center"/>
    </xf>
    <xf numFmtId="0" fontId="1" fillId="0" borderId="0" xfId="1" applyAlignment="1">
      <alignment horizontal="center"/>
    </xf>
    <xf numFmtId="0" fontId="14" fillId="18" borderId="0" xfId="1" applyFont="1" applyFill="1" applyAlignment="1">
      <alignment horizontal="center" vertical="center"/>
    </xf>
    <xf numFmtId="0" fontId="14" fillId="18" borderId="0" xfId="1" applyFont="1" applyFill="1" applyAlignment="1">
      <alignment horizontal="center" vertical="center" wrapText="1"/>
    </xf>
    <xf numFmtId="0" fontId="3" fillId="8" borderId="1" xfId="1" applyFont="1" applyFill="1" applyBorder="1" applyAlignment="1">
      <alignment horizontal="center"/>
    </xf>
    <xf numFmtId="0" fontId="1" fillId="24" borderId="7" xfId="1" applyFill="1" applyBorder="1" applyAlignment="1">
      <alignment horizontal="center"/>
    </xf>
    <xf numFmtId="0" fontId="1" fillId="24" borderId="3" xfId="1" applyFill="1" applyBorder="1" applyAlignment="1">
      <alignment horizontal="center"/>
    </xf>
    <xf numFmtId="0" fontId="1" fillId="24" borderId="3" xfId="1" applyFill="1" applyBorder="1" applyAlignment="1">
      <alignment horizontal="left"/>
    </xf>
    <xf numFmtId="0" fontId="1" fillId="8" borderId="1" xfId="1" applyFill="1" applyBorder="1"/>
    <xf numFmtId="0" fontId="1" fillId="22" borderId="1" xfId="1" applyFill="1" applyBorder="1"/>
    <xf numFmtId="0" fontId="1" fillId="22" borderId="0" xfId="1" applyFill="1" applyAlignment="1">
      <alignment horizontal="center" vertical="center"/>
    </xf>
    <xf numFmtId="0" fontId="2" fillId="18" borderId="3" xfId="1" applyFont="1" applyFill="1" applyBorder="1" applyAlignment="1">
      <alignment horizontal="left" indent="1"/>
    </xf>
    <xf numFmtId="0" fontId="4" fillId="18" borderId="3" xfId="1" applyFont="1" applyFill="1" applyBorder="1" applyAlignment="1">
      <alignment horizontal="left"/>
    </xf>
    <xf numFmtId="0" fontId="1" fillId="25" borderId="3" xfId="1" applyFill="1" applyBorder="1" applyAlignment="1">
      <alignment horizontal="center"/>
    </xf>
    <xf numFmtId="0" fontId="1" fillId="25" borderId="3" xfId="1" applyFill="1" applyBorder="1" applyAlignment="1">
      <alignment horizontal="left"/>
    </xf>
    <xf numFmtId="0" fontId="1" fillId="8" borderId="10" xfId="1" applyFill="1" applyBorder="1"/>
    <xf numFmtId="0" fontId="1" fillId="22" borderId="10" xfId="1" applyFill="1" applyBorder="1"/>
    <xf numFmtId="0" fontId="1" fillId="22" borderId="2" xfId="1" applyFill="1" applyBorder="1" applyAlignment="1">
      <alignment horizontal="center" vertical="center"/>
    </xf>
    <xf numFmtId="0" fontId="3" fillId="8" borderId="7" xfId="1" applyFont="1" applyFill="1" applyBorder="1" applyAlignment="1">
      <alignment horizontal="center"/>
    </xf>
    <xf numFmtId="0" fontId="4" fillId="26" borderId="7" xfId="1" applyFont="1" applyFill="1" applyBorder="1" applyAlignment="1">
      <alignment horizontal="left"/>
    </xf>
    <xf numFmtId="0" fontId="4" fillId="26" borderId="14" xfId="1" applyFont="1" applyFill="1" applyBorder="1" applyAlignment="1">
      <alignment horizontal="center" vertical="center"/>
    </xf>
    <xf numFmtId="0" fontId="4" fillId="26" borderId="3" xfId="1" applyFont="1" applyFill="1" applyBorder="1" applyAlignment="1">
      <alignment horizontal="center" vertical="center"/>
    </xf>
    <xf numFmtId="0" fontId="4" fillId="26" borderId="3" xfId="1" applyFont="1" applyFill="1" applyBorder="1" applyAlignment="1">
      <alignment horizontal="left"/>
    </xf>
    <xf numFmtId="0" fontId="4" fillId="27" borderId="3" xfId="1" applyFont="1" applyFill="1" applyBorder="1" applyAlignment="1">
      <alignment horizontal="center"/>
    </xf>
    <xf numFmtId="0" fontId="4" fillId="27" borderId="3" xfId="1" applyFont="1" applyFill="1" applyBorder="1" applyAlignment="1">
      <alignment horizontal="left"/>
    </xf>
    <xf numFmtId="0" fontId="1" fillId="28" borderId="0" xfId="1" applyFill="1"/>
    <xf numFmtId="0" fontId="1" fillId="28" borderId="0" xfId="1" applyFill="1" applyAlignment="1">
      <alignment horizontal="center" vertical="center"/>
    </xf>
    <xf numFmtId="0" fontId="1" fillId="28" borderId="0" xfId="1" applyFill="1" applyAlignment="1">
      <alignment horizontal="center"/>
    </xf>
    <xf numFmtId="0" fontId="1" fillId="28" borderId="16" xfId="1" applyFill="1" applyBorder="1"/>
    <xf numFmtId="0" fontId="1" fillId="29" borderId="7" xfId="1" applyFill="1" applyBorder="1" applyAlignment="1">
      <alignment horizontal="left"/>
    </xf>
    <xf numFmtId="0" fontId="1" fillId="29" borderId="14" xfId="1" applyFill="1" applyBorder="1" applyAlignment="1">
      <alignment horizontal="center" vertical="center"/>
    </xf>
    <xf numFmtId="0" fontId="1" fillId="29" borderId="3" xfId="1" applyFill="1" applyBorder="1" applyAlignment="1">
      <alignment horizontal="center"/>
    </xf>
    <xf numFmtId="0" fontId="1" fillId="29" borderId="3" xfId="1" applyFill="1" applyBorder="1" applyAlignment="1">
      <alignment horizontal="left"/>
    </xf>
    <xf numFmtId="0" fontId="1" fillId="30" borderId="3" xfId="1" applyFill="1" applyBorder="1" applyAlignment="1">
      <alignment horizontal="center"/>
    </xf>
    <xf numFmtId="0" fontId="1" fillId="30" borderId="3" xfId="1" applyFill="1" applyBorder="1" applyAlignment="1">
      <alignment horizontal="left"/>
    </xf>
    <xf numFmtId="0" fontId="1" fillId="31" borderId="7" xfId="1" applyFill="1" applyBorder="1" applyAlignment="1">
      <alignment horizontal="left" wrapText="1"/>
    </xf>
    <xf numFmtId="0" fontId="1" fillId="31" borderId="14" xfId="1" applyFill="1" applyBorder="1" applyAlignment="1">
      <alignment horizontal="center" vertical="center"/>
    </xf>
    <xf numFmtId="0" fontId="1" fillId="31" borderId="3" xfId="1" applyFill="1" applyBorder="1" applyAlignment="1">
      <alignment horizontal="center"/>
    </xf>
    <xf numFmtId="0" fontId="1" fillId="31" borderId="3" xfId="1" applyFill="1" applyBorder="1" applyAlignment="1">
      <alignment horizontal="left"/>
    </xf>
    <xf numFmtId="0" fontId="1" fillId="32" borderId="3" xfId="1" applyFill="1" applyBorder="1" applyAlignment="1">
      <alignment horizontal="center"/>
    </xf>
    <xf numFmtId="0" fontId="1" fillId="32" borderId="3" xfId="1" applyFill="1" applyBorder="1" applyAlignment="1">
      <alignment horizontal="left"/>
    </xf>
    <xf numFmtId="0" fontId="1" fillId="33" borderId="7" xfId="1" applyFill="1" applyBorder="1" applyAlignment="1">
      <alignment horizontal="left"/>
    </xf>
    <xf numFmtId="0" fontId="1" fillId="33" borderId="14" xfId="1" applyFill="1" applyBorder="1" applyAlignment="1">
      <alignment horizontal="center" vertical="center"/>
    </xf>
    <xf numFmtId="0" fontId="1" fillId="33" borderId="14" xfId="1" applyFill="1" applyBorder="1" applyAlignment="1">
      <alignment horizontal="center"/>
    </xf>
    <xf numFmtId="0" fontId="1" fillId="33" borderId="8" xfId="1" applyFill="1" applyBorder="1" applyAlignment="1">
      <alignment horizontal="left"/>
    </xf>
    <xf numFmtId="0" fontId="1" fillId="34" borderId="3" xfId="1" applyFill="1" applyBorder="1" applyAlignment="1">
      <alignment horizontal="center"/>
    </xf>
    <xf numFmtId="0" fontId="1" fillId="34" borderId="3" xfId="1" applyFill="1" applyBorder="1" applyAlignment="1">
      <alignment horizontal="left"/>
    </xf>
    <xf numFmtId="0" fontId="1" fillId="35" borderId="7" xfId="1" applyFill="1" applyBorder="1" applyAlignment="1">
      <alignment horizontal="left" vertical="center"/>
    </xf>
    <xf numFmtId="0" fontId="1" fillId="35" borderId="14" xfId="1" applyFill="1" applyBorder="1" applyAlignment="1">
      <alignment horizontal="center" vertical="center"/>
    </xf>
    <xf numFmtId="0" fontId="1" fillId="35" borderId="8" xfId="1" applyFill="1" applyBorder="1" applyAlignment="1">
      <alignment horizontal="left"/>
    </xf>
    <xf numFmtId="0" fontId="1" fillId="36" borderId="3" xfId="1" applyFill="1" applyBorder="1" applyAlignment="1">
      <alignment horizontal="center"/>
    </xf>
    <xf numFmtId="0" fontId="1" fillId="36" borderId="3" xfId="1" applyFill="1" applyBorder="1" applyAlignment="1">
      <alignment horizontal="left"/>
    </xf>
    <xf numFmtId="0" fontId="3" fillId="8" borderId="10" xfId="1" applyFont="1" applyFill="1" applyBorder="1" applyAlignment="1">
      <alignment horizontal="center"/>
    </xf>
    <xf numFmtId="0" fontId="3" fillId="8" borderId="4" xfId="1" applyFont="1" applyFill="1" applyBorder="1" applyAlignment="1">
      <alignment horizontal="center"/>
    </xf>
    <xf numFmtId="0" fontId="4" fillId="37" borderId="7" xfId="1" applyFont="1" applyFill="1" applyBorder="1" applyAlignment="1">
      <alignment horizontal="left"/>
    </xf>
    <xf numFmtId="0" fontId="4" fillId="37" borderId="14" xfId="1" applyFont="1" applyFill="1" applyBorder="1" applyAlignment="1">
      <alignment horizontal="center" vertical="center"/>
    </xf>
    <xf numFmtId="0" fontId="4" fillId="37" borderId="14" xfId="1" applyFont="1" applyFill="1" applyBorder="1" applyAlignment="1">
      <alignment horizontal="center"/>
    </xf>
    <xf numFmtId="0" fontId="4" fillId="37" borderId="8" xfId="1" applyFont="1" applyFill="1" applyBorder="1" applyAlignment="1">
      <alignment horizontal="left"/>
    </xf>
    <xf numFmtId="0" fontId="4" fillId="37" borderId="3" xfId="1" applyFont="1" applyFill="1" applyBorder="1" applyAlignment="1">
      <alignment horizontal="center"/>
    </xf>
    <xf numFmtId="0" fontId="4" fillId="37" borderId="3" xfId="1" applyFont="1" applyFill="1" applyBorder="1" applyAlignment="1">
      <alignment horizontal="left"/>
    </xf>
    <xf numFmtId="0" fontId="1" fillId="14" borderId="3" xfId="1" applyFill="1" applyBorder="1" applyAlignment="1">
      <alignment horizontal="center"/>
    </xf>
    <xf numFmtId="0" fontId="1" fillId="14" borderId="3" xfId="1" applyFill="1" applyBorder="1" applyAlignment="1">
      <alignment horizontal="left"/>
    </xf>
    <xf numFmtId="0" fontId="3" fillId="8" borderId="0" xfId="1" applyFont="1" applyFill="1" applyAlignment="1">
      <alignment horizontal="center"/>
    </xf>
    <xf numFmtId="0" fontId="3" fillId="8" borderId="0" xfId="1" applyFont="1" applyFill="1" applyAlignment="1">
      <alignment horizontal="center" vertical="center"/>
    </xf>
    <xf numFmtId="0" fontId="1" fillId="38" borderId="7" xfId="1" applyFill="1" applyBorder="1" applyAlignment="1">
      <alignment horizontal="left"/>
    </xf>
    <xf numFmtId="0" fontId="1" fillId="38" borderId="14" xfId="1" applyFill="1" applyBorder="1" applyAlignment="1">
      <alignment horizontal="center" vertical="center"/>
    </xf>
    <xf numFmtId="0" fontId="1" fillId="38" borderId="14" xfId="1" applyFill="1" applyBorder="1" applyAlignment="1">
      <alignment horizontal="center"/>
    </xf>
    <xf numFmtId="0" fontId="1" fillId="38" borderId="8" xfId="1" applyFill="1" applyBorder="1" applyAlignment="1">
      <alignment horizontal="left"/>
    </xf>
    <xf numFmtId="0" fontId="1" fillId="38" borderId="3" xfId="1" applyFill="1" applyBorder="1" applyAlignment="1">
      <alignment horizontal="center"/>
    </xf>
    <xf numFmtId="0" fontId="1" fillId="38" borderId="3" xfId="1" applyFill="1" applyBorder="1" applyAlignment="1">
      <alignment horizontal="left"/>
    </xf>
    <xf numFmtId="0" fontId="1" fillId="39" borderId="3" xfId="1" applyFill="1" applyBorder="1" applyAlignment="1">
      <alignment horizontal="center"/>
    </xf>
    <xf numFmtId="0" fontId="1" fillId="39" borderId="3" xfId="1" applyFill="1" applyBorder="1" applyAlignment="1">
      <alignment horizontal="left"/>
    </xf>
    <xf numFmtId="0" fontId="3" fillId="8" borderId="9" xfId="1" applyFont="1" applyFill="1" applyBorder="1" applyAlignment="1">
      <alignment horizontal="center"/>
    </xf>
    <xf numFmtId="0" fontId="1" fillId="40" borderId="7" xfId="1" applyFill="1" applyBorder="1" applyAlignment="1">
      <alignment horizontal="left"/>
    </xf>
    <xf numFmtId="0" fontId="1" fillId="40" borderId="14" xfId="1" applyFill="1" applyBorder="1" applyAlignment="1">
      <alignment horizontal="center" vertical="center"/>
    </xf>
    <xf numFmtId="0" fontId="1" fillId="40" borderId="14" xfId="1" applyFill="1" applyBorder="1" applyAlignment="1">
      <alignment horizontal="center"/>
    </xf>
    <xf numFmtId="0" fontId="1" fillId="40" borderId="8" xfId="1" applyFill="1" applyBorder="1" applyAlignment="1">
      <alignment horizontal="left"/>
    </xf>
    <xf numFmtId="0" fontId="4" fillId="18" borderId="9" xfId="1" applyFont="1" applyFill="1" applyBorder="1" applyAlignment="1">
      <alignment horizontal="left"/>
    </xf>
    <xf numFmtId="0" fontId="1" fillId="41" borderId="3" xfId="1" applyFill="1" applyBorder="1" applyAlignment="1">
      <alignment horizontal="center"/>
    </xf>
    <xf numFmtId="0" fontId="1" fillId="41" borderId="3" xfId="1" applyFill="1" applyBorder="1" applyAlignment="1">
      <alignment horizontal="left"/>
    </xf>
    <xf numFmtId="0" fontId="3" fillId="8" borderId="13" xfId="1" applyFont="1" applyFill="1" applyBorder="1" applyAlignment="1">
      <alignment horizontal="center"/>
    </xf>
    <xf numFmtId="0" fontId="1" fillId="22" borderId="0" xfId="1" applyFill="1"/>
    <xf numFmtId="0" fontId="3" fillId="28" borderId="1" xfId="1" applyFont="1" applyFill="1" applyBorder="1" applyAlignment="1">
      <alignment horizontal="center"/>
    </xf>
    <xf numFmtId="0" fontId="1" fillId="22" borderId="11" xfId="1" applyFill="1" applyBorder="1" applyAlignment="1">
      <alignment horizontal="center" vertical="center"/>
    </xf>
    <xf numFmtId="0" fontId="1" fillId="28" borderId="1" xfId="1" applyFill="1" applyBorder="1"/>
    <xf numFmtId="0" fontId="4" fillId="42" borderId="7" xfId="1" applyFont="1" applyFill="1" applyBorder="1" applyAlignment="1">
      <alignment horizontal="left"/>
    </xf>
    <xf numFmtId="0" fontId="4" fillId="42" borderId="14" xfId="1" applyFont="1" applyFill="1" applyBorder="1" applyAlignment="1">
      <alignment horizontal="center" vertical="center"/>
    </xf>
    <xf numFmtId="0" fontId="4" fillId="42" borderId="3" xfId="1" applyFont="1" applyFill="1" applyBorder="1" applyAlignment="1">
      <alignment horizontal="center"/>
    </xf>
    <xf numFmtId="0" fontId="4" fillId="42" borderId="3" xfId="1" applyFont="1" applyFill="1" applyBorder="1" applyAlignment="1">
      <alignment horizontal="left"/>
    </xf>
    <xf numFmtId="0" fontId="1" fillId="43" borderId="1" xfId="1" applyFill="1" applyBorder="1" applyAlignment="1">
      <alignment horizontal="left"/>
    </xf>
    <xf numFmtId="0" fontId="1" fillId="43" borderId="0" xfId="1" applyFill="1" applyAlignment="1">
      <alignment horizontal="center" vertical="center"/>
    </xf>
    <xf numFmtId="0" fontId="1" fillId="43" borderId="1" xfId="1" applyFill="1" applyBorder="1"/>
    <xf numFmtId="0" fontId="19" fillId="43" borderId="1" xfId="6" applyFill="1" applyBorder="1"/>
    <xf numFmtId="0" fontId="1" fillId="43" borderId="10" xfId="1" applyFill="1" applyBorder="1"/>
    <xf numFmtId="0" fontId="1" fillId="43" borderId="2" xfId="1" applyFill="1" applyBorder="1" applyAlignment="1">
      <alignment horizontal="center" vertical="center"/>
    </xf>
    <xf numFmtId="0" fontId="1" fillId="15" borderId="7" xfId="1" applyFill="1" applyBorder="1" applyAlignment="1">
      <alignment horizontal="left"/>
    </xf>
    <xf numFmtId="0" fontId="1" fillId="15" borderId="14" xfId="1" applyFill="1" applyBorder="1" applyAlignment="1">
      <alignment horizontal="center" vertical="center"/>
    </xf>
    <xf numFmtId="0" fontId="1" fillId="15" borderId="3" xfId="1" applyFill="1" applyBorder="1" applyAlignment="1">
      <alignment horizontal="center"/>
    </xf>
    <xf numFmtId="0" fontId="1" fillId="15" borderId="3" xfId="1" applyFill="1" applyBorder="1" applyAlignment="1">
      <alignment horizontal="left"/>
    </xf>
    <xf numFmtId="0" fontId="1" fillId="44" borderId="3" xfId="1" applyFill="1" applyBorder="1" applyAlignment="1">
      <alignment horizontal="center"/>
    </xf>
    <xf numFmtId="0" fontId="1" fillId="44" borderId="3" xfId="1" applyFill="1" applyBorder="1" applyAlignment="1">
      <alignment horizontal="left"/>
    </xf>
    <xf numFmtId="0" fontId="3" fillId="15" borderId="3" xfId="1" applyFont="1" applyFill="1" applyBorder="1" applyAlignment="1">
      <alignment horizontal="left" vertical="center" indent="1"/>
    </xf>
    <xf numFmtId="0" fontId="21" fillId="0" borderId="0" xfId="6" applyFont="1" applyAlignment="1">
      <alignment horizontal="left" vertical="center" indent="1"/>
    </xf>
    <xf numFmtId="0" fontId="2" fillId="26" borderId="3" xfId="1" applyFont="1" applyFill="1" applyBorder="1" applyAlignment="1">
      <alignment horizontal="left" vertical="center" indent="1"/>
    </xf>
    <xf numFmtId="0" fontId="3" fillId="29" borderId="3" xfId="1" applyFont="1" applyFill="1" applyBorder="1" applyAlignment="1">
      <alignment horizontal="left" vertical="center" indent="1"/>
    </xf>
    <xf numFmtId="0" fontId="3" fillId="31" borderId="3" xfId="1" applyFont="1" applyFill="1" applyBorder="1" applyAlignment="1">
      <alignment horizontal="left" vertical="center" indent="1"/>
    </xf>
    <xf numFmtId="0" fontId="2" fillId="42" borderId="3" xfId="1" applyFont="1" applyFill="1" applyBorder="1" applyAlignment="1">
      <alignment horizontal="left" vertical="center" indent="1"/>
    </xf>
    <xf numFmtId="0" fontId="2" fillId="24" borderId="3" xfId="1" applyFont="1" applyFill="1" applyBorder="1" applyAlignment="1">
      <alignment horizontal="left" vertical="center" indent="1"/>
    </xf>
    <xf numFmtId="0" fontId="3" fillId="0" borderId="0" xfId="0" applyFont="1" applyAlignment="1">
      <alignment horizontal="center" vertical="center"/>
    </xf>
    <xf numFmtId="0" fontId="3" fillId="0" borderId="0" xfId="0" applyFont="1" applyAlignment="1">
      <alignment horizontal="center" vertical="center" wrapText="1"/>
    </xf>
    <xf numFmtId="0" fontId="1" fillId="22" borderId="16" xfId="1" applyFill="1" applyBorder="1" applyAlignment="1">
      <alignment horizontal="center" vertical="center"/>
    </xf>
    <xf numFmtId="0" fontId="3" fillId="35" borderId="3" xfId="1" applyFont="1" applyFill="1" applyBorder="1" applyAlignment="1">
      <alignment horizontal="left" vertical="center" indent="1"/>
    </xf>
    <xf numFmtId="0" fontId="2" fillId="37" borderId="3" xfId="1" applyFont="1" applyFill="1" applyBorder="1" applyAlignment="1">
      <alignment horizontal="left" indent="1"/>
    </xf>
    <xf numFmtId="0" fontId="2" fillId="33" borderId="3" xfId="1" applyFont="1" applyFill="1" applyBorder="1" applyAlignment="1">
      <alignment horizontal="left" vertical="center" indent="1"/>
    </xf>
    <xf numFmtId="0" fontId="3" fillId="38" borderId="3" xfId="1" applyFont="1" applyFill="1" applyBorder="1" applyAlignment="1">
      <alignment horizontal="left" indent="1"/>
    </xf>
    <xf numFmtId="0" fontId="19" fillId="0" borderId="3" xfId="6" applyBorder="1"/>
    <xf numFmtId="0" fontId="1" fillId="45" borderId="3" xfId="1" applyFill="1" applyBorder="1" applyAlignment="1">
      <alignment horizontal="center"/>
    </xf>
    <xf numFmtId="0" fontId="1" fillId="45" borderId="3" xfId="1" applyFill="1" applyBorder="1" applyAlignment="1">
      <alignment horizontal="left"/>
    </xf>
    <xf numFmtId="0" fontId="3" fillId="40" borderId="3" xfId="1" applyFont="1" applyFill="1" applyBorder="1" applyAlignment="1">
      <alignment horizontal="left" indent="1"/>
    </xf>
    <xf numFmtId="0" fontId="3" fillId="0" borderId="0" xfId="1" applyFont="1" applyAlignment="1">
      <alignment horizontal="center" vertical="center"/>
    </xf>
    <xf numFmtId="0" fontId="10" fillId="0" borderId="0" xfId="1" applyFont="1"/>
    <xf numFmtId="0" fontId="14" fillId="18" borderId="0" xfId="1" applyFont="1" applyFill="1" applyAlignment="1">
      <alignment horizontal="right" vertical="center" indent="2"/>
    </xf>
    <xf numFmtId="44" fontId="14" fillId="18" borderId="0" xfId="4" applyFont="1" applyFill="1" applyBorder="1" applyAlignment="1">
      <alignment horizontal="right" vertical="center" indent="4"/>
    </xf>
    <xf numFmtId="0" fontId="2" fillId="10" borderId="0" xfId="1" applyFont="1" applyFill="1" applyAlignment="1">
      <alignment horizontal="left" vertical="center" indent="1"/>
    </xf>
    <xf numFmtId="0" fontId="4" fillId="2" borderId="0" xfId="1" applyFont="1" applyFill="1" applyAlignment="1">
      <alignment horizontal="center" vertical="center" wrapText="1"/>
    </xf>
    <xf numFmtId="0" fontId="4" fillId="4" borderId="0" xfId="1" applyFont="1" applyFill="1" applyAlignment="1">
      <alignment horizontal="center" vertical="center" wrapText="1"/>
    </xf>
    <xf numFmtId="0" fontId="2" fillId="4" borderId="0" xfId="1" applyFont="1" applyFill="1" applyAlignment="1">
      <alignment horizontal="center" vertical="center" wrapText="1"/>
    </xf>
    <xf numFmtId="0" fontId="4" fillId="12" borderId="0" xfId="1" applyFont="1" applyFill="1" applyAlignment="1">
      <alignment horizontal="center" vertical="center" wrapText="1"/>
    </xf>
    <xf numFmtId="0" fontId="4" fillId="5" borderId="0" xfId="1" applyFont="1" applyFill="1" applyAlignment="1">
      <alignment horizontal="center" vertical="center" wrapText="1"/>
    </xf>
    <xf numFmtId="0" fontId="7" fillId="5" borderId="0" xfId="1" applyFont="1" applyFill="1" applyAlignment="1">
      <alignment horizontal="center" vertical="center" wrapText="1"/>
    </xf>
    <xf numFmtId="0" fontId="4" fillId="11" borderId="0" xfId="1" applyFont="1" applyFill="1" applyAlignment="1">
      <alignment horizontal="center" vertical="center" wrapText="1"/>
    </xf>
    <xf numFmtId="0" fontId="2" fillId="11" borderId="0" xfId="1" applyFont="1" applyFill="1" applyAlignment="1">
      <alignment horizontal="center" vertical="center" wrapText="1"/>
    </xf>
    <xf numFmtId="0" fontId="4" fillId="17" borderId="0" xfId="1" applyFont="1" applyFill="1" applyAlignment="1">
      <alignment horizontal="center" vertical="center" wrapText="1"/>
    </xf>
    <xf numFmtId="0" fontId="2" fillId="17" borderId="0" xfId="1" applyFont="1" applyFill="1" applyAlignment="1">
      <alignment horizontal="center" vertical="center" wrapText="1"/>
    </xf>
    <xf numFmtId="0" fontId="4" fillId="2" borderId="0" xfId="1" applyFont="1" applyFill="1" applyAlignment="1">
      <alignment horizontal="left" vertical="center" wrapText="1" indent="1"/>
    </xf>
    <xf numFmtId="0" fontId="3" fillId="7" borderId="0" xfId="1" applyFont="1" applyFill="1" applyAlignment="1">
      <alignment horizontal="left" vertical="center" indent="1"/>
    </xf>
    <xf numFmtId="0" fontId="17" fillId="0" borderId="0" xfId="1" applyFont="1" applyAlignment="1">
      <alignment horizontal="center" vertical="center"/>
    </xf>
    <xf numFmtId="0" fontId="10" fillId="0" borderId="0" xfId="1" applyFont="1" applyAlignment="1">
      <alignment horizontal="center" vertical="center"/>
    </xf>
    <xf numFmtId="44" fontId="1" fillId="0" borderId="0" xfId="4" applyBorder="1" applyAlignment="1">
      <alignment horizontal="center" vertical="center"/>
    </xf>
    <xf numFmtId="0" fontId="18" fillId="13" borderId="0" xfId="1" applyFont="1" applyFill="1" applyAlignment="1">
      <alignment horizontal="center" vertical="center"/>
    </xf>
    <xf numFmtId="0" fontId="5" fillId="13" borderId="0" xfId="1" applyFont="1" applyFill="1" applyAlignment="1">
      <alignment horizontal="left" vertical="center" indent="1"/>
    </xf>
    <xf numFmtId="49" fontId="11" fillId="0" borderId="0" xfId="0" applyNumberFormat="1" applyFont="1" applyAlignment="1">
      <alignment horizontal="center" vertical="center"/>
    </xf>
    <xf numFmtId="49" fontId="11" fillId="9" borderId="0" xfId="0" applyNumberFormat="1" applyFont="1" applyFill="1" applyAlignment="1">
      <alignment horizontal="center" vertical="center"/>
    </xf>
    <xf numFmtId="44" fontId="1" fillId="0" borderId="0" xfId="4" applyFill="1" applyBorder="1" applyAlignment="1">
      <alignment horizontal="center" vertical="center"/>
    </xf>
    <xf numFmtId="0" fontId="0" fillId="46" borderId="0" xfId="0" applyFill="1"/>
    <xf numFmtId="0" fontId="0" fillId="46" borderId="0" xfId="0" applyFill="1" applyAlignment="1">
      <alignment horizontal="center" vertical="center"/>
    </xf>
    <xf numFmtId="44" fontId="0" fillId="46" borderId="0" xfId="4" applyFont="1" applyFill="1"/>
    <xf numFmtId="0" fontId="22" fillId="46" borderId="0" xfId="0" applyFont="1" applyFill="1" applyAlignment="1">
      <alignment vertical="center"/>
    </xf>
    <xf numFmtId="0" fontId="14" fillId="23" borderId="0" xfId="0" applyFont="1" applyFill="1" applyAlignment="1">
      <alignment vertical="center"/>
    </xf>
    <xf numFmtId="0" fontId="0" fillId="23" borderId="0" xfId="0" applyFill="1"/>
    <xf numFmtId="0" fontId="0" fillId="23" borderId="0" xfId="0" applyFill="1" applyAlignment="1">
      <alignment horizontal="center" vertical="center"/>
    </xf>
    <xf numFmtId="44" fontId="0" fillId="23" borderId="0" xfId="4" applyFont="1" applyFill="1"/>
    <xf numFmtId="0" fontId="0" fillId="0" borderId="0" xfId="0" pivotButton="1" applyAlignment="1">
      <alignment horizontal="center" vertical="center"/>
    </xf>
    <xf numFmtId="0" fontId="2" fillId="47" borderId="0" xfId="1" applyFont="1" applyFill="1" applyAlignment="1">
      <alignment vertical="center" wrapText="1"/>
    </xf>
    <xf numFmtId="0" fontId="1" fillId="21" borderId="0" xfId="1" applyFill="1" applyAlignment="1">
      <alignment horizontal="left" indent="1"/>
    </xf>
    <xf numFmtId="0" fontId="3" fillId="21" borderId="0" xfId="1" applyFont="1" applyFill="1" applyAlignment="1">
      <alignment horizontal="center" vertical="center"/>
    </xf>
    <xf numFmtId="0" fontId="5" fillId="21" borderId="0" xfId="1" applyFont="1" applyFill="1" applyAlignment="1">
      <alignment horizontal="center" vertical="center"/>
    </xf>
    <xf numFmtId="0" fontId="1" fillId="21" borderId="0" xfId="1" applyFill="1"/>
    <xf numFmtId="0" fontId="10" fillId="21" borderId="0" xfId="1" applyFont="1" applyFill="1"/>
    <xf numFmtId="0" fontId="1" fillId="46" borderId="0" xfId="1" applyFill="1" applyAlignment="1">
      <alignment horizontal="left" indent="1"/>
    </xf>
    <xf numFmtId="0" fontId="3" fillId="46" borderId="0" xfId="1" applyFont="1" applyFill="1" applyAlignment="1">
      <alignment horizontal="center" vertical="center"/>
    </xf>
    <xf numFmtId="0" fontId="14" fillId="47" borderId="0" xfId="1" applyFont="1" applyFill="1" applyAlignment="1">
      <alignment vertical="center"/>
    </xf>
    <xf numFmtId="44" fontId="0" fillId="0" borderId="0" xfId="4" applyFont="1" applyAlignment="1">
      <alignment wrapText="1"/>
    </xf>
    <xf numFmtId="0" fontId="0" fillId="10" borderId="0" xfId="0" applyFill="1" applyAlignment="1">
      <alignment wrapText="1"/>
    </xf>
    <xf numFmtId="0" fontId="0" fillId="0" borderId="0" xfId="0" applyAlignment="1">
      <alignment wrapText="1"/>
    </xf>
    <xf numFmtId="0" fontId="0" fillId="0" borderId="0" xfId="0" applyAlignment="1">
      <alignment horizontal="left" vertical="center"/>
    </xf>
    <xf numFmtId="44" fontId="0" fillId="13" borderId="3" xfId="4" applyFont="1" applyFill="1" applyBorder="1" applyAlignment="1">
      <alignment vertical="center"/>
    </xf>
    <xf numFmtId="0" fontId="0" fillId="0" borderId="0" xfId="0" applyAlignment="1">
      <alignment vertical="center" wrapText="1"/>
    </xf>
    <xf numFmtId="0" fontId="5" fillId="0" borderId="0" xfId="1" applyFont="1" applyAlignment="1">
      <alignment horizontal="left" vertical="center"/>
    </xf>
    <xf numFmtId="44" fontId="0" fillId="0" borderId="4" xfId="4" applyFont="1" applyFill="1" applyBorder="1" applyAlignment="1">
      <alignment vertical="center"/>
    </xf>
    <xf numFmtId="44" fontId="0" fillId="0" borderId="0" xfId="4" applyFont="1" applyAlignment="1">
      <alignment vertical="center" wrapText="1"/>
    </xf>
    <xf numFmtId="0" fontId="11" fillId="0" borderId="0" xfId="0" applyFont="1" applyAlignment="1">
      <alignment vertical="center" wrapText="1"/>
    </xf>
    <xf numFmtId="0" fontId="1" fillId="0" borderId="0" xfId="1" applyAlignment="1">
      <alignment wrapText="1"/>
    </xf>
    <xf numFmtId="0" fontId="2" fillId="10" borderId="0" xfId="1" applyFont="1" applyFill="1" applyAlignment="1">
      <alignment horizontal="center" vertical="center" wrapText="1"/>
    </xf>
    <xf numFmtId="0" fontId="1" fillId="0" borderId="0" xfId="1" applyAlignment="1">
      <alignment horizontal="center" vertical="center" wrapText="1"/>
    </xf>
    <xf numFmtId="0" fontId="24" fillId="0" borderId="0" xfId="1" applyFont="1" applyAlignment="1">
      <alignment horizontal="center" vertical="center" wrapText="1"/>
    </xf>
    <xf numFmtId="49" fontId="0" fillId="0" borderId="0" xfId="4" applyNumberFormat="1" applyFont="1" applyAlignment="1">
      <alignment wrapText="1"/>
    </xf>
    <xf numFmtId="44" fontId="0" fillId="15" borderId="8" xfId="4" applyFont="1" applyFill="1" applyBorder="1"/>
    <xf numFmtId="44" fontId="0" fillId="15" borderId="4" xfId="4" applyFont="1" applyFill="1" applyBorder="1"/>
    <xf numFmtId="44" fontId="0" fillId="15" borderId="7" xfId="4" applyFont="1" applyFill="1" applyBorder="1"/>
    <xf numFmtId="44" fontId="0" fillId="0" borderId="0" xfId="4" applyFont="1" applyBorder="1" applyAlignment="1">
      <alignment wrapText="1"/>
    </xf>
    <xf numFmtId="44" fontId="0" fillId="15" borderId="8" xfId="4" applyFont="1" applyFill="1" applyBorder="1" applyAlignment="1">
      <alignment vertical="center"/>
    </xf>
    <xf numFmtId="44" fontId="0" fillId="15" borderId="4" xfId="4" applyFont="1" applyFill="1" applyBorder="1" applyAlignment="1">
      <alignment vertical="center"/>
    </xf>
    <xf numFmtId="44" fontId="0" fillId="15" borderId="7" xfId="4" applyFont="1" applyFill="1" applyBorder="1" applyAlignment="1">
      <alignment vertical="center"/>
    </xf>
    <xf numFmtId="49" fontId="0" fillId="0" borderId="0" xfId="4" applyNumberFormat="1" applyFont="1" applyAlignment="1">
      <alignment vertical="center" wrapText="1"/>
    </xf>
    <xf numFmtId="0" fontId="5" fillId="0" borderId="0" xfId="1" applyFont="1" applyAlignment="1">
      <alignment horizontal="center" vertical="center" wrapText="1"/>
    </xf>
    <xf numFmtId="44" fontId="0" fillId="15" borderId="6" xfId="4" applyFont="1" applyFill="1" applyBorder="1" applyAlignment="1">
      <alignment vertical="center"/>
    </xf>
    <xf numFmtId="44" fontId="0" fillId="15" borderId="3" xfId="4" applyFont="1" applyFill="1" applyBorder="1" applyAlignment="1">
      <alignment vertical="center"/>
    </xf>
    <xf numFmtId="44" fontId="0" fillId="15" borderId="5" xfId="4" applyFont="1" applyFill="1" applyBorder="1" applyAlignment="1">
      <alignment vertical="center"/>
    </xf>
    <xf numFmtId="49" fontId="0" fillId="0" borderId="0" xfId="4" applyNumberFormat="1" applyFont="1" applyBorder="1" applyAlignment="1">
      <alignment vertical="center" wrapText="1"/>
    </xf>
    <xf numFmtId="44" fontId="0" fillId="0" borderId="0" xfId="4" applyFont="1" applyBorder="1" applyAlignment="1">
      <alignment vertical="center" wrapText="1"/>
    </xf>
    <xf numFmtId="0" fontId="26" fillId="7" borderId="0" xfId="1" applyFont="1" applyFill="1" applyAlignment="1">
      <alignment horizontal="left" vertical="center" indent="1"/>
    </xf>
    <xf numFmtId="0" fontId="27" fillId="0" borderId="0" xfId="1" applyFont="1" applyAlignment="1">
      <alignment horizontal="left" vertical="center" indent="1"/>
    </xf>
    <xf numFmtId="0" fontId="26" fillId="0" borderId="0" xfId="1" applyFont="1" applyAlignment="1">
      <alignment horizontal="center" vertical="center"/>
    </xf>
    <xf numFmtId="0" fontId="27" fillId="0" borderId="0" xfId="1" applyFont="1" applyAlignment="1">
      <alignment horizontal="center" vertical="center"/>
    </xf>
    <xf numFmtId="0" fontId="28" fillId="0" borderId="0" xfId="1" applyFont="1" applyAlignment="1">
      <alignment horizontal="center" vertical="center"/>
    </xf>
    <xf numFmtId="44" fontId="27" fillId="0" borderId="0" xfId="4" applyFont="1" applyAlignment="1">
      <alignment horizontal="center" vertical="center"/>
    </xf>
    <xf numFmtId="0" fontId="27" fillId="0" borderId="0" xfId="1" applyFont="1" applyAlignment="1">
      <alignment horizontal="center" vertical="center" wrapText="1"/>
    </xf>
    <xf numFmtId="0" fontId="27" fillId="0" borderId="0" xfId="1" applyFont="1" applyAlignment="1">
      <alignment horizontal="left" vertical="center" wrapText="1" indent="1"/>
    </xf>
    <xf numFmtId="0" fontId="27" fillId="0" borderId="0" xfId="1" applyFont="1" applyAlignment="1">
      <alignment vertical="center"/>
    </xf>
    <xf numFmtId="0" fontId="5" fillId="0" borderId="0" xfId="0" applyFont="1" applyAlignment="1">
      <alignment vertical="center"/>
    </xf>
    <xf numFmtId="0" fontId="5" fillId="0" borderId="0" xfId="0" applyFont="1"/>
    <xf numFmtId="44" fontId="0" fillId="48" borderId="3" xfId="4" applyFont="1" applyFill="1" applyBorder="1" applyAlignment="1">
      <alignment vertical="center"/>
    </xf>
    <xf numFmtId="0" fontId="25" fillId="0" borderId="0" xfId="1" applyFont="1" applyAlignment="1">
      <alignment horizontal="center" vertical="center"/>
    </xf>
    <xf numFmtId="0" fontId="11" fillId="0" borderId="0" xfId="0" applyFont="1"/>
    <xf numFmtId="0" fontId="29" fillId="0" borderId="17" xfId="0" applyFont="1" applyBorder="1" applyAlignment="1">
      <alignment vertical="center" wrapText="1"/>
    </xf>
    <xf numFmtId="0" fontId="23" fillId="0" borderId="18" xfId="0" applyFont="1" applyBorder="1" applyAlignment="1">
      <alignment vertical="center"/>
    </xf>
    <xf numFmtId="8" fontId="23" fillId="49" borderId="19" xfId="0" applyNumberFormat="1" applyFont="1" applyFill="1" applyBorder="1" applyAlignment="1">
      <alignment vertical="center"/>
    </xf>
    <xf numFmtId="0" fontId="23" fillId="49" borderId="20" xfId="0" applyFont="1" applyFill="1" applyBorder="1" applyAlignment="1">
      <alignment vertical="center"/>
    </xf>
    <xf numFmtId="0" fontId="23" fillId="49" borderId="21" xfId="0" applyFont="1" applyFill="1" applyBorder="1" applyAlignment="1">
      <alignment vertical="center"/>
    </xf>
    <xf numFmtId="0" fontId="23" fillId="0" borderId="22" xfId="0" applyFont="1" applyBorder="1" applyAlignment="1">
      <alignment vertical="center" wrapText="1"/>
    </xf>
    <xf numFmtId="0" fontId="23" fillId="50" borderId="17" xfId="0" applyFont="1" applyFill="1" applyBorder="1" applyAlignment="1">
      <alignment vertical="center"/>
    </xf>
    <xf numFmtId="0" fontId="23" fillId="50" borderId="18" xfId="0" applyFont="1" applyFill="1" applyBorder="1" applyAlignment="1">
      <alignment vertical="center"/>
    </xf>
    <xf numFmtId="8" fontId="23" fillId="49" borderId="6" xfId="0" applyNumberFormat="1" applyFont="1" applyFill="1" applyBorder="1" applyAlignment="1">
      <alignment vertical="center"/>
    </xf>
    <xf numFmtId="0" fontId="23" fillId="49" borderId="3" xfId="0" applyFont="1" applyFill="1" applyBorder="1" applyAlignment="1">
      <alignment vertical="center"/>
    </xf>
    <xf numFmtId="0" fontId="23" fillId="49" borderId="5" xfId="0" applyFont="1" applyFill="1" applyBorder="1" applyAlignment="1">
      <alignment vertical="center"/>
    </xf>
    <xf numFmtId="0" fontId="23" fillId="50" borderId="22" xfId="0" applyFont="1" applyFill="1" applyBorder="1" applyAlignment="1">
      <alignment vertical="center" wrapText="1"/>
    </xf>
    <xf numFmtId="0" fontId="0" fillId="0" borderId="0" xfId="1" applyFont="1" applyAlignment="1">
      <alignment horizontal="center" vertical="center" wrapText="1"/>
    </xf>
    <xf numFmtId="44" fontId="1" fillId="0" borderId="0" xfId="4" applyAlignment="1">
      <alignment horizontal="center" vertical="center"/>
    </xf>
    <xf numFmtId="0" fontId="3" fillId="7" borderId="0" xfId="1" applyFont="1" applyFill="1" applyAlignment="1">
      <alignment horizontal="right" vertical="center"/>
    </xf>
    <xf numFmtId="0" fontId="1" fillId="0" borderId="0" xfId="1" applyAlignment="1">
      <alignment horizontal="right" vertical="center"/>
    </xf>
    <xf numFmtId="0" fontId="5" fillId="0" borderId="0" xfId="1" applyFont="1" applyAlignment="1">
      <alignment horizontal="right" vertical="center"/>
    </xf>
    <xf numFmtId="0" fontId="17" fillId="0" borderId="0" xfId="1" applyFont="1" applyAlignment="1">
      <alignment horizontal="right" vertical="center"/>
    </xf>
    <xf numFmtId="0" fontId="1" fillId="0" borderId="0" xfId="1" applyAlignment="1">
      <alignment horizontal="right" vertical="center" wrapText="1"/>
    </xf>
    <xf numFmtId="0" fontId="31" fillId="0" borderId="0" xfId="0" applyFont="1" applyAlignment="1">
      <alignment wrapText="1"/>
    </xf>
    <xf numFmtId="44" fontId="31" fillId="0" borderId="0" xfId="4" applyFont="1" applyAlignment="1">
      <alignment horizontal="center" vertical="center"/>
    </xf>
    <xf numFmtId="0" fontId="32" fillId="0" borderId="0" xfId="0" applyFont="1" applyAlignment="1">
      <alignment wrapText="1"/>
    </xf>
    <xf numFmtId="44" fontId="33" fillId="0" borderId="0" xfId="4" applyFont="1" applyAlignment="1">
      <alignment horizontal="center" vertical="center"/>
    </xf>
    <xf numFmtId="0" fontId="34" fillId="0" borderId="0" xfId="1" applyFont="1" applyAlignment="1">
      <alignment horizontal="center" vertical="center"/>
    </xf>
    <xf numFmtId="0" fontId="35" fillId="0" borderId="0" xfId="1" applyFont="1" applyAlignment="1">
      <alignment horizontal="center" vertical="center"/>
    </xf>
    <xf numFmtId="0" fontId="36" fillId="0" borderId="0" xfId="1" applyFont="1" applyAlignment="1">
      <alignment horizontal="center" vertical="center" wrapText="1"/>
    </xf>
    <xf numFmtId="44" fontId="36" fillId="0" borderId="0" xfId="4" applyFont="1" applyBorder="1" applyAlignment="1">
      <alignment horizontal="center" vertical="center"/>
    </xf>
    <xf numFmtId="0" fontId="36" fillId="0" borderId="0" xfId="1" applyFont="1" applyAlignment="1">
      <alignment horizontal="left" vertical="center" indent="1"/>
    </xf>
    <xf numFmtId="0" fontId="24" fillId="0" borderId="0" xfId="1" applyFont="1" applyAlignment="1">
      <alignment horizontal="left" vertical="center" indent="1"/>
    </xf>
    <xf numFmtId="0" fontId="37" fillId="0" borderId="0" xfId="1" applyFont="1" applyAlignment="1">
      <alignment horizontal="left" vertical="center" indent="1"/>
    </xf>
    <xf numFmtId="0" fontId="6" fillId="3" borderId="2" xfId="1" applyFont="1" applyFill="1" applyBorder="1" applyAlignment="1">
      <alignment horizontal="center" vertical="center"/>
    </xf>
    <xf numFmtId="0" fontId="6" fillId="3" borderId="0" xfId="1" applyFont="1" applyFill="1" applyAlignment="1">
      <alignment horizontal="left" vertical="center" indent="1"/>
    </xf>
    <xf numFmtId="0" fontId="20" fillId="23" borderId="0" xfId="1" applyFont="1" applyFill="1" applyAlignment="1">
      <alignment horizontal="left" vertical="center" indent="2"/>
    </xf>
    <xf numFmtId="0" fontId="1" fillId="31" borderId="5" xfId="1" applyFill="1" applyBorder="1" applyAlignment="1">
      <alignment horizontal="right" indent="3"/>
    </xf>
    <xf numFmtId="0" fontId="1" fillId="31" borderId="6" xfId="1" applyFill="1" applyBorder="1" applyAlignment="1">
      <alignment horizontal="right" indent="3"/>
    </xf>
    <xf numFmtId="0" fontId="1" fillId="0" borderId="0" xfId="1" applyFill="1" applyAlignment="1">
      <alignment horizontal="left" vertical="center" indent="1"/>
    </xf>
    <xf numFmtId="0" fontId="5" fillId="0" borderId="0" xfId="1" applyFont="1" applyFill="1" applyAlignment="1">
      <alignment horizontal="left" vertical="center" indent="1"/>
    </xf>
    <xf numFmtId="0" fontId="17" fillId="0" borderId="0" xfId="1" applyFont="1" applyFill="1" applyAlignment="1">
      <alignment horizontal="center" vertical="center"/>
    </xf>
    <xf numFmtId="0" fontId="5" fillId="0" borderId="0" xfId="1" applyFont="1" applyFill="1" applyAlignment="1">
      <alignment horizontal="center" vertical="center"/>
    </xf>
    <xf numFmtId="0" fontId="1" fillId="0" borderId="0" xfId="1" applyFill="1" applyAlignment="1">
      <alignment horizontal="center" vertical="center"/>
    </xf>
    <xf numFmtId="0" fontId="10" fillId="0" borderId="0" xfId="1" applyNumberFormat="1" applyFont="1" applyFill="1" applyAlignment="1">
      <alignment horizontal="center" vertical="center"/>
    </xf>
    <xf numFmtId="0" fontId="1" fillId="0" borderId="0" xfId="1" applyNumberFormat="1" applyFill="1" applyAlignment="1">
      <alignment horizontal="left" vertical="center" indent="1"/>
    </xf>
    <xf numFmtId="44" fontId="1" fillId="0" borderId="0" xfId="4" applyNumberFormat="1" applyAlignment="1">
      <alignment horizontal="center" vertical="center"/>
    </xf>
    <xf numFmtId="0" fontId="1" fillId="0" borderId="0" xfId="1" applyFill="1" applyAlignment="1">
      <alignment horizontal="center" vertical="center" wrapText="1"/>
    </xf>
    <xf numFmtId="0" fontId="1" fillId="0" borderId="0" xfId="1" applyFill="1" applyAlignment="1">
      <alignment horizontal="left" vertical="center" wrapText="1" indent="1"/>
    </xf>
    <xf numFmtId="0" fontId="1" fillId="0" borderId="0" xfId="4" applyNumberFormat="1" applyAlignment="1">
      <alignment horizontal="center" vertical="center" wrapText="1"/>
    </xf>
  </cellXfs>
  <cellStyles count="8">
    <cellStyle name="20% - Accent2 2 2" xfId="5" xr:uid="{B0D131A5-54E3-4BF0-9727-B2CD6199ED7C}"/>
    <cellStyle name="Currency" xfId="4" builtinId="4"/>
    <cellStyle name="Currency 2" xfId="3" xr:uid="{C2C39020-73CC-48F8-B2ED-6A474663120F}"/>
    <cellStyle name="Normal" xfId="0" builtinId="0"/>
    <cellStyle name="Normal 2" xfId="6" xr:uid="{7F755DFE-4E81-4DDA-8C19-69A8FB52E862}"/>
    <cellStyle name="Normal 2 2" xfId="7" xr:uid="{8DB3A87A-A80A-41AE-BACB-E2486AF8342C}"/>
    <cellStyle name="Normal 2 4 2" xfId="1" xr:uid="{FF811F41-E253-4B8D-B690-EE0EBEFA4259}"/>
    <cellStyle name="Normal 3 2" xfId="2" xr:uid="{2882ECB2-96B1-4DEC-A863-4E5684D2634C}"/>
  </cellStyles>
  <dxfs count="396">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ont>
        <color rgb="FF9C0006"/>
      </font>
      <fill>
        <patternFill>
          <bgColor rgb="FFFFC7CE"/>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5" tint="0.59996337778862885"/>
        </patternFill>
      </fill>
    </dxf>
    <dxf>
      <alignment horizontal="center"/>
    </dxf>
    <dxf>
      <alignment horizontal="center"/>
    </dxf>
    <dxf>
      <alignment horizontal="center"/>
    </dxf>
    <dxf>
      <alignment vertical="center"/>
    </dxf>
    <dxf>
      <alignment vertical="center"/>
    </dxf>
    <dxf>
      <alignment vertical="center"/>
    </dxf>
    <dxf>
      <alignment vertical="center"/>
    </dxf>
    <dxf>
      <alignment wrapText="1"/>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34" formatCode="_-&quot;$&quot;* #,##0.00_-;\-&quot;$&quot;* #,##0.00_-;_-&quot;$&quot;* &quot;-&quot;??_-;_-@_-"/>
    </dxf>
    <dxf>
      <alignment horizontal="center"/>
    </dxf>
    <dxf>
      <alignment vertical="center"/>
    </dxf>
    <dxf>
      <fill>
        <patternFill patternType="solid">
          <fgColor indexed="64"/>
          <bgColor theme="2" tint="-9.9978637043366805E-2"/>
        </patternFill>
      </fill>
    </dxf>
    <dxf>
      <fill>
        <patternFill patternType="solid">
          <fgColor indexed="64"/>
          <bgColor theme="2" tint="-9.9978637043366805E-2"/>
        </patternFill>
      </fill>
    </dxf>
    <dxf>
      <fill>
        <patternFill patternType="solid">
          <fgColor indexed="64"/>
          <bgColor theme="2" tint="-9.9978637043366805E-2"/>
        </patternFill>
      </fill>
    </dxf>
    <dxf>
      <fill>
        <patternFill patternType="solid">
          <fgColor indexed="64"/>
          <bgColor theme="2" tint="-9.9978637043366805E-2"/>
        </patternFill>
      </fill>
    </dxf>
    <dxf>
      <fill>
        <patternFill patternType="solid">
          <fgColor indexed="64"/>
          <bgColor theme="2" tint="-9.9978637043366805E-2"/>
        </patternFill>
      </fill>
    </dxf>
    <dxf>
      <fill>
        <patternFill patternType="solid">
          <fgColor indexed="64"/>
          <bgColor theme="2" tint="-9.9978637043366805E-2"/>
        </patternFill>
      </fill>
    </dxf>
    <dxf>
      <fill>
        <patternFill patternType="solid">
          <fgColor indexed="64"/>
          <bgColor theme="2" tint="-9.9978637043366805E-2"/>
        </patternFill>
      </fill>
    </dxf>
    <dxf>
      <fill>
        <patternFill patternType="solid">
          <fgColor indexed="64"/>
          <bgColor theme="2" tint="-9.9978637043366805E-2"/>
        </patternFill>
      </fill>
    </dxf>
    <dxf>
      <fill>
        <patternFill patternType="solid">
          <fgColor indexed="64"/>
          <bgColor theme="2" tint="-9.9978637043366805E-2"/>
        </patternFill>
      </fill>
    </dxf>
    <dxf>
      <fill>
        <patternFill patternType="solid">
          <fgColor indexed="64"/>
          <bgColor theme="2" tint="-9.9978637043366805E-2"/>
        </patternFill>
      </fill>
    </dxf>
    <dxf>
      <fill>
        <patternFill patternType="solid">
          <fgColor indexed="64"/>
          <bgColor theme="2" tint="-9.9978637043366805E-2"/>
        </patternFill>
      </fill>
    </dxf>
    <dxf>
      <fill>
        <patternFill patternType="solid">
          <fgColor indexed="64"/>
          <bgColor theme="2" tint="-9.9978637043366805E-2"/>
        </patternFill>
      </fill>
    </dxf>
    <dxf>
      <fill>
        <patternFill patternType="solid">
          <fgColor indexed="64"/>
          <bgColor theme="2" tint="-9.9978637043366805E-2"/>
        </patternFill>
      </fill>
    </dxf>
    <dxf>
      <fill>
        <patternFill patternType="solid">
          <fgColor indexed="64"/>
          <bgColor theme="2" tint="-9.9978637043366805E-2"/>
        </patternFill>
      </fill>
    </dxf>
    <dxf>
      <fill>
        <patternFill patternType="solid">
          <fgColor indexed="64"/>
          <bgColor theme="2" tint="-9.9978637043366805E-2"/>
        </patternFill>
      </fill>
    </dxf>
    <dxf>
      <fill>
        <patternFill patternType="solid">
          <fgColor indexed="64"/>
          <bgColor theme="2" tint="-9.9978637043366805E-2"/>
        </patternFill>
      </fill>
    </dxf>
    <dxf>
      <fill>
        <patternFill patternType="solid">
          <fgColor indexed="64"/>
          <bgColor theme="2" tint="-9.9978637043366805E-2"/>
        </patternFill>
      </fill>
    </dxf>
    <dxf>
      <fill>
        <patternFill patternType="solid">
          <fgColor indexed="64"/>
          <bgColor theme="2" tint="-9.9978637043366805E-2"/>
        </patternFill>
      </fill>
    </dxf>
    <dxf>
      <alignment wrapText="1"/>
    </dxf>
    <dxf>
      <font>
        <b val="0"/>
      </font>
    </dxf>
    <dxf>
      <font>
        <b val="0"/>
      </font>
    </dxf>
    <dxf>
      <font>
        <b/>
      </font>
    </dxf>
    <dxf>
      <font>
        <b/>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horizontal="center"/>
    </dxf>
    <dxf>
      <alignment horizontal="center"/>
    </dxf>
    <dxf>
      <alignment vertical="center"/>
    </dxf>
    <dxf>
      <alignment vertical="center"/>
    </dxf>
    <dxf>
      <fill>
        <patternFill patternType="solid">
          <fgColor indexed="64"/>
          <bgColor theme="2" tint="-9.9978637043366805E-2"/>
        </patternFill>
      </fill>
    </dxf>
    <dxf>
      <fill>
        <patternFill patternType="solid">
          <fgColor indexed="64"/>
          <bgColor theme="2" tint="-9.9978637043366805E-2"/>
        </patternFill>
      </fill>
    </dxf>
    <dxf>
      <fill>
        <patternFill patternType="solid">
          <fgColor indexed="64"/>
          <bgColor theme="2" tint="-9.9978637043366805E-2"/>
        </patternFill>
      </fill>
    </dxf>
    <dxf>
      <fill>
        <patternFill patternType="solid">
          <fgColor indexed="64"/>
          <bgColor theme="2" tint="-9.9978637043366805E-2"/>
        </patternFill>
      </fill>
    </dxf>
    <dxf>
      <fill>
        <patternFill patternType="solid">
          <fgColor indexed="64"/>
          <bgColor theme="2" tint="-9.9978637043366805E-2"/>
        </patternFill>
      </fill>
    </dxf>
    <dxf>
      <fill>
        <patternFill patternType="solid">
          <fgColor indexed="64"/>
          <bgColor theme="2" tint="-9.9978637043366805E-2"/>
        </patternFill>
      </fill>
    </dxf>
    <dxf>
      <fill>
        <patternFill patternType="solid">
          <fgColor indexed="64"/>
          <bgColor theme="2" tint="-9.9978637043366805E-2"/>
        </patternFill>
      </fill>
    </dxf>
    <dxf>
      <fill>
        <patternFill patternType="solid">
          <fgColor indexed="64"/>
          <bgColor theme="2" tint="-9.9978637043366805E-2"/>
        </patternFill>
      </fill>
    </dxf>
    <dxf>
      <fill>
        <patternFill patternType="solid">
          <fgColor indexed="64"/>
          <bgColor theme="2" tint="-9.9978637043366805E-2"/>
        </patternFill>
      </fill>
    </dxf>
    <dxf>
      <fill>
        <patternFill patternType="solid">
          <fgColor indexed="64"/>
          <bgColor theme="2" tint="-9.9978637043366805E-2"/>
        </patternFill>
      </fill>
    </dxf>
    <dxf>
      <fill>
        <patternFill patternType="solid">
          <fgColor indexed="64"/>
          <bgColor theme="2" tint="-9.9978637043366805E-2"/>
        </patternFill>
      </fill>
    </dxf>
    <dxf>
      <fill>
        <patternFill patternType="solid">
          <fgColor indexed="64"/>
          <bgColor theme="2" tint="-9.9978637043366805E-2"/>
        </patternFill>
      </fill>
    </dxf>
    <dxf>
      <fill>
        <patternFill patternType="solid">
          <fgColor indexed="64"/>
          <bgColor theme="2" tint="-9.9978637043366805E-2"/>
        </patternFill>
      </fill>
    </dxf>
    <dxf>
      <fill>
        <patternFill patternType="solid">
          <fgColor indexed="64"/>
          <bgColor theme="2" tint="-9.9978637043366805E-2"/>
        </patternFill>
      </fill>
    </dxf>
    <dxf>
      <fill>
        <patternFill patternType="solid">
          <fgColor indexed="64"/>
          <bgColor theme="2" tint="-9.9978637043366805E-2"/>
        </patternFill>
      </fill>
    </dxf>
    <dxf>
      <fill>
        <patternFill patternType="solid">
          <fgColor indexed="64"/>
          <bgColor theme="2" tint="-9.9978637043366805E-2"/>
        </patternFill>
      </fill>
    </dxf>
    <dxf>
      <fill>
        <patternFill patternType="solid">
          <fgColor indexed="64"/>
          <bgColor theme="2" tint="-9.9978637043366805E-2"/>
        </patternFill>
      </fill>
    </dxf>
    <dxf>
      <fill>
        <patternFill patternType="solid">
          <fgColor indexed="64"/>
          <bgColor theme="2" tint="-9.9978637043366805E-2"/>
        </patternFill>
      </fill>
    </dxf>
    <dxf>
      <alignment wrapText="1"/>
    </dxf>
    <dxf>
      <numFmt numFmtId="0" formatCode="General"/>
      <alignment vertical="center" textRotation="0" wrapText="0" indent="0" justifyLastLine="0" shrinkToFit="0" readingOrder="0"/>
      <border diagonalUp="0" diagonalDown="0">
        <left/>
        <right/>
        <top style="thin">
          <color indexed="64"/>
        </top>
        <bottom style="thin">
          <color indexed="64"/>
        </bottom>
        <vertical/>
        <horizontal style="thin">
          <color indexed="64"/>
        </horizontal>
      </border>
    </dxf>
    <dxf>
      <numFmt numFmtId="27" formatCode="d/mm/yyyy\ h:mm"/>
      <alignment horizontal="center" vertical="center" textRotation="0" wrapText="0" indent="0" justifyLastLine="0" shrinkToFit="0" readingOrder="0"/>
      <border diagonalUp="0" diagonalDown="0">
        <left/>
        <right/>
        <top style="thin">
          <color indexed="64"/>
        </top>
        <bottom style="thin">
          <color indexed="64"/>
        </bottom>
        <vertical/>
        <horizontal style="thin">
          <color indexed="64"/>
        </horizontal>
      </border>
    </dxf>
    <dxf>
      <fill>
        <patternFill patternType="none">
          <fgColor indexed="64"/>
          <bgColor auto="1"/>
        </patternFill>
      </fill>
      <alignment horizontal="center" vertical="center" textRotation="0" wrapText="0" indent="0" justifyLastLine="0" shrinkToFit="0" readingOrder="0"/>
      <border diagonalUp="0" diagonalDown="0">
        <left/>
        <right/>
        <top style="thin">
          <color indexed="64"/>
        </top>
        <bottom style="thin">
          <color indexed="64"/>
        </bottom>
        <vertical/>
        <horizontal style="thin">
          <color indexed="64"/>
        </horizontal>
      </border>
    </dxf>
    <dxf>
      <numFmt numFmtId="27" formatCode="d/mm/yyyy\ h:mm"/>
      <alignment horizontal="center" vertical="center" textRotation="0" wrapText="0" indent="0" justifyLastLine="0" shrinkToFit="0" readingOrder="0"/>
      <border diagonalUp="0" diagonalDown="0">
        <left/>
        <right/>
        <top style="thin">
          <color indexed="64"/>
        </top>
        <bottom style="thin">
          <color indexed="64"/>
        </bottom>
        <vertical/>
        <horizontal style="thin">
          <color indexed="64"/>
        </horizontal>
      </border>
    </dxf>
    <dxf>
      <alignment horizontal="center" vertical="center" textRotation="0" wrapText="0" indent="0" justifyLastLine="0" shrinkToFit="0" readingOrder="0"/>
      <border diagonalUp="0" diagonalDown="0">
        <left/>
        <right/>
        <top style="thin">
          <color indexed="64"/>
        </top>
        <bottom style="thin">
          <color indexed="64"/>
        </bottom>
        <vertical/>
        <horizontal style="thin">
          <color indexed="64"/>
        </horizontal>
      </border>
    </dxf>
    <dxf>
      <alignment horizontal="center" vertical="center" textRotation="0" wrapText="0" indent="0" justifyLastLine="0" shrinkToFit="0" readingOrder="0"/>
      <border diagonalUp="0" diagonalDown="0">
        <left/>
        <right/>
        <top style="thin">
          <color indexed="64"/>
        </top>
        <bottom style="thin">
          <color indexed="64"/>
        </bottom>
        <vertical/>
        <horizontal style="thin">
          <color indexed="64"/>
        </horizontal>
      </border>
    </dxf>
    <dxf>
      <numFmt numFmtId="27" formatCode="d/mm/yyyy\ h:mm"/>
      <alignment horizontal="center" vertical="center" textRotation="0" wrapText="0" indent="0" justifyLastLine="0" shrinkToFit="0" readingOrder="0"/>
      <border diagonalUp="0" diagonalDown="0">
        <left/>
        <right/>
        <top style="thin">
          <color indexed="64"/>
        </top>
        <bottom style="thin">
          <color indexed="64"/>
        </bottom>
        <vertical/>
        <horizontal style="thin">
          <color indexed="64"/>
        </horizontal>
      </border>
    </dxf>
    <dxf>
      <alignment horizontal="left" vertical="center" textRotation="0" wrapText="0" relativeIndent="1" justifyLastLine="0" shrinkToFit="0" readingOrder="0"/>
      <border diagonalUp="0" diagonalDown="0">
        <left/>
        <right/>
        <top style="thin">
          <color indexed="64"/>
        </top>
        <bottom style="thin">
          <color indexed="64"/>
        </bottom>
        <vertical/>
        <horizontal style="thin">
          <color indexed="64"/>
        </horizontal>
      </border>
    </dxf>
    <dxf>
      <alignment horizontal="left" vertical="center" textRotation="0" wrapText="0" relativeIndent="1" justifyLastLine="0" shrinkToFit="0" readingOrder="0"/>
      <border diagonalUp="0" diagonalDown="0" outline="0">
        <left/>
        <right/>
        <top style="thin">
          <color indexed="64"/>
        </top>
        <bottom style="thin">
          <color indexed="64"/>
        </bottom>
      </border>
    </dxf>
    <dxf>
      <alignment horizontal="center" vertical="center" textRotation="0" wrapText="0" indent="0" justifyLastLine="0" shrinkToFit="0" readingOrder="0"/>
      <border diagonalUp="0" diagonalDown="0" outline="0">
        <left/>
        <right/>
        <top style="thin">
          <color indexed="64"/>
        </top>
        <bottom style="thin">
          <color indexed="64"/>
        </bottom>
      </border>
    </dxf>
    <dxf>
      <alignment horizontal="left" vertical="center" textRotation="0" wrapText="0" indent="1" justifyLastLine="0" shrinkToFit="0" readingOrder="0"/>
      <border diagonalUp="0" diagonalDown="0">
        <left/>
        <right/>
        <top style="thin">
          <color indexed="64"/>
        </top>
        <bottom style="thin">
          <color indexed="64"/>
        </bottom>
        <vertical/>
        <horizontal/>
      </border>
    </dxf>
    <dxf>
      <alignment horizontal="left" vertical="center" textRotation="0" wrapText="0" indent="1" justifyLastLine="0" shrinkToFit="0" readingOrder="0"/>
      <border diagonalUp="0" diagonalDown="0">
        <left/>
        <right/>
        <top style="thin">
          <color indexed="64"/>
        </top>
        <bottom style="thin">
          <color indexed="64"/>
        </bottom>
        <vertical/>
        <horizontal/>
      </border>
    </dxf>
    <dxf>
      <alignment horizontal="left" vertical="center" textRotation="0" wrapText="0" indent="1" justifyLastLine="0" shrinkToFit="0" readingOrder="0"/>
      <border diagonalUp="0" diagonalDown="0">
        <left/>
        <right/>
        <top style="thin">
          <color indexed="64"/>
        </top>
        <bottom style="thin">
          <color indexed="64"/>
        </bottom>
        <vertical/>
        <horizontal/>
      </border>
    </dxf>
    <dxf>
      <alignment horizontal="left" vertical="center" textRotation="0" wrapText="0" relativeIndent="1" justifyLastLine="0" shrinkToFit="0" readingOrder="0"/>
      <border diagonalUp="0" diagonalDown="0">
        <left/>
        <right/>
        <top style="thin">
          <color indexed="64"/>
        </top>
        <bottom style="thin">
          <color indexed="64"/>
        </bottom>
        <vertical/>
        <horizontal style="thin">
          <color indexed="64"/>
        </horizontal>
      </border>
    </dxf>
    <dxf>
      <alignment horizontal="center" vertical="center" textRotation="0" wrapText="0" indent="0" justifyLastLine="0" shrinkToFit="0" readingOrder="0"/>
      <border diagonalUp="0" diagonalDown="0">
        <left/>
        <right/>
        <top style="thin">
          <color indexed="64"/>
        </top>
        <bottom style="thin">
          <color indexed="64"/>
        </bottom>
        <vertical/>
        <horizontal style="thin">
          <color indexed="64"/>
        </horizontal>
      </border>
    </dxf>
    <dxf>
      <alignment horizontal="center" vertical="center" textRotation="0" wrapText="0" indent="0" justifyLastLine="0" shrinkToFit="0" readingOrder="0"/>
      <border diagonalUp="0" diagonalDown="0">
        <left/>
        <right/>
        <top style="thin">
          <color indexed="64"/>
        </top>
        <bottom style="thin">
          <color indexed="64"/>
        </bottom>
        <vertical/>
        <horizontal style="thin">
          <color indexed="64"/>
        </horizontal>
      </border>
    </dxf>
    <dxf>
      <fill>
        <patternFill patternType="none">
          <fgColor indexed="64"/>
          <bgColor indexed="65"/>
        </patternFill>
      </fill>
    </dxf>
    <dxf>
      <border>
        <top style="thin">
          <color indexed="64"/>
        </top>
      </border>
    </dxf>
    <dxf>
      <border diagonalUp="0" diagonalDown="0">
        <left/>
        <right/>
        <top style="thin">
          <color indexed="64"/>
        </top>
        <bottom style="thin">
          <color indexed="64"/>
        </bottom>
      </border>
    </dxf>
    <dxf>
      <alignment vertical="center" textRotation="0" wrapText="0" indent="0" justifyLastLine="0" shrinkToFit="0" readingOrder="0"/>
    </dxf>
    <dxf>
      <border>
        <bottom style="thin">
          <color indexed="64"/>
        </bottom>
      </border>
    </dxf>
    <dxf>
      <alignment vertical="center" textRotation="0" wrapText="0" indent="0" justifyLastLine="0" shrinkToFit="0" readingOrder="0"/>
    </dxf>
    <dxf>
      <alignment horizontal="left" vertical="center" textRotation="0" wrapText="1" indent="1" justifyLastLine="0" shrinkToFit="0" readingOrder="0"/>
    </dxf>
    <dxf>
      <alignment horizontal="left" vertical="center" textRotation="0" wrapText="1" indent="1" justifyLastLine="0" shrinkToFit="0" readingOrder="0"/>
    </dxf>
    <dxf>
      <alignment horizontal="left" vertical="center" textRotation="0" wrapText="1" indent="1" justifyLastLine="0" shrinkToFit="0" readingOrder="0"/>
    </dxf>
    <dxf>
      <alignment horizontal="left" vertical="center" textRotation="0" wrapText="1" indent="1" justifyLastLine="0" shrinkToFit="0" readingOrder="0"/>
    </dxf>
    <dxf>
      <alignment horizontal="left" vertical="center" textRotation="0" wrapText="1" indent="1" justifyLastLine="0" shrinkToFit="0" readingOrder="0"/>
    </dxf>
    <dxf>
      <alignment horizontal="left" vertical="center" textRotation="0" wrapText="1" indent="1" justifyLastLine="0" shrinkToFit="0" readingOrder="0"/>
    </dxf>
    <dxf>
      <alignment horizontal="left" vertical="center" textRotation="0" wrapText="1" indent="1" justifyLastLine="0" shrinkToFit="0" readingOrder="0"/>
    </dxf>
    <dxf>
      <alignment horizontal="left" vertical="center" textRotation="0" wrapText="1" indent="1" justifyLastLine="0" shrinkToFit="0" readingOrder="0"/>
    </dxf>
    <dxf>
      <alignment horizontal="left" vertical="center" textRotation="0" wrapText="1" indent="1" justifyLastLine="0" shrinkToFit="0" readingOrder="0"/>
    </dxf>
    <dxf>
      <alignment horizontal="left" vertical="center" textRotation="0" wrapText="1" indent="1" justifyLastLine="0" shrinkToFit="0" readingOrder="0"/>
    </dxf>
    <dxf>
      <alignment horizontal="left" vertical="center" textRotation="0" wrapText="1" indent="1" justifyLastLine="0" shrinkToFit="0" readingOrder="0"/>
    </dxf>
    <dxf>
      <alignment horizontal="left" vertical="center" textRotation="0" wrapText="1" indent="1" justifyLastLine="0" shrinkToFit="0" readingOrder="0"/>
    </dxf>
    <dxf>
      <alignment horizontal="left" vertical="center" textRotation="0" wrapText="1" indent="1" justifyLastLine="0" shrinkToFit="0" readingOrder="0"/>
    </dxf>
    <dxf>
      <alignment horizontal="left" vertical="center" textRotation="0" wrapText="1" indent="1" justifyLastLine="0" shrinkToFit="0" readingOrder="0"/>
    </dxf>
    <dxf>
      <alignment horizontal="left" vertical="center" textRotation="0" wrapText="1" indent="1" justifyLastLine="0" shrinkToFit="0" readingOrder="0"/>
    </dxf>
    <dxf>
      <alignment horizontal="left" vertical="center" textRotation="0" wrapText="1" indent="1"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numFmt numFmtId="34" formatCode="_-&quot;$&quot;* #,##0.00_-;\-&quot;$&quot;* #,##0.00_-;_-&quot;$&quot;* &quot;-&quot;??_-;_-@_-"/>
      <alignment horizontal="center" vertical="center" textRotation="0" wrapText="0" indent="0" justifyLastLine="0" shrinkToFit="0" readingOrder="0"/>
    </dxf>
    <dxf>
      <numFmt numFmtId="34" formatCode="_-&quot;$&quot;* #,##0.00_-;\-&quot;$&quot;* #,##0.00_-;_-&quot;$&quot;* &quot;-&quot;??_-;_-@_-"/>
      <alignment horizontal="center" vertical="center" textRotation="0" wrapText="0" indent="0" justifyLastLine="0" shrinkToFit="0" readingOrder="0"/>
    </dxf>
    <dxf>
      <numFmt numFmtId="34" formatCode="_-&quot;$&quot;* #,##0.00_-;\-&quot;$&quot;* #,##0.00_-;_-&quot;$&quot;* &quot;-&quot;??_-;_-@_-"/>
      <alignment horizontal="center" vertical="center" textRotation="0" wrapText="0" indent="0" justifyLastLine="0" shrinkToFit="0" readingOrder="0"/>
    </dxf>
    <dxf>
      <numFmt numFmtId="34" formatCode="_-&quot;$&quot;* #,##0.00_-;\-&quot;$&quot;* #,##0.00_-;_-&quot;$&quot;* &quot;-&quot;??_-;_-@_-"/>
      <alignment horizontal="center" vertical="center" textRotation="0" wrapText="0" indent="0" justifyLastLine="0" shrinkToFit="0" readingOrder="0"/>
    </dxf>
    <dxf>
      <alignment horizontal="left" vertical="center" textRotation="0" wrapText="0" relativeIndent="1" justifyLastLine="0" shrinkToFit="0" readingOrder="0"/>
    </dxf>
    <dxf>
      <numFmt numFmtId="0" formatCode="General"/>
      <alignment horizontal="left" vertical="center" textRotation="0" wrapText="0" relativeIndent="1" justifyLastLine="0" shrinkToFit="0" readingOrder="0"/>
    </dxf>
    <dxf>
      <font>
        <b/>
        <strike val="0"/>
        <outline val="0"/>
        <shadow val="0"/>
        <u val="none"/>
        <vertAlign val="baseline"/>
        <sz val="12"/>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center" textRotation="0" wrapText="0" indent="1" justifyLastLine="0" shrinkToFit="0" readingOrder="0"/>
    </dxf>
    <dxf>
      <font>
        <b val="0"/>
        <i val="0"/>
        <strike val="0"/>
        <condense val="0"/>
        <extend val="0"/>
        <outline val="0"/>
        <shadow val="0"/>
        <u val="none"/>
        <vertAlign val="baseline"/>
        <sz val="11"/>
        <color auto="1"/>
        <name val="Calibri"/>
        <family val="2"/>
        <scheme val="minor"/>
      </font>
      <alignment horizontal="left" vertical="center" textRotation="0" wrapText="0" indent="1" justifyLastLine="0" shrinkToFit="0" readingOrder="0"/>
    </dxf>
    <dxf>
      <font>
        <b val="0"/>
        <i val="0"/>
        <strike val="0"/>
        <condense val="0"/>
        <extend val="0"/>
        <outline val="0"/>
        <shadow val="0"/>
        <u val="none"/>
        <vertAlign val="baseline"/>
        <sz val="11"/>
        <color auto="1"/>
        <name val="Calibri"/>
        <family val="2"/>
        <scheme val="minor"/>
      </font>
      <alignment horizontal="left" vertical="center" textRotation="0" wrapText="0" indent="1" justifyLastLine="0" shrinkToFit="0" readingOrder="0"/>
    </dxf>
    <dxf>
      <font>
        <b val="0"/>
        <i val="0"/>
        <strike val="0"/>
        <condense val="0"/>
        <extend val="0"/>
        <outline val="0"/>
        <shadow val="0"/>
        <u val="none"/>
        <vertAlign val="baseline"/>
        <sz val="11"/>
        <color auto="1"/>
        <name val="Calibri"/>
        <family val="2"/>
        <scheme val="minor"/>
      </font>
      <alignment horizontal="left" vertical="center" textRotation="0" wrapText="0" indent="1" justifyLastLine="0" shrinkToFit="0" readingOrder="0"/>
    </dxf>
    <dxf>
      <font>
        <b val="0"/>
        <i val="0"/>
        <strike val="0"/>
        <condense val="0"/>
        <extend val="0"/>
        <outline val="0"/>
        <shadow val="0"/>
        <u val="none"/>
        <vertAlign val="baseline"/>
        <sz val="11"/>
        <color auto="1"/>
        <name val="Calibri"/>
        <family val="2"/>
        <scheme val="minor"/>
      </font>
      <alignment horizontal="left" vertical="center" textRotation="0" wrapText="0" indent="1" justifyLastLine="0" shrinkToFit="0" readingOrder="0"/>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center" textRotation="0" wrapText="0" indent="1" justifyLastLine="0" shrinkToFit="0" readingOrder="0"/>
    </dxf>
    <dxf>
      <font>
        <b/>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center" textRotation="0" wrapText="0" indent="1" justifyLastLine="0" shrinkToFit="0" readingOrder="0"/>
    </dxf>
    <dxf>
      <font>
        <b val="0"/>
        <i val="0"/>
        <strike val="0"/>
        <condense val="0"/>
        <extend val="0"/>
        <outline val="0"/>
        <shadow val="0"/>
        <u val="none"/>
        <vertAlign val="baseline"/>
        <sz val="11"/>
        <color auto="1"/>
        <name val="Calibri"/>
        <family val="2"/>
        <scheme val="minor"/>
      </font>
      <alignment horizontal="left" vertical="center" textRotation="0" wrapText="0" indent="1" justifyLastLine="0" shrinkToFit="0" readingOrder="0"/>
    </dxf>
    <dxf>
      <font>
        <b val="0"/>
        <i val="0"/>
        <strike val="0"/>
        <condense val="0"/>
        <extend val="0"/>
        <outline val="0"/>
        <shadow val="0"/>
        <u val="none"/>
        <vertAlign val="baseline"/>
        <sz val="11"/>
        <color auto="1"/>
        <name val="Calibri"/>
        <family val="2"/>
        <scheme val="minor"/>
      </font>
      <alignment horizontal="left" vertical="center" textRotation="0" wrapText="0" indent="1" justifyLastLine="0" shrinkToFit="0" readingOrder="0"/>
    </dxf>
    <dxf>
      <font>
        <b val="0"/>
        <i val="0"/>
        <strike val="0"/>
        <condense val="0"/>
        <extend val="0"/>
        <outline val="0"/>
        <shadow val="0"/>
        <u val="none"/>
        <vertAlign val="baseline"/>
        <sz val="11"/>
        <color auto="1"/>
        <name val="Calibri"/>
        <family val="2"/>
        <scheme val="minor"/>
      </font>
      <alignment horizontal="left" vertical="center" textRotation="0" wrapText="0" indent="1" justifyLastLine="0" shrinkToFit="0" readingOrder="0"/>
    </dxf>
    <dxf>
      <alignment horizontal="left" vertical="center" textRotation="0" wrapText="0" indent="1" justifyLastLine="0" shrinkToFit="0" readingOrder="0"/>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left" vertical="center" textRotation="0" wrapText="0" indent="1" justifyLastLine="0" shrinkToFit="0" readingOrder="0"/>
    </dxf>
    <dxf>
      <border outline="0">
        <left style="thin">
          <color rgb="FF000000"/>
        </left>
        <right style="thin">
          <color rgb="FF000000"/>
        </right>
        <top style="thin">
          <color rgb="FF000000"/>
        </top>
        <bottom style="thin">
          <color rgb="FF000000"/>
        </bottom>
      </border>
    </dxf>
    <dxf>
      <alignment horizontal="left" vertical="center" textRotation="0" wrapText="1" indent="1"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theme="4" tint="-0.249977111117893"/>
          <bgColor theme="4" tint="-0.249977111117893"/>
        </patternFill>
      </fill>
      <alignment horizontal="left" vertical="center" textRotation="0" wrapText="1" indent="1"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general" vertical="bottom" textRotation="0" wrapText="1" indent="0" justifyLastLine="0" shrinkToFit="0" readingOrder="0"/>
    </dxf>
    <dxf>
      <fill>
        <patternFill patternType="solid">
          <fgColor indexed="64"/>
          <bgColor rgb="FFFFFF00"/>
        </patternFill>
      </fill>
      <border diagonalUp="0" diagonalDown="0" outline="0">
        <left style="thin">
          <color indexed="64"/>
        </left>
        <right/>
        <top style="thin">
          <color indexed="64"/>
        </top>
        <bottom style="thin">
          <color indexed="64"/>
        </bottom>
      </border>
    </dxf>
    <dxf>
      <fill>
        <patternFill patternType="solid">
          <fgColor indexed="64"/>
          <bgColor rgb="FFFFFF0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00"/>
        </patternFill>
      </fill>
      <border diagonalUp="0" diagonalDown="0" outline="0">
        <left/>
        <right style="thin">
          <color indexed="64"/>
        </right>
        <top style="thin">
          <color indexed="64"/>
        </top>
        <bottom style="thin">
          <color indexed="64"/>
        </bottom>
      </border>
    </dxf>
    <dxf>
      <alignment horizontal="center" vertical="center" textRotation="0" wrapText="0" indent="0" justifyLastLine="0" shrinkToFit="0" readingOrder="0"/>
    </dxf>
    <dxf>
      <alignment horizontal="left" textRotation="0" wrapText="0" relativeIndent="1" justifyLastLine="0" shrinkToFit="0" readingOrder="0"/>
    </dxf>
    <dxf>
      <fill>
        <patternFill patternType="solid">
          <fgColor indexed="64"/>
          <bgColor rgb="FF0566D1"/>
        </patternFill>
      </fill>
    </dxf>
    <dxf>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dxf>
    <dxf>
      <alignment horizontal="left" vertical="center" textRotation="0" wrapText="1" indent="1"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center" textRotation="0" wrapText="1" indent="1"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center" textRotation="0" wrapText="1" indent="1"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center" textRotation="0" wrapText="1" indent="1"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center" textRotation="0" wrapText="1" indent="1"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center" textRotation="0" wrapText="1" indent="1"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center" textRotation="0" wrapText="1" indent="1"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center" textRotation="0" wrapText="1" indent="1"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center" textRotation="0" wrapText="1" indent="1"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center" textRotation="0" wrapText="1" indent="1"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center" textRotation="0" wrapText="1" indent="1"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center" textRotation="0" wrapText="1" indent="1"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center" textRotation="0" wrapText="1" indent="1"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center" textRotation="0" wrapText="1" indent="1"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center" textRotation="0" wrapText="1" indent="1"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family val="2"/>
        <scheme val="minor"/>
      </font>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family val="2"/>
        <scheme val="minor"/>
      </font>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family val="2"/>
        <scheme val="minor"/>
      </font>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family val="2"/>
        <scheme val="minor"/>
      </font>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family val="2"/>
        <scheme val="minor"/>
      </font>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family val="2"/>
        <scheme val="minor"/>
      </font>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family val="2"/>
        <scheme val="minor"/>
      </font>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family val="2"/>
        <scheme val="minor"/>
      </font>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family val="2"/>
        <scheme val="minor"/>
      </font>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family val="2"/>
        <scheme val="minor"/>
      </font>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
      <alignment horizontal="left" vertical="center" textRotation="0" wrapText="1" indent="1"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theme="4" tint="-0.249977111117893"/>
          <bgColor theme="4" tint="-0.249977111117893"/>
        </patternFill>
      </fill>
      <alignment horizontal="left" vertical="center" textRotation="0" wrapText="1" indent="1"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0573EB"/>
      <color rgb="FF0566D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1990725</xdr:colOff>
          <xdr:row>0</xdr:row>
          <xdr:rowOff>85725</xdr:rowOff>
        </xdr:from>
        <xdr:to>
          <xdr:col>16</xdr:col>
          <xdr:colOff>3352800</xdr:colOff>
          <xdr:row>1</xdr:row>
          <xdr:rowOff>219075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ea typeface="Calibri"/>
                  <a:cs typeface="Calibri"/>
                </a:rPr>
                <a:t>Show/Hide Configuration</a:t>
              </a:r>
            </a:p>
          </xdr:txBody>
        </xdr:sp>
        <xdr:clientData fPrintsWithSheet="0"/>
      </xdr:twoCellAnchor>
    </mc:Choice>
    <mc:Fallback/>
  </mc:AlternateContent>
  <xdr:twoCellAnchor>
    <xdr:from>
      <xdr:col>16</xdr:col>
      <xdr:colOff>272144</xdr:colOff>
      <xdr:row>2</xdr:row>
      <xdr:rowOff>40822</xdr:rowOff>
    </xdr:from>
    <xdr:to>
      <xdr:col>16</xdr:col>
      <xdr:colOff>1510392</xdr:colOff>
      <xdr:row>2</xdr:row>
      <xdr:rowOff>315606</xdr:rowOff>
    </xdr:to>
    <xdr:pic>
      <xdr:nvPicPr>
        <xdr:cNvPr id="3" name="Picture 2" descr="Philips logo : histoire, signification et évolution, symbole">
          <a:extLst>
            <a:ext uri="{FF2B5EF4-FFF2-40B4-BE49-F238E27FC236}">
              <a16:creationId xmlns:a16="http://schemas.microsoft.com/office/drawing/2014/main" id="{00000000-0008-0000-0000-000003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27336751" y="625929"/>
          <a:ext cx="1238248" cy="2747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2609850</xdr:colOff>
          <xdr:row>0</xdr:row>
          <xdr:rowOff>76200</xdr:rowOff>
        </xdr:from>
        <xdr:to>
          <xdr:col>25</xdr:col>
          <xdr:colOff>0</xdr:colOff>
          <xdr:row>1</xdr:row>
          <xdr:rowOff>209550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ea typeface="Calibri"/>
                  <a:cs typeface="Calibri"/>
                </a:rPr>
                <a:t>Show/Hide Original Configuration Details</a:t>
              </a:r>
            </a:p>
          </xdr:txBody>
        </xdr:sp>
        <xdr:clientData fPrintsWithSheet="0"/>
      </xdr:twoCellAnchor>
    </mc:Choice>
    <mc:Fallback/>
  </mc:AlternateContent>
  <xdr:twoCellAnchor>
    <xdr:from>
      <xdr:col>16</xdr:col>
      <xdr:colOff>560294</xdr:colOff>
      <xdr:row>2</xdr:row>
      <xdr:rowOff>33618</xdr:rowOff>
    </xdr:from>
    <xdr:to>
      <xdr:col>17</xdr:col>
      <xdr:colOff>915518</xdr:colOff>
      <xdr:row>2</xdr:row>
      <xdr:rowOff>308402</xdr:rowOff>
    </xdr:to>
    <xdr:pic>
      <xdr:nvPicPr>
        <xdr:cNvPr id="3" name="Picture 2" descr="Philips logo : histoire, signification et évolution, symbole">
          <a:extLst>
            <a:ext uri="{FF2B5EF4-FFF2-40B4-BE49-F238E27FC236}">
              <a16:creationId xmlns:a16="http://schemas.microsoft.com/office/drawing/2014/main" id="{00000000-0008-0000-0200-000003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30984265" y="526677"/>
          <a:ext cx="1150841" cy="2747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8</xdr:col>
          <xdr:colOff>1685925</xdr:colOff>
          <xdr:row>1</xdr:row>
          <xdr:rowOff>228600</xdr:rowOff>
        </xdr:from>
        <xdr:to>
          <xdr:col>8</xdr:col>
          <xdr:colOff>3648075</xdr:colOff>
          <xdr:row>2</xdr:row>
          <xdr:rowOff>314325</xdr:rowOff>
        </xdr:to>
        <xdr:sp macro="" textlink="">
          <xdr:nvSpPr>
            <xdr:cNvPr id="3119" name="Button 47" hidden="1">
              <a:extLst>
                <a:ext uri="{63B3BB69-23CF-44E3-9099-C40C66FF867C}">
                  <a14:compatExt spid="_x0000_s3119"/>
                </a:ext>
                <a:ext uri="{FF2B5EF4-FFF2-40B4-BE49-F238E27FC236}">
                  <a16:creationId xmlns:a16="http://schemas.microsoft.com/office/drawing/2014/main" id="{00000000-0008-0000-0200-00002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Calibri"/>
                  <a:ea typeface="Calibri"/>
                  <a:cs typeface="Calibri"/>
                </a:rPr>
                <a:t>Show/Hide Transfer Details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76199</xdr:colOff>
      <xdr:row>1</xdr:row>
      <xdr:rowOff>28575</xdr:rowOff>
    </xdr:from>
    <xdr:to>
      <xdr:col>0</xdr:col>
      <xdr:colOff>2353234</xdr:colOff>
      <xdr:row>25</xdr:row>
      <xdr:rowOff>156882</xdr:rowOff>
    </xdr:to>
    <mc:AlternateContent xmlns:mc="http://schemas.openxmlformats.org/markup-compatibility/2006" xmlns:a14="http://schemas.microsoft.com/office/drawing/2010/main">
      <mc:Choice Requires="a14">
        <xdr:graphicFrame macro="">
          <xdr:nvGraphicFramePr>
            <xdr:cNvPr id="2" name="Department (Name) dRofus">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Department (Name) dRofus"/>
            </a:graphicData>
          </a:graphic>
        </xdr:graphicFrame>
      </mc:Choice>
      <mc:Fallback xmlns="">
        <xdr:sp macro="" textlink="">
          <xdr:nvSpPr>
            <xdr:cNvPr id="0" name=""/>
            <xdr:cNvSpPr>
              <a:spLocks noTextEdit="1"/>
            </xdr:cNvSpPr>
          </xdr:nvSpPr>
          <xdr:spPr>
            <a:xfrm>
              <a:off x="76199" y="219075"/>
              <a:ext cx="2277035" cy="5686425"/>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2441762</xdr:colOff>
      <xdr:row>0</xdr:row>
      <xdr:rowOff>170891</xdr:rowOff>
    </xdr:from>
    <xdr:to>
      <xdr:col>6</xdr:col>
      <xdr:colOff>381000</xdr:colOff>
      <xdr:row>1</xdr:row>
      <xdr:rowOff>705970</xdr:rowOff>
    </xdr:to>
    <mc:AlternateContent xmlns:mc="http://schemas.openxmlformats.org/markup-compatibility/2006" xmlns:a14="http://schemas.microsoft.com/office/drawing/2010/main">
      <mc:Choice Requires="a14">
        <xdr:graphicFrame macro="">
          <xdr:nvGraphicFramePr>
            <xdr:cNvPr id="3" name="Equipment Category">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Equipment Category"/>
            </a:graphicData>
          </a:graphic>
        </xdr:graphicFrame>
      </mc:Choice>
      <mc:Fallback xmlns="">
        <xdr:sp macro="" textlink="">
          <xdr:nvSpPr>
            <xdr:cNvPr id="0" name=""/>
            <xdr:cNvSpPr>
              <a:spLocks noTextEdit="1"/>
            </xdr:cNvSpPr>
          </xdr:nvSpPr>
          <xdr:spPr>
            <a:xfrm>
              <a:off x="2441762" y="170891"/>
              <a:ext cx="12697385" cy="725579"/>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100852</xdr:colOff>
      <xdr:row>1</xdr:row>
      <xdr:rowOff>2801</xdr:rowOff>
    </xdr:from>
    <xdr:to>
      <xdr:col>11</xdr:col>
      <xdr:colOff>3361764</xdr:colOff>
      <xdr:row>34</xdr:row>
      <xdr:rowOff>0</xdr:rowOff>
    </xdr:to>
    <mc:AlternateContent xmlns:mc="http://schemas.openxmlformats.org/markup-compatibility/2006" xmlns:a14="http://schemas.microsoft.com/office/drawing/2010/main">
      <mc:Choice Requires="a14">
        <xdr:graphicFrame macro="">
          <xdr:nvGraphicFramePr>
            <xdr:cNvPr id="4" name="Equipment Type">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Equipment Type"/>
            </a:graphicData>
          </a:graphic>
        </xdr:graphicFrame>
      </mc:Choice>
      <mc:Fallback xmlns="">
        <xdr:sp macro="" textlink="">
          <xdr:nvSpPr>
            <xdr:cNvPr id="0" name=""/>
            <xdr:cNvSpPr>
              <a:spLocks noTextEdit="1"/>
            </xdr:cNvSpPr>
          </xdr:nvSpPr>
          <xdr:spPr>
            <a:xfrm>
              <a:off x="16304558" y="193301"/>
              <a:ext cx="4112559" cy="7269817"/>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401.75945578704" createdVersion="8" refreshedVersion="8" minRefreshableVersion="3" recordCount="919" xr:uid="{E6DD1C57-819A-4227-8863-CE2A1CAF20C1}">
  <cacheSource type="worksheet">
    <worksheetSource name="Mon_ILR2"/>
  </cacheSource>
  <cacheFields count="40">
    <cacheField name="Department (Name) dRofus" numFmtId="0">
      <sharedItems count="19">
        <s v="ACUTE AGED CARE IPU"/>
        <s v="ACUTE RENAL HAEMODIALYSIS"/>
        <s v="AMBULATORY SPECIALIST N1"/>
        <s v="CARDIAC CARE UNIT"/>
        <s v="CHRONIC DISEASE &amp; WELLNESS N5"/>
        <s v="CLINICAL MEASUREMENTS UNIT N2"/>
        <s v="EMERGENCY DEPARTMENT"/>
        <s v="GEM &amp; REHAB IPU"/>
        <s v="GENERIC IPU"/>
        <s v="ICU"/>
        <s v="IPU MENTAL HEALTH"/>
        <s v="IPU SPECIAL MEDICAL"/>
        <s v="MADU CLINICAL TRIAL N4"/>
        <s v="MEDICAL IMAGING"/>
        <s v="OVERNIGHT DIAGNOSTICS"/>
        <s v="PERIOPERATIVE SERVICE PRECINCT"/>
        <s v="SHARED SPACES IPU"/>
        <s v="SUBACUTE IPU GEM PALLIATIVE"/>
        <s v="TRANSIT LOUNGE"/>
      </sharedItems>
    </cacheField>
    <cacheField name="Room Name dRofus" numFmtId="0">
      <sharedItems count="84">
        <s v="Store - Equipment"/>
        <s v="Bay - Mobile Equipment"/>
        <s v="1 Bed Room - Class N, Renal Dialysis"/>
        <s v="Treatment Room"/>
        <s v="Treatment Room - Opthalmic"/>
        <s v="Bay - Patient Holding"/>
        <s v="Office - Clinical Workroom"/>
        <s v="Staff Station"/>
        <s v="1 Bed Room - Special Coronary Care, Haemodialysis Ready"/>
        <s v="1 Bed Room - Special Coronary Care"/>
        <s v="1 Bed Room - Class N, Haemodialysis Ready"/>
        <s v="2 Bed Room"/>
        <s v="Treatment / Echo Room"/>
        <s v="1 Bed Room - Special Coronary Care - HDU"/>
        <s v="1 Bed Room - Special Coronary Care - HDU, Haemodialysis Ready"/>
        <s v="Cardiopulmonary Assessment"/>
        <s v="Patient Bay - Resuscitation, 25m2"/>
        <s v="Patient Bay, Resuscitation - Class N"/>
        <s v="Ante Room"/>
        <s v="CT Scanning Control Room"/>
        <s v="Observation Room"/>
        <s v="1 Bed Room - Bariatric"/>
        <s v="1 Bed Room - Class N"/>
        <s v="Behavioural Assessment Room"/>
        <s v="CT Scanning room"/>
        <s v="Multipurpose Procedure Room - ENT / Eye"/>
        <s v="Multipurpose Procedure Room (Fast Track &amp; Acute)"/>
        <s v="Patient Bay - 10m2"/>
        <s v="Patient Bay - Acute Treatment (Class S)"/>
        <s v="Patient Bay - Acute Treatment, 12m2"/>
        <s v="Patient Bay - Acute, Bariatric"/>
        <s v="Patient Bay - Enclosed"/>
        <s v="Patient Bay - Holding"/>
        <s v="Patient Bay - Non-Acute Treatment, 10m2"/>
        <s v="Procedure Room"/>
        <s v="Triage Assessment Room"/>
        <s v="1 Bed Room - Intensive Care"/>
        <s v="Patient Bay - Critical Bariatric, Haemodialysis Ready"/>
        <s v="1 Bed Room - Intensive Care, Haemodialysis Ready"/>
        <s v="1 Bed Room - Intensive Care Class N, Haemodialysis Ready"/>
        <s v="Consult Room, Large"/>
        <s v="1 Bed Room"/>
        <s v="Shared PET / CT Control Room"/>
        <s v="SPECT / CT Control Room"/>
        <s v="CT Control Room (Shared)"/>
        <s v="Fluoroscopy Control Room"/>
        <s v="MRI Control Room"/>
        <s v="Uptake Room"/>
        <s v="Patient Bay - Holding / Recovery, 9m2"/>
        <s v="Patient Bay - Holding, Discharge Hot"/>
        <s v="Patient Hold - Hot"/>
        <s v="Preparation / Chair Bay"/>
        <s v="Procedure Room / Cannulation"/>
        <s v="PET / CT Imaging Room"/>
        <s v="SPECT Scanning Room"/>
        <s v="Stress Testing Room"/>
        <s v="CT Scanning room (Shell)"/>
        <s v="Mammography Room"/>
        <s v="Ultrasound Room, Procedures"/>
        <s v="Ultrasound Room"/>
        <s v="Screening Room (Fluoroscopy), Large"/>
        <s v="Screening Room (Fluoroscopy)"/>
        <s v="Anaesthetic Induction Room"/>
        <s v="MRI Scanning Room"/>
        <s v="Staff Station, Control Hub"/>
        <s v="Office - Clinical Workroom, Perioperative"/>
        <s v="Patient Bay - Holding, 9m2 - Perioperative"/>
        <s v="Operating Room, Category 4"/>
        <s v="Operating Room, Category 4, Large"/>
        <s v="Operating Room, Category 3 Technical Suite, Interventional, &amp; Radiology"/>
        <s v="Operating Room, Category 3 Technical Suite, Interventional, Cardiac, Vascular &amp; Radiology"/>
        <s v="Operating Room, Category 3 Technical Suite, Interventional &amp; Cardiac"/>
        <s v="Operating Room, Category 3 Technical Suite, Interventional, Cardiac EP, &amp; Vascular"/>
        <s v="Operating Room, Category 1 Hybrid"/>
        <s v="Operating Room, Category 1 Orthopaedics"/>
        <s v="Operating Room, Category 2 Technical Suite"/>
        <s v="Control Room"/>
        <s v="Reception / Clerical"/>
        <s v="Patient Bay - Recovery, Stage 2, 9m2"/>
        <s v="Patient Bay - Enclosed, 13m2"/>
        <s v="Patient Bay - Recovery Stage 1, 9m2"/>
        <s v="Patient Bay - ECT"/>
        <s v="Patient Bay - Recovery, Bariatric"/>
        <s v="Store - Equipment Major"/>
      </sharedItems>
    </cacheField>
    <cacheField name="Room Number dRofus" numFmtId="0">
      <sharedItems/>
    </cacheField>
    <cacheField name="Equipment Category" numFmtId="0">
      <sharedItems count="6">
        <s v="Low Acuity Monitoring"/>
        <s v="Medium Acuity Monitoring"/>
        <s v="Central Station Monitoring"/>
        <s v="High Acuity Monitoring"/>
        <s v="Telemetry"/>
        <s v="MRI"/>
      </sharedItems>
    </cacheField>
    <cacheField name="Equipment Type" numFmtId="0">
      <sharedItems containsBlank="1" count="34">
        <s v="MONITOR: LOW ACUITY - Mobile"/>
        <s v="Host Patient Monitor"/>
        <s v="Transport Monitor"/>
        <s v="Central Station  - Slave Display"/>
        <s v="Central Station - Overview"/>
        <s v="Central Station - Surveillance "/>
        <s v="MONITOR: CENTRAL STATION - DISPLAY, DESK"/>
        <s v="MONITOR: TELEMETRY TRANSMITTER"/>
        <s v="Telemetry Battery Charging Station"/>
        <s v="Telemetry Wall Storage "/>
        <s v="MONITOR: MEDIUM ACUITY - Mobile"/>
        <s v="FLEXIBLE MODULE SERVER"/>
        <s v="MONITOR: DISPLAY SCREEN - SLAVE, PATIENT"/>
        <s v="MONITOR: MEDIUM ACUITY - Transport"/>
        <s v="MODULE, DEVICE DRIVER"/>
        <s v="MODULE, INTERFACE"/>
        <s v="MONITOR: MRI, HIGH ACUITY - ANAESTHETIC"/>
        <s v="Parameter Module, CCO/CO"/>
        <s v="Parameter Module, CO₂"/>
        <s v="Docking Station"/>
        <s v="Hardware Dongle, Anaesthesia Machine Interface"/>
        <s v="MONITOR: SLAVE SCREEN (ANAESTHETIC etc)"/>
        <s v="Parameter Module, Anaesthesia Machine Interface"/>
        <s v="Parameter Module, BIS"/>
        <s v="Parameter Module, NMT"/>
        <s v="Hemodynamic Extension"/>
        <s v="Parameter Module, CO2" u="1"/>
        <s v="MONITOR: MEDIUM ACUITY" u="1"/>
        <s v="MONITOR: HIGH ACUITY - ANAESTHETIC" u="1"/>
        <s v="MONITOR: HIGH ACUITY" u="1"/>
        <s v="MONITOR: CENTRAL STATION - DISPLAY, REMOTE" u="1"/>
        <s v="MONITOR: CENTRAL STATION - MAIN" u="1"/>
        <m u="1"/>
        <s v="MONITOR: CENTRAL STATION - REMOTE" u="1"/>
      </sharedItems>
    </cacheField>
    <cacheField name="Mounting System" numFmtId="0">
      <sharedItems containsBlank="1"/>
    </cacheField>
    <cacheField name="Qty Required" numFmtId="0">
      <sharedItems containsSemiMixedTypes="0" containsString="0" containsNumber="1" containsInteger="1" minValue="1" maxValue="10"/>
    </cacheField>
    <cacheField name="Notes/comments" numFmtId="0">
      <sharedItems containsBlank="1"/>
    </cacheField>
    <cacheField name="TRANSFER BARCODE" numFmtId="0">
      <sharedItems containsBlank="1" containsMixedTypes="1" containsNumber="1" containsInteger="1" minValue="4821" maxValue="4865"/>
    </cacheField>
    <cacheField name="TRANSFER DESCRIPTION" numFmtId="0">
      <sharedItems containsBlank="1"/>
    </cacheField>
    <cacheField name="TRANSFER MAKE" numFmtId="0">
      <sharedItems containsBlank="1"/>
    </cacheField>
    <cacheField name="Model" numFmtId="0">
      <sharedItems containsBlank="1"/>
    </cacheField>
    <cacheField name="Serial Number" numFmtId="0">
      <sharedItems containsBlank="1" containsMixedTypes="1" containsNumber="1" containsInteger="1" minValue="0" maxValue="21100083721517"/>
    </cacheField>
    <cacheField name="Current Location" numFmtId="0">
      <sharedItems containsBlank="1"/>
    </cacheField>
    <cacheField name="QTY Transfer" numFmtId="0">
      <sharedItems containsBlank="1" containsMixedTypes="1" containsNumber="1" containsInteger="1" minValue="0" maxValue="1"/>
    </cacheField>
    <cacheField name="New Quantity Required " numFmtId="0">
      <sharedItems containsSemiMixedTypes="0" containsString="0" containsNumber="1" containsInteger="1" minValue="0" maxValue="10"/>
    </cacheField>
    <cacheField name="New Equipment Make" numFmtId="0">
      <sharedItems/>
    </cacheField>
    <cacheField name="New Model" numFmtId="0">
      <sharedItems containsBlank="1" count="24">
        <s v="EarlyVue VS30"/>
        <s v="IntelliVue MX450"/>
        <s v="IntelliVue X3 (Philips FAST SpO₂), WIFI"/>
        <s v="??"/>
        <s v="PIC  iX PC Tower - Overview"/>
        <s v="PIC  iX PC Tower - Surveillance "/>
        <s v="24&quot; Touch LCD Display"/>
        <s v="IntelliVue MX750"/>
        <s v="MX40"/>
        <s v="IntelliVue CL Charging Station"/>
        <s v="FMX 4 slot module rack "/>
        <s v="IntelliVue AD75"/>
        <s v="IntelliVue MX500"/>
        <s v="IntelliVue X3 (Philips FAST SpO₂)"/>
        <s v="IntelliVue EC5 Hardare Dongle"/>
        <s v="IntelliVue EC10 Module"/>
        <s v="NA"/>
        <s v="IntelliVue CO/PiCCO Module"/>
        <s v="IntelliVue Microstream CO₂ Extension"/>
        <s v="IntelliVue Docking Station"/>
        <s v="IntelliVue BIS Module"/>
        <s v="IntelliVue NMT Module"/>
        <s v="Patient Information Center iX PC Tower" u="1"/>
        <m u="1"/>
      </sharedItems>
    </cacheField>
    <cacheField name="Unit Rate" numFmtId="44">
      <sharedItems containsMixedTypes="1" containsNumber="1" containsInteger="1" minValue="0" maxValue="22622"/>
    </cacheField>
    <cacheField name="Mounting Rate" numFmtId="44">
      <sharedItems containsMixedTypes="1" containsNumber="1" containsInteger="1" minValue="0" maxValue="1127"/>
    </cacheField>
    <cacheField name="Accessory Rate" numFmtId="44">
      <sharedItems containsMixedTypes="1" containsNumber="1" containsInteger="1" minValue="0" maxValue="1127"/>
    </cacheField>
    <cacheField name="Extended Price" numFmtId="44">
      <sharedItems containsSemiMixedTypes="0" containsString="0" containsNumber="1" containsInteger="1" minValue="0" maxValue="24876"/>
    </cacheField>
    <cacheField name="Please provide Upgrade Details - if required." numFmtId="0">
      <sharedItems containsNonDate="0" containsString="0" containsBlank="1"/>
    </cacheField>
    <cacheField name="Philips comments" numFmtId="0">
      <sharedItems containsNonDate="0" containsString="0" containsBlank="1"/>
    </cacheField>
    <cacheField name="configuration - _x000a_• Compact_x000a_• Compact &amp; medium screen_x000a_• Compact &amp; large screen" numFmtId="0">
      <sharedItems containsBlank="1"/>
    </cacheField>
    <cacheField name="ECG leads 3,5,12" numFmtId="0">
      <sharedItems containsBlank="1"/>
    </cacheField>
    <cacheField name="NIBP  ADULT/PEADs/NEO/ALL" numFmtId="0">
      <sharedItems containsBlank="1"/>
    </cacheField>
    <cacheField name="SPO2  probe, finger, ear, disposable" numFmtId="0">
      <sharedItems containsBlank="1"/>
    </cacheField>
    <cacheField name="SPO2  Massimo/ Nellcor" numFmtId="0">
      <sharedItems containsBlank="1"/>
    </cacheField>
    <cacheField name="Airway Gases" numFmtId="0">
      <sharedItems containsBlank="1"/>
    </cacheField>
    <cacheField name="BIS/TOF/NM" numFmtId="0">
      <sharedItems containsBlank="1"/>
    </cacheField>
    <cacheField name="etCO2 mainstream or side stream" numFmtId="0">
      <sharedItems containsBlank="1"/>
    </cacheField>
    <cacheField name="Cardiac Output" numFmtId="0">
      <sharedItems containsBlank="1"/>
    </cacheField>
    <cacheField name="IBP channels" numFmtId="0">
      <sharedItems containsBlank="1"/>
    </cacheField>
    <cacheField name="Transcutaneous CO2 &amp; O2" numFmtId="0">
      <sharedItems containsBlank="1"/>
    </cacheField>
    <cacheField name="Parameters other" numFmtId="0">
      <sharedItems containsBlank="1"/>
    </cacheField>
    <cacheField name="Strip printing or A4 Network" numFmtId="0">
      <sharedItems containsBlank="1"/>
    </cacheField>
    <cacheField name="Bed overview" numFmtId="0">
      <sharedItems containsBlank="1"/>
    </cacheField>
    <cacheField name="Slave screen" numFmtId="0">
      <sharedItems containsBlank="1"/>
    </cacheField>
    <cacheField name="EMR" numFmtId="0">
      <sharedItems containsBlank="1"/>
    </cacheField>
  </cacheFields>
  <extLst>
    <ext xmlns:x14="http://schemas.microsoft.com/office/spreadsheetml/2009/9/main" uri="{725AE2AE-9491-48be-B2B4-4EB974FC3084}">
      <x14:pivotCacheDefinition pivotCacheId="168851798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19">
  <r>
    <x v="0"/>
    <x v="0"/>
    <s v="03.A.234"/>
    <x v="0"/>
    <x v="0"/>
    <s v="Mobile (trolley mounted)"/>
    <n v="1"/>
    <m/>
    <s v="001378"/>
    <s v="MONITOR: LOW ACUITY - Mobile"/>
    <s v="WELCH ALLYN"/>
    <s v="42N0B"/>
    <n v="201406750"/>
    <s v="Day Procedure Unit"/>
    <n v="1"/>
    <n v="0"/>
    <s v="Philips"/>
    <x v="0"/>
    <n v="0"/>
    <n v="0"/>
    <n v="0"/>
    <n v="0"/>
    <m/>
    <m/>
    <s v="Compact"/>
    <s v=""/>
    <s v="Adult"/>
    <s v="Finger, Forehead, Ear, Reusable &amp; Disposable"/>
    <s v="Nellcor"/>
    <s v=""/>
    <s v=""/>
    <s v=""/>
    <s v=""/>
    <s v=""/>
    <s v=""/>
    <s v=""/>
    <s v=""/>
    <s v=""/>
    <s v=""/>
    <s v=""/>
  </r>
  <r>
    <x v="0"/>
    <x v="0"/>
    <s v="03.A.234"/>
    <x v="0"/>
    <x v="0"/>
    <s v="Mobile (trolley mounted)"/>
    <n v="1"/>
    <m/>
    <s v="001399"/>
    <s v="MONITOR: LOW ACUITY - Mobile"/>
    <s v="WELCH ALLYN"/>
    <s v="42N0B"/>
    <n v="201311656"/>
    <s v="Day Procedure Unit"/>
    <n v="1"/>
    <n v="0"/>
    <s v="Philips"/>
    <x v="0"/>
    <n v="0"/>
    <n v="0"/>
    <n v="0"/>
    <n v="0"/>
    <m/>
    <m/>
    <s v="Compact"/>
    <s v=""/>
    <s v="Adult"/>
    <s v="Finger, Forehead, Ear, Reusable &amp; Disposable"/>
    <s v="Nellcor"/>
    <s v=""/>
    <s v=""/>
    <s v=""/>
    <s v=""/>
    <s v=""/>
    <s v=""/>
    <s v=""/>
    <s v=""/>
    <s v=""/>
    <s v=""/>
    <s v=""/>
  </r>
  <r>
    <x v="0"/>
    <x v="0"/>
    <s v="03.A.234"/>
    <x v="0"/>
    <x v="0"/>
    <s v="Mobile (trolley mounted)"/>
    <n v="1"/>
    <m/>
    <s v="001400"/>
    <s v="MONITOR: LOW ACUITY - Mobile"/>
    <s v="WELCH ALLYN"/>
    <s v="42N0B"/>
    <n v="201300465"/>
    <s v="Day Procedure Unit"/>
    <n v="1"/>
    <n v="0"/>
    <s v="Philips"/>
    <x v="0"/>
    <n v="0"/>
    <n v="0"/>
    <n v="0"/>
    <n v="0"/>
    <m/>
    <m/>
    <s v="Compact"/>
    <s v=""/>
    <s v="Adult"/>
    <s v="Finger, Forehead, Ear, Reusable &amp; Disposable"/>
    <s v="Nellcor"/>
    <s v=""/>
    <s v=""/>
    <s v=""/>
    <s v=""/>
    <s v=""/>
    <s v=""/>
    <s v=""/>
    <s v=""/>
    <s v=""/>
    <s v=""/>
    <s v=""/>
  </r>
  <r>
    <x v="0"/>
    <x v="0"/>
    <s v="03.A.234"/>
    <x v="0"/>
    <x v="0"/>
    <s v="Mobile (trolley mounted)"/>
    <n v="1"/>
    <m/>
    <s v="001418"/>
    <s v="MONITOR: LOW ACUITY - Mobile"/>
    <s v="WELCH ALLYN"/>
    <s v="42N0B"/>
    <n v="201214306"/>
    <s v="Day Procedure Unit"/>
    <n v="1"/>
    <n v="0"/>
    <s v="Philips"/>
    <x v="0"/>
    <n v="0"/>
    <n v="0"/>
    <n v="0"/>
    <n v="0"/>
    <m/>
    <m/>
    <s v="Compact"/>
    <s v=""/>
    <s v="Adult"/>
    <s v="Finger, Forehead, Ear, Reusable &amp; Disposable"/>
    <s v="Nellcor"/>
    <s v=""/>
    <s v=""/>
    <s v=""/>
    <s v=""/>
    <s v=""/>
    <s v=""/>
    <s v=""/>
    <s v=""/>
    <s v=""/>
    <s v=""/>
    <s v=""/>
  </r>
  <r>
    <x v="0"/>
    <x v="0"/>
    <s v="03.A.234"/>
    <x v="0"/>
    <x v="0"/>
    <s v="Mobile (trolley mounted)"/>
    <n v="1"/>
    <m/>
    <s v="001420"/>
    <s v="MONITOR: LOW ACUITY - Mobile"/>
    <s v="WELCH ALLYN"/>
    <s v="42N0B"/>
    <n v="201302217"/>
    <s v="Day Procedure Unit"/>
    <n v="1"/>
    <n v="0"/>
    <s v="Philips"/>
    <x v="0"/>
    <n v="0"/>
    <n v="0"/>
    <n v="0"/>
    <n v="0"/>
    <m/>
    <m/>
    <s v="Compact"/>
    <s v=""/>
    <s v="Adult"/>
    <s v="Finger, Forehead, Ear, Reusable &amp; Disposable"/>
    <s v="Nellcor"/>
    <s v=""/>
    <s v=""/>
    <s v=""/>
    <s v=""/>
    <s v=""/>
    <s v=""/>
    <s v=""/>
    <s v=""/>
    <s v=""/>
    <s v=""/>
    <s v=""/>
  </r>
  <r>
    <x v="0"/>
    <x v="0"/>
    <s v="03.A.234"/>
    <x v="0"/>
    <x v="0"/>
    <s v="Mobile (trolley mounted)"/>
    <n v="1"/>
    <m/>
    <s v="001483"/>
    <s v="MONITOR: LOW ACUITY - Mobile"/>
    <s v="WELCH ALLYN"/>
    <s v="42N0B"/>
    <n v="201214305"/>
    <s v="Day Procedure Unit"/>
    <n v="1"/>
    <n v="0"/>
    <s v="Philips"/>
    <x v="0"/>
    <n v="0"/>
    <n v="0"/>
    <n v="0"/>
    <n v="0"/>
    <m/>
    <m/>
    <s v="Compact"/>
    <s v=""/>
    <s v="Adult"/>
    <s v="Finger, Forehead, Ear, Reusable &amp; Disposable"/>
    <s v="Nellcor"/>
    <s v=""/>
    <s v=""/>
    <s v=""/>
    <s v=""/>
    <s v=""/>
    <s v=""/>
    <s v=""/>
    <s v=""/>
    <s v=""/>
    <s v=""/>
    <s v=""/>
  </r>
  <r>
    <x v="0"/>
    <x v="0"/>
    <s v="03.A.234"/>
    <x v="0"/>
    <x v="0"/>
    <s v="Mobile (trolley mounted)"/>
    <n v="1"/>
    <m/>
    <s v="001488"/>
    <s v="MONITOR: LOW ACUITY - Mobile"/>
    <s v="WELCH ALLYN"/>
    <s v="42N0B"/>
    <n v="201214316"/>
    <s v="Day Procedure Unit"/>
    <n v="1"/>
    <n v="0"/>
    <s v="Philips"/>
    <x v="0"/>
    <n v="0"/>
    <n v="0"/>
    <n v="0"/>
    <n v="0"/>
    <m/>
    <m/>
    <s v="Compact"/>
    <s v=""/>
    <s v="Adult"/>
    <s v="Finger, Forehead, Ear, Reusable &amp; Disposable"/>
    <s v="Nellcor"/>
    <s v=""/>
    <s v=""/>
    <s v=""/>
    <s v=""/>
    <s v=""/>
    <s v=""/>
    <s v=""/>
    <s v=""/>
    <s v=""/>
    <s v=""/>
    <s v=""/>
  </r>
  <r>
    <x v="0"/>
    <x v="0"/>
    <s v="03.A.234"/>
    <x v="0"/>
    <x v="0"/>
    <s v="Mobile (trolley mounted)"/>
    <n v="1"/>
    <m/>
    <s v="001520"/>
    <s v="MONITOR: LOW ACUITY - Mobile"/>
    <s v="WELCH ALLYN"/>
    <s v="42N0B"/>
    <n v="201006696"/>
    <s v="Day Procedure Unit"/>
    <n v="1"/>
    <n v="0"/>
    <s v="Philips"/>
    <x v="0"/>
    <n v="0"/>
    <n v="0"/>
    <n v="0"/>
    <n v="0"/>
    <m/>
    <m/>
    <s v="Compact"/>
    <s v=""/>
    <s v="Adult"/>
    <s v="Finger, Forehead, Ear, Reusable &amp; Disposable"/>
    <s v="Nellcor"/>
    <s v=""/>
    <s v=""/>
    <s v=""/>
    <s v=""/>
    <s v=""/>
    <s v=""/>
    <s v=""/>
    <s v=""/>
    <s v=""/>
    <s v=""/>
    <s v=""/>
  </r>
  <r>
    <x v="0"/>
    <x v="0"/>
    <s v="03.A.234"/>
    <x v="0"/>
    <x v="0"/>
    <s v="Mobile (trolley mounted)"/>
    <n v="1"/>
    <m/>
    <m/>
    <s v=""/>
    <s v=""/>
    <s v=""/>
    <s v=""/>
    <s v=""/>
    <m/>
    <n v="1"/>
    <s v="Philips"/>
    <x v="0"/>
    <n v="0"/>
    <n v="0"/>
    <n v="0"/>
    <n v="0"/>
    <m/>
    <m/>
    <s v="Compact"/>
    <s v=""/>
    <s v="Adult"/>
    <s v="Finger, Forehead, Ear, Reusable &amp; Disposable"/>
    <s v="Nellcor"/>
    <s v=""/>
    <s v=""/>
    <s v=""/>
    <s v=""/>
    <s v=""/>
    <s v=""/>
    <s v=""/>
    <s v=""/>
    <s v=""/>
    <s v=""/>
    <s v=""/>
  </r>
  <r>
    <x v="1"/>
    <x v="1"/>
    <s v="05.B.133"/>
    <x v="0"/>
    <x v="0"/>
    <s v="Mobile (trolley mounted)"/>
    <n v="1"/>
    <m/>
    <s v="003746"/>
    <s v="MONITOR: LOW ACUITY - Mobile"/>
    <s v="WELCH ALLYN"/>
    <s v="75CT"/>
    <n v="100083261517"/>
    <s v="Ward 3 East "/>
    <n v="1"/>
    <n v="0"/>
    <s v="Philips"/>
    <x v="0"/>
    <n v="0"/>
    <n v="0"/>
    <n v="0"/>
    <n v="0"/>
    <m/>
    <m/>
    <s v="Compact"/>
    <s v=""/>
    <s v="Adult"/>
    <s v="Finger, Forehead, Ear, Reusable &amp; Disposable"/>
    <s v="Nellcor"/>
    <s v=""/>
    <s v=""/>
    <s v=""/>
    <s v=""/>
    <s v=""/>
    <s v=""/>
    <s v=""/>
    <s v=""/>
    <s v=""/>
    <s v=""/>
    <s v=""/>
  </r>
  <r>
    <x v="1"/>
    <x v="1"/>
    <s v="05.B.133"/>
    <x v="0"/>
    <x v="0"/>
    <s v="Mobile (trolley mounted)"/>
    <n v="1"/>
    <m/>
    <s v="003890"/>
    <s v="MONITOR: LOW ACUITY - Mobile"/>
    <s v="WELCH ALLYN"/>
    <s v="75CT"/>
    <n v="100080071517"/>
    <s v="Ward 3 East "/>
    <n v="1"/>
    <n v="0"/>
    <s v="Philips"/>
    <x v="0"/>
    <n v="0"/>
    <n v="0"/>
    <n v="0"/>
    <n v="0"/>
    <m/>
    <m/>
    <s v="Compact"/>
    <s v=""/>
    <s v="Adult"/>
    <s v="Finger, Forehead, Ear, Reusable &amp; Disposable"/>
    <s v="Nellcor"/>
    <s v=""/>
    <s v=""/>
    <s v=""/>
    <s v=""/>
    <s v=""/>
    <s v=""/>
    <s v=""/>
    <s v=""/>
    <s v=""/>
    <s v=""/>
    <s v=""/>
  </r>
  <r>
    <x v="1"/>
    <x v="1"/>
    <s v="05.B.133"/>
    <x v="0"/>
    <x v="0"/>
    <s v="Mobile (trolley mounted)"/>
    <n v="1"/>
    <m/>
    <s v="005424"/>
    <s v="MONITOR: LOW ACUITY - Mobile"/>
    <s v="WELCH ALLYN"/>
    <s v="75CT"/>
    <n v="0"/>
    <s v="WARD 2D "/>
    <n v="1"/>
    <n v="0"/>
    <s v="Philips"/>
    <x v="0"/>
    <n v="0"/>
    <n v="0"/>
    <n v="0"/>
    <n v="0"/>
    <m/>
    <m/>
    <s v="Compact"/>
    <s v=""/>
    <s v="Adult"/>
    <s v="Finger, Forehead, Ear, Reusable &amp; Disposable"/>
    <s v="Nellcor"/>
    <s v=""/>
    <s v=""/>
    <s v=""/>
    <s v=""/>
    <s v=""/>
    <s v=""/>
    <s v=""/>
    <s v=""/>
    <s v=""/>
    <s v=""/>
    <s v=""/>
  </r>
  <r>
    <x v="1"/>
    <x v="2"/>
    <s v="05.B.118"/>
    <x v="1"/>
    <x v="1"/>
    <s v="Mobile (trolley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1"/>
    <x v="2"/>
    <s v="05.B.118"/>
    <x v="1"/>
    <x v="2"/>
    <s v="Docked to Host Monitor"/>
    <n v="1"/>
    <m/>
    <m/>
    <s v=""/>
    <s v=""/>
    <s v=""/>
    <s v=""/>
    <s v=""/>
    <m/>
    <n v="1"/>
    <s v="Philips"/>
    <x v="2"/>
    <n v="0"/>
    <n v="0"/>
    <n v="0"/>
    <n v="0"/>
    <m/>
    <m/>
    <m/>
    <m/>
    <m/>
    <m/>
    <m/>
    <m/>
    <m/>
    <m/>
    <m/>
    <m/>
    <m/>
    <m/>
    <m/>
    <m/>
    <m/>
    <m/>
  </r>
  <r>
    <x v="2"/>
    <x v="3"/>
    <s v="GF.A.106"/>
    <x v="0"/>
    <x v="0"/>
    <s v="Mobile (trolley mounted)"/>
    <n v="1"/>
    <m/>
    <s v="001736"/>
    <s v="MONITOR: LOW ACUITY - Mobile"/>
    <s v="WELCH ALLYN"/>
    <s v="42N0B"/>
    <n v="201112022"/>
    <s v="Outpatients"/>
    <n v="1"/>
    <n v="0"/>
    <s v="Philips"/>
    <x v="0"/>
    <n v="0"/>
    <n v="0"/>
    <n v="0"/>
    <n v="0"/>
    <m/>
    <m/>
    <s v="Compact"/>
    <s v=""/>
    <s v="Adult"/>
    <s v="Finger, Forehead, Ear, Reusable &amp; Disposable"/>
    <s v="Nellcor"/>
    <s v=""/>
    <s v=""/>
    <s v=""/>
    <s v=""/>
    <s v=""/>
    <s v=""/>
    <s v=""/>
    <s v=""/>
    <s v=""/>
    <s v=""/>
    <s v=""/>
  </r>
  <r>
    <x v="2"/>
    <x v="3"/>
    <s v="GF.B.550"/>
    <x v="0"/>
    <x v="0"/>
    <s v="Mobile (trolley mounted)"/>
    <n v="1"/>
    <m/>
    <s v="003668"/>
    <s v="MONITOR: LOW ACUITY - Mobile"/>
    <s v="WELCH ALLYN"/>
    <s v="42N0B"/>
    <n v="201213163"/>
    <s v="Ward 2 South - Discharge"/>
    <n v="1"/>
    <n v="0"/>
    <s v="Philips"/>
    <x v="0"/>
    <n v="0"/>
    <n v="0"/>
    <n v="0"/>
    <n v="0"/>
    <m/>
    <m/>
    <s v="Compact"/>
    <s v=""/>
    <s v="Adult"/>
    <s v="Finger, Forehead, Ear, Reusable &amp; Disposable"/>
    <s v="Nellcor"/>
    <s v=""/>
    <s v=""/>
    <s v=""/>
    <s v=""/>
    <s v=""/>
    <s v=""/>
    <s v=""/>
    <s v=""/>
    <s v=""/>
    <s v=""/>
    <s v=""/>
  </r>
  <r>
    <x v="2"/>
    <x v="3"/>
    <s v="GF.B.553"/>
    <x v="0"/>
    <x v="0"/>
    <s v="Mobile (trolley mounted)"/>
    <n v="1"/>
    <m/>
    <s v="003686"/>
    <s v="MONITOR: LOW ACUITY - Mobile"/>
    <s v="WELCH ALLYN"/>
    <s v="42N0B"/>
    <n v="201213163"/>
    <s v="Ward 2 South - Discharge"/>
    <n v="1"/>
    <n v="0"/>
    <s v="Philips"/>
    <x v="0"/>
    <n v="0"/>
    <n v="0"/>
    <n v="0"/>
    <n v="0"/>
    <m/>
    <m/>
    <s v="Compact"/>
    <s v=""/>
    <s v="Adult"/>
    <s v="Finger, Forehead, Ear, Reusable &amp; Disposable"/>
    <s v="Nellcor"/>
    <s v=""/>
    <s v=""/>
    <s v=""/>
    <s v=""/>
    <s v=""/>
    <s v=""/>
    <s v=""/>
    <s v=""/>
    <s v=""/>
    <s v=""/>
    <s v=""/>
  </r>
  <r>
    <x v="2"/>
    <x v="4"/>
    <s v="GF.A.103"/>
    <x v="0"/>
    <x v="0"/>
    <s v="Mobile (trolley mounted)"/>
    <n v="1"/>
    <m/>
    <s v="003697"/>
    <s v="MONITOR: LOW ACUITY - Mobile"/>
    <s v="WELCH ALLYN"/>
    <s v="53N00"/>
    <s v="JA012580"/>
    <s v="Ward 2 South - Discharge"/>
    <n v="1"/>
    <n v="0"/>
    <s v="Philips"/>
    <x v="0"/>
    <n v="0"/>
    <n v="0"/>
    <n v="0"/>
    <n v="0"/>
    <m/>
    <m/>
    <s v="Compact"/>
    <s v=""/>
    <s v="Adult"/>
    <s v="Finger, Forehead, Ear, Reusable &amp; Disposable"/>
    <s v="Nellcor"/>
    <s v=""/>
    <s v=""/>
    <s v=""/>
    <s v=""/>
    <s v=""/>
    <s v=""/>
    <s v=""/>
    <s v=""/>
    <s v=""/>
    <s v=""/>
    <s v=""/>
  </r>
  <r>
    <x v="2"/>
    <x v="5"/>
    <s v="GF.B.520"/>
    <x v="0"/>
    <x v="0"/>
    <s v="Mobile (trolley mounted)"/>
    <n v="1"/>
    <m/>
    <s v="000828"/>
    <s v="MONITOR: LOW ACUITY - Mobile"/>
    <s v="WELCH ALLYN"/>
    <s v="42N0B"/>
    <n v="201112027"/>
    <s v="Outpatients"/>
    <n v="1"/>
    <n v="0"/>
    <s v="Philips"/>
    <x v="0"/>
    <n v="0"/>
    <n v="0"/>
    <n v="0"/>
    <n v="0"/>
    <m/>
    <m/>
    <s v="Compact"/>
    <s v=""/>
    <s v="Adult"/>
    <s v="Finger, Forehead, Ear, Reusable &amp; Disposable"/>
    <s v="Nellcor"/>
    <s v=""/>
    <s v=""/>
    <s v=""/>
    <s v=""/>
    <s v=""/>
    <s v=""/>
    <s v=""/>
    <s v=""/>
    <s v=""/>
    <s v=""/>
    <s v=""/>
  </r>
  <r>
    <x v="3"/>
    <x v="6"/>
    <s v="07.B.119"/>
    <x v="2"/>
    <x v="3"/>
    <s v="Wall Mounted"/>
    <n v="1"/>
    <m/>
    <m/>
    <s v=""/>
    <s v=""/>
    <s v=""/>
    <s v=""/>
    <s v=""/>
    <m/>
    <n v="1"/>
    <s v="Philips"/>
    <x v="3"/>
    <n v="0"/>
    <n v="0"/>
    <n v="0"/>
    <n v="0"/>
    <m/>
    <m/>
    <s v="16x Beds per Screen"/>
    <s v=""/>
    <s v=""/>
    <s v=""/>
    <s v=""/>
    <s v=""/>
    <s v=""/>
    <s v=""/>
    <s v=""/>
    <s v=""/>
    <s v=""/>
    <s v=""/>
    <s v="A4 Network"/>
    <s v=""/>
    <s v=""/>
    <s v="Yes"/>
  </r>
  <r>
    <x v="3"/>
    <x v="6"/>
    <s v="07.B.175"/>
    <x v="2"/>
    <x v="3"/>
    <s v="Wall Mounted"/>
    <n v="1"/>
    <m/>
    <m/>
    <s v=""/>
    <s v=""/>
    <s v=""/>
    <s v=""/>
    <s v=""/>
    <m/>
    <n v="1"/>
    <s v="Philips"/>
    <x v="3"/>
    <n v="0"/>
    <n v="0"/>
    <n v="0"/>
    <n v="0"/>
    <m/>
    <m/>
    <s v="16x Beds per Screen"/>
    <s v=""/>
    <s v=""/>
    <s v=""/>
    <s v=""/>
    <s v=""/>
    <s v=""/>
    <s v=""/>
    <s v=""/>
    <s v=""/>
    <s v=""/>
    <s v=""/>
    <s v="A4 Network"/>
    <s v=""/>
    <s v=""/>
    <s v="Yes"/>
  </r>
  <r>
    <x v="3"/>
    <x v="7"/>
    <s v="07.B.118"/>
    <x v="2"/>
    <x v="4"/>
    <s v="Underbench Mounted"/>
    <n v="1"/>
    <m/>
    <m/>
    <s v=""/>
    <s v=""/>
    <s v=""/>
    <s v=""/>
    <s v=""/>
    <m/>
    <n v="1"/>
    <s v="Philips"/>
    <x v="4"/>
    <n v="0"/>
    <n v="0"/>
    <n v="0"/>
    <n v="0"/>
    <m/>
    <m/>
    <s v="16x Beds per Screen"/>
    <s v=""/>
    <s v=""/>
    <s v=""/>
    <s v=""/>
    <s v=""/>
    <s v=""/>
    <s v=""/>
    <s v=""/>
    <s v=""/>
    <s v=""/>
    <s v=""/>
    <s v="A4 Network"/>
    <s v=""/>
    <s v=""/>
    <s v="Yes"/>
  </r>
  <r>
    <x v="3"/>
    <x v="7"/>
    <s v="07.B.176"/>
    <x v="2"/>
    <x v="5"/>
    <s v="Underbench Mounted"/>
    <n v="1"/>
    <m/>
    <m/>
    <s v=""/>
    <s v=""/>
    <s v=""/>
    <s v=""/>
    <s v=""/>
    <m/>
    <n v="1"/>
    <s v="Philips"/>
    <x v="5"/>
    <n v="0"/>
    <n v="0"/>
    <n v="0"/>
    <n v="0"/>
    <m/>
    <m/>
    <s v="Server - Desktop or Virtual"/>
    <s v="Waveform/data"/>
    <s v=""/>
    <s v=""/>
    <s v="Nellcor"/>
    <s v=""/>
    <s v=""/>
    <s v=""/>
    <s v=""/>
    <s v=""/>
    <s v=""/>
    <s v=""/>
    <s v="A4 Network"/>
    <s v=""/>
    <s v=""/>
    <s v="Yes"/>
  </r>
  <r>
    <x v="3"/>
    <x v="7"/>
    <s v="07.B.118"/>
    <x v="2"/>
    <x v="6"/>
    <s v="Desktop Mounted"/>
    <n v="2"/>
    <m/>
    <m/>
    <s v=""/>
    <s v=""/>
    <s v=""/>
    <s v=""/>
    <s v=""/>
    <m/>
    <n v="2"/>
    <s v="Philips"/>
    <x v="6"/>
    <n v="0"/>
    <n v="0"/>
    <n v="0"/>
    <n v="0"/>
    <m/>
    <m/>
    <m/>
    <m/>
    <m/>
    <m/>
    <m/>
    <m/>
    <m/>
    <m/>
    <m/>
    <m/>
    <m/>
    <m/>
    <m/>
    <m/>
    <m/>
    <m/>
  </r>
  <r>
    <x v="3"/>
    <x v="7"/>
    <s v="07.B.176"/>
    <x v="2"/>
    <x v="6"/>
    <s v="Desktop Mounted"/>
    <n v="2"/>
    <m/>
    <m/>
    <s v=""/>
    <s v=""/>
    <s v=""/>
    <s v=""/>
    <s v=""/>
    <m/>
    <n v="2"/>
    <s v="Philips"/>
    <x v="6"/>
    <n v="0"/>
    <n v="0"/>
    <n v="0"/>
    <n v="0"/>
    <m/>
    <m/>
    <m/>
    <m/>
    <m/>
    <m/>
    <m/>
    <m/>
    <m/>
    <m/>
    <m/>
    <m/>
    <m/>
    <m/>
    <m/>
    <m/>
    <m/>
    <m/>
  </r>
  <r>
    <x v="3"/>
    <x v="8"/>
    <s v="07.B.078"/>
    <x v="3"/>
    <x v="1"/>
    <s v="Fixed (wall)"/>
    <n v="1"/>
    <m/>
    <m/>
    <s v=""/>
    <s v=""/>
    <s v=""/>
    <s v=""/>
    <s v=""/>
    <m/>
    <n v="1"/>
    <s v="Philips"/>
    <x v="7"/>
    <n v="22622"/>
    <n v="1127"/>
    <n v="1127"/>
    <n v="24876"/>
    <m/>
    <m/>
    <s v="Compact &amp; large screen"/>
    <s v="3, 5 &amp; 12 Leads"/>
    <s v="Adult"/>
    <s v="Finger, Forehead, Ear, Reusable &amp; Disposable"/>
    <s v="Nellcor"/>
    <s v=""/>
    <s v=""/>
    <s v=""/>
    <s v=""/>
    <s v="4x IBP"/>
    <s v=""/>
    <s v=""/>
    <s v="A4 Network"/>
    <s v="Provsion only"/>
    <s v="Yes slave high acuity to medical imaging control rooms only"/>
    <s v="Yes"/>
  </r>
  <r>
    <x v="3"/>
    <x v="9"/>
    <s v="07.B.089"/>
    <x v="3"/>
    <x v="1"/>
    <s v="Fixed (wall)"/>
    <n v="1"/>
    <m/>
    <m/>
    <s v=""/>
    <s v=""/>
    <s v=""/>
    <s v=""/>
    <s v=""/>
    <m/>
    <n v="1"/>
    <s v="Philips"/>
    <x v="7"/>
    <n v="22622"/>
    <n v="1127"/>
    <n v="1127"/>
    <n v="24876"/>
    <m/>
    <m/>
    <s v="Compact &amp; large screen"/>
    <s v="3, 5 &amp; 12 Leads"/>
    <s v="Adult"/>
    <s v="Finger, Forehead, Ear, Reusable &amp; Disposable"/>
    <s v="Nellcor"/>
    <s v=""/>
    <s v=""/>
    <s v=""/>
    <s v=""/>
    <s v="4x IBP"/>
    <s v=""/>
    <s v=""/>
    <s v="A4 Network"/>
    <s v="Provsion only"/>
    <s v="Yes slave high acuity to medical imaging control rooms only"/>
    <s v="Yes"/>
  </r>
  <r>
    <x v="3"/>
    <x v="10"/>
    <s v="07.B.081"/>
    <x v="1"/>
    <x v="1"/>
    <s v="Wall Mounted"/>
    <n v="1"/>
    <m/>
    <s v="001001"/>
    <s v="MONITORING SYSTEMS, PHYSIOLOGIC"/>
    <s v="PHILIPS MEDICAL SYSTEMS AUSTRA"/>
    <s v="IntelliVue MX450"/>
    <s v="DE671F0762"/>
    <s v="CCU FH"/>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3"/>
    <x v="11"/>
    <s v="07.B.086"/>
    <x v="1"/>
    <x v="1"/>
    <s v="Wall Mounted"/>
    <n v="1"/>
    <m/>
    <s v="004879"/>
    <s v="MONITORING SYSTEMS, PHYSIOLOGIC"/>
    <s v="PHILIPS MEDICAL SYSTEMS AUSTRA"/>
    <s v="IntelliVue MX450"/>
    <s v="DE671K6566"/>
    <s v="CCU FH"/>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3"/>
    <x v="11"/>
    <s v="07.B.086"/>
    <x v="1"/>
    <x v="1"/>
    <s v="Wall Mounted"/>
    <n v="1"/>
    <m/>
    <s v="004876"/>
    <s v="MONITORING SYSTEMS, PHYSIOLOGIC"/>
    <s v="PHILIPS MEDICAL SYSTEMS AUSTRA"/>
    <s v="IntelliVue MX450"/>
    <s v="DE671K6583"/>
    <s v="CCU FH"/>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3"/>
    <x v="11"/>
    <s v="07.B.094"/>
    <x v="1"/>
    <x v="1"/>
    <s v="Wall Mounted"/>
    <n v="1"/>
    <m/>
    <s v="003004"/>
    <s v="MONITORING SYSTEMS, PHYSIOLOGIC"/>
    <s v="PHILIPS MEDICAL SYSTEMS AUSTRA"/>
    <s v="IntelliVue MX500"/>
    <s v="DE671F0907"/>
    <s v="CCU FH"/>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3"/>
    <x v="11"/>
    <s v="07.B.094"/>
    <x v="1"/>
    <x v="1"/>
    <s v="Wall Mounted"/>
    <n v="1"/>
    <m/>
    <s v="001078"/>
    <s v="MONITORING SYSTEMS, PHYSIOLOGIC"/>
    <s v="PHILIPS MEDICAL SYSTEMS AUSTRA"/>
    <s v="IntelliVue MX500"/>
    <s v="DE671F0906"/>
    <s v="CCU FH"/>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3"/>
    <x v="11"/>
    <s v="07.B.097"/>
    <x v="1"/>
    <x v="1"/>
    <s v="Wall Mounted"/>
    <n v="1"/>
    <m/>
    <s v="Temp004"/>
    <s v="MONITORING SYSTEMS, PHYSIOLOGIC"/>
    <s v="PHILIPS MEDICAL SYSTEMS AUSTRA"/>
    <s v="IntelliVue MX500"/>
    <s v="DE671F0905"/>
    <s v="CCU FH"/>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3"/>
    <x v="9"/>
    <s v="07.B.091"/>
    <x v="3"/>
    <x v="1"/>
    <s v="Fixed (wall)"/>
    <n v="1"/>
    <m/>
    <s v="003077"/>
    <s v="MONITORING SYSTEMS, PHYSIOLOGIC"/>
    <s v="PHILIPS MEDICAL SYSTEMS AUSTRA"/>
    <s v="IntelliVue MX500"/>
    <s v="DE671F0903"/>
    <s v="CCU FH"/>
    <n v="0"/>
    <n v="1"/>
    <s v="Philips"/>
    <x v="7"/>
    <n v="22622"/>
    <n v="1127"/>
    <n v="1127"/>
    <n v="24876"/>
    <m/>
    <m/>
    <s v="Compact &amp; large screen"/>
    <s v="3, 5 &amp; 12 Leads"/>
    <s v="Adult"/>
    <s v="Finger, Forehead, Ear, Reusable &amp; Disposable"/>
    <s v="Nellcor"/>
    <s v=""/>
    <s v=""/>
    <s v=""/>
    <s v=""/>
    <s v="4x IBP"/>
    <s v=""/>
    <s v=""/>
    <s v="A4 Network"/>
    <s v="Provsion only"/>
    <s v="Yes slave high acuity to medical imaging control rooms only"/>
    <s v="Yes"/>
  </r>
  <r>
    <x v="3"/>
    <x v="9"/>
    <s v="07.B.100"/>
    <x v="3"/>
    <x v="1"/>
    <s v="Fixed (wall)"/>
    <n v="1"/>
    <m/>
    <s v="001077"/>
    <s v="MONITORING SYSTEMS, PHYSIOLOGIC"/>
    <s v="PHILIPS MEDICAL SYSTEMS AUSTRA"/>
    <s v="IntelliVue MX500"/>
    <s v="DE671F0908"/>
    <s v="CCU FH"/>
    <n v="0"/>
    <n v="1"/>
    <s v="Philips"/>
    <x v="7"/>
    <n v="22622"/>
    <n v="1127"/>
    <n v="1127"/>
    <n v="24876"/>
    <m/>
    <m/>
    <s v="Compact &amp; large screen"/>
    <s v="3, 5 &amp; 12 Leads"/>
    <s v="Adult"/>
    <s v="Finger, Forehead, Ear, Reusable &amp; Disposable"/>
    <s v="Nellcor"/>
    <s v=""/>
    <s v=""/>
    <s v=""/>
    <s v=""/>
    <s v="4x IBP"/>
    <s v=""/>
    <s v=""/>
    <s v="A4 Network"/>
    <s v="Provsion only"/>
    <s v="Yes slave high acuity to medical imaging control rooms only"/>
    <s v="Yes"/>
  </r>
  <r>
    <x v="3"/>
    <x v="9"/>
    <s v="07.B.104"/>
    <x v="3"/>
    <x v="1"/>
    <s v="Fixed (wall)"/>
    <n v="1"/>
    <m/>
    <s v="003028"/>
    <s v="MONITORING SYSTEMS, PHYSIOLOGIC"/>
    <s v="PHILIPS MEDICAL SYSTEMS AUSTRA"/>
    <s v="IntelliVue MX500"/>
    <s v="DE671F0904"/>
    <s v="CCU FH"/>
    <n v="0"/>
    <n v="1"/>
    <s v="Philips"/>
    <x v="7"/>
    <n v="22622"/>
    <n v="1127"/>
    <n v="1127"/>
    <n v="24876"/>
    <m/>
    <m/>
    <s v="Compact &amp; large screen"/>
    <s v="3, 5 &amp; 12 Leads"/>
    <s v="Adult"/>
    <s v="Finger, Forehead, Ear, Reusable &amp; Disposable"/>
    <s v="Nellcor"/>
    <s v=""/>
    <s v=""/>
    <s v=""/>
    <s v=""/>
    <s v="4x IBP"/>
    <s v=""/>
    <s v=""/>
    <s v="A4 Network"/>
    <s v="Provsion only"/>
    <s v="Yes slave high acuity to medical imaging control rooms only"/>
    <s v="Yes"/>
  </r>
  <r>
    <x v="3"/>
    <x v="8"/>
    <s v="07.B.110"/>
    <x v="3"/>
    <x v="1"/>
    <s v="Fixed (wall)"/>
    <n v="1"/>
    <m/>
    <m/>
    <s v=""/>
    <s v=""/>
    <s v=""/>
    <s v=""/>
    <s v=""/>
    <m/>
    <n v="1"/>
    <s v="Philips"/>
    <x v="7"/>
    <n v="22622"/>
    <n v="1127"/>
    <n v="1127"/>
    <n v="24876"/>
    <m/>
    <m/>
    <s v="Compact &amp; large screen"/>
    <s v="3, 5 &amp; 12 Leads"/>
    <s v="Adult"/>
    <s v="Finger, Forehead, Ear, Reusable &amp; Disposable"/>
    <s v="Nellcor"/>
    <s v=""/>
    <s v=""/>
    <s v=""/>
    <s v=""/>
    <s v="4x IBP"/>
    <s v=""/>
    <s v=""/>
    <s v="A4 Network"/>
    <s v="Provsion only"/>
    <s v="Yes slave high acuity to medical imaging control rooms only"/>
    <s v="Yes"/>
  </r>
  <r>
    <x v="3"/>
    <x v="11"/>
    <s v="07.B.097"/>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3"/>
    <x v="11"/>
    <s v="07.B.107"/>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3"/>
    <x v="11"/>
    <s v="07.B.107"/>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3"/>
    <x v="12"/>
    <s v="07.B.114"/>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3"/>
    <x v="11"/>
    <s v="07.B.131"/>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3"/>
    <x v="11"/>
    <s v="07.B.131"/>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3"/>
    <x v="11"/>
    <s v="07.B.135"/>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3"/>
    <x v="11"/>
    <s v="07.B.135"/>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3"/>
    <x v="8"/>
    <s v="07.B.112"/>
    <x v="3"/>
    <x v="1"/>
    <s v="Fixed (wall)"/>
    <n v="1"/>
    <m/>
    <m/>
    <s v=""/>
    <s v=""/>
    <s v=""/>
    <s v=""/>
    <s v=""/>
    <n v="0"/>
    <n v="1"/>
    <s v="Philips"/>
    <x v="7"/>
    <n v="22622"/>
    <n v="1127"/>
    <n v="1127"/>
    <n v="24876"/>
    <m/>
    <m/>
    <s v="Compact &amp; large screen"/>
    <s v="3, 5 &amp; 12 Leads"/>
    <s v="Adult"/>
    <s v="Finger, Forehead, Ear, Reusable &amp; Disposable"/>
    <s v="Nellcor"/>
    <s v=""/>
    <s v=""/>
    <s v=""/>
    <s v=""/>
    <s v="4x IBP"/>
    <s v=""/>
    <s v=""/>
    <s v="A4 Network"/>
    <s v="Provsion only"/>
    <s v="Yes slave high acuity to medical imaging control rooms only"/>
    <s v="Yes"/>
  </r>
  <r>
    <x v="3"/>
    <x v="8"/>
    <s v="07.B.078"/>
    <x v="3"/>
    <x v="2"/>
    <s v="Docked to Host Monitor"/>
    <n v="1"/>
    <m/>
    <m/>
    <s v=""/>
    <s v=""/>
    <s v=""/>
    <s v=""/>
    <s v=""/>
    <m/>
    <n v="1"/>
    <s v="Philips"/>
    <x v="2"/>
    <n v="0"/>
    <n v="0"/>
    <n v="0"/>
    <n v="0"/>
    <m/>
    <m/>
    <m/>
    <m/>
    <m/>
    <m/>
    <m/>
    <m/>
    <m/>
    <m/>
    <m/>
    <m/>
    <m/>
    <m/>
    <m/>
    <m/>
    <m/>
    <m/>
  </r>
  <r>
    <x v="3"/>
    <x v="9"/>
    <s v="07.B.089"/>
    <x v="3"/>
    <x v="2"/>
    <s v="Docked to Host Monitor"/>
    <n v="1"/>
    <m/>
    <m/>
    <s v=""/>
    <s v=""/>
    <s v=""/>
    <s v=""/>
    <s v=""/>
    <m/>
    <n v="1"/>
    <s v="Philips"/>
    <x v="2"/>
    <n v="0"/>
    <n v="0"/>
    <n v="0"/>
    <n v="0"/>
    <m/>
    <m/>
    <m/>
    <m/>
    <m/>
    <m/>
    <m/>
    <m/>
    <m/>
    <m/>
    <m/>
    <m/>
    <m/>
    <m/>
    <m/>
    <m/>
    <m/>
    <m/>
  </r>
  <r>
    <x v="3"/>
    <x v="9"/>
    <s v="07.B.091"/>
    <x v="3"/>
    <x v="2"/>
    <s v="Docked to Host Monitor"/>
    <n v="1"/>
    <m/>
    <m/>
    <s v=""/>
    <s v=""/>
    <s v=""/>
    <s v=""/>
    <s v=""/>
    <m/>
    <n v="1"/>
    <s v="Philips"/>
    <x v="2"/>
    <n v="0"/>
    <n v="0"/>
    <n v="0"/>
    <n v="0"/>
    <m/>
    <m/>
    <m/>
    <m/>
    <m/>
    <m/>
    <m/>
    <m/>
    <m/>
    <m/>
    <m/>
    <m/>
    <m/>
    <m/>
    <m/>
    <m/>
    <m/>
    <m/>
  </r>
  <r>
    <x v="3"/>
    <x v="13"/>
    <s v="07.B.139"/>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3"/>
    <x v="13"/>
    <s v="07.B.141"/>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3"/>
    <x v="13"/>
    <s v="07.B.145"/>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3"/>
    <x v="13"/>
    <s v="07.B.147"/>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3"/>
    <x v="9"/>
    <s v="07.B.100"/>
    <x v="3"/>
    <x v="2"/>
    <s v="Docked to Host Monitor"/>
    <n v="1"/>
    <m/>
    <m/>
    <s v=""/>
    <s v=""/>
    <s v=""/>
    <s v=""/>
    <s v=""/>
    <m/>
    <n v="1"/>
    <s v="Philips"/>
    <x v="2"/>
    <n v="0"/>
    <n v="0"/>
    <n v="0"/>
    <n v="0"/>
    <m/>
    <m/>
    <m/>
    <m/>
    <m/>
    <m/>
    <m/>
    <m/>
    <m/>
    <m/>
    <m/>
    <m/>
    <m/>
    <m/>
    <m/>
    <m/>
    <m/>
    <m/>
  </r>
  <r>
    <x v="3"/>
    <x v="9"/>
    <s v="07.B.104"/>
    <x v="3"/>
    <x v="2"/>
    <s v="Docked to Host Monitor"/>
    <n v="1"/>
    <m/>
    <m/>
    <s v=""/>
    <s v=""/>
    <s v=""/>
    <s v=""/>
    <s v=""/>
    <m/>
    <n v="1"/>
    <s v="Philips"/>
    <x v="2"/>
    <n v="0"/>
    <n v="0"/>
    <n v="0"/>
    <n v="0"/>
    <m/>
    <m/>
    <m/>
    <m/>
    <m/>
    <m/>
    <m/>
    <m/>
    <m/>
    <m/>
    <m/>
    <m/>
    <m/>
    <m/>
    <m/>
    <m/>
    <m/>
    <m/>
  </r>
  <r>
    <x v="3"/>
    <x v="8"/>
    <s v="07.B.110"/>
    <x v="3"/>
    <x v="2"/>
    <s v="Docked to Host Monitor"/>
    <n v="1"/>
    <m/>
    <m/>
    <s v=""/>
    <s v=""/>
    <s v=""/>
    <s v=""/>
    <s v=""/>
    <m/>
    <n v="1"/>
    <s v="Philips"/>
    <x v="2"/>
    <n v="0"/>
    <n v="0"/>
    <n v="0"/>
    <n v="0"/>
    <m/>
    <m/>
    <m/>
    <m/>
    <m/>
    <m/>
    <m/>
    <m/>
    <m/>
    <m/>
    <m/>
    <m/>
    <m/>
    <m/>
    <m/>
    <m/>
    <m/>
    <m/>
  </r>
  <r>
    <x v="3"/>
    <x v="8"/>
    <s v="07.B.112"/>
    <x v="3"/>
    <x v="2"/>
    <s v="Docked to Host Monitor"/>
    <n v="1"/>
    <m/>
    <m/>
    <s v=""/>
    <s v=""/>
    <s v=""/>
    <s v=""/>
    <s v=""/>
    <m/>
    <n v="1"/>
    <s v="Philips"/>
    <x v="2"/>
    <n v="0"/>
    <n v="0"/>
    <n v="0"/>
    <n v="0"/>
    <m/>
    <m/>
    <m/>
    <m/>
    <m/>
    <m/>
    <m/>
    <m/>
    <m/>
    <m/>
    <m/>
    <m/>
    <m/>
    <m/>
    <m/>
    <m/>
    <m/>
    <m/>
  </r>
  <r>
    <x v="3"/>
    <x v="14"/>
    <s v="07.B.150"/>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3"/>
    <x v="14"/>
    <s v="07.B.153"/>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3"/>
    <x v="14"/>
    <s v="07.B.156"/>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3"/>
    <x v="8"/>
    <s v="07.B.112"/>
    <x v="4"/>
    <x v="7"/>
    <s v="Hand Held /Patient Worn"/>
    <n v="1"/>
    <m/>
    <s v="001854"/>
    <s v="MONITORS, TELEMETRIC, ELECTROCARDIOGRAPHY"/>
    <s v="PHILIPS HEALTHCARE"/>
    <s v="MX40-2B4"/>
    <s v="US099E7360"/>
    <s v="Cardiac Care Unit"/>
    <n v="0"/>
    <n v="1"/>
    <s v="Philips"/>
    <x v="8"/>
    <n v="4297"/>
    <n v="0"/>
    <n v="0"/>
    <n v="4297"/>
    <m/>
    <m/>
    <s v="Patient worn"/>
    <s v="5 Leads"/>
    <s v=""/>
    <s v="Finger, Forehead, Ear, Reusable &amp; Disposable"/>
    <s v="Nellcor"/>
    <s v=""/>
    <s v=""/>
    <s v=""/>
    <s v=""/>
    <s v=""/>
    <s v=""/>
    <s v=""/>
    <s v=""/>
    <s v=""/>
    <s v=""/>
    <s v="Yes"/>
  </r>
  <r>
    <x v="3"/>
    <x v="10"/>
    <s v="07.B.081"/>
    <x v="4"/>
    <x v="7"/>
    <s v="Hand Held /Patient Worn"/>
    <n v="1"/>
    <m/>
    <s v="001856"/>
    <s v="MONITORS, TELEMETRIC, ELECTROCARDIOGRAPHY"/>
    <s v="PHILIPS HEALTHCARE"/>
    <s v="MX40-2B4"/>
    <s v="US099E7327"/>
    <s v="Cardiac Care Unit"/>
    <n v="0"/>
    <n v="1"/>
    <s v="Philips"/>
    <x v="8"/>
    <n v="4297"/>
    <n v="0"/>
    <n v="0"/>
    <n v="4297"/>
    <m/>
    <m/>
    <s v="Patient worn"/>
    <s v="5 Leads"/>
    <s v=""/>
    <s v="Finger, Forehead, Ear, Reusable &amp; Disposable"/>
    <s v="Nellcor"/>
    <s v=""/>
    <s v=""/>
    <s v=""/>
    <s v=""/>
    <s v=""/>
    <s v=""/>
    <s v=""/>
    <s v=""/>
    <s v=""/>
    <s v=""/>
    <s v="Yes"/>
  </r>
  <r>
    <x v="3"/>
    <x v="9"/>
    <s v="07.B.089"/>
    <x v="4"/>
    <x v="7"/>
    <s v="Hand Held /Patient Worn"/>
    <n v="1"/>
    <m/>
    <s v="001842"/>
    <s v="MONITORS, TELEMETRIC, ELECTROCARDIOGRAPHY"/>
    <s v="PHILIPS HEALTHCARE"/>
    <s v="MX40-2B4"/>
    <s v="US099E7339"/>
    <s v="Cardiac Care Unit"/>
    <n v="0"/>
    <n v="1"/>
    <s v="Philips"/>
    <x v="8"/>
    <n v="4297"/>
    <n v="0"/>
    <n v="0"/>
    <n v="4297"/>
    <m/>
    <m/>
    <s v="Patient worn"/>
    <s v="5 Leads"/>
    <s v=""/>
    <s v="Finger, Forehead, Ear, Reusable &amp; Disposable"/>
    <s v="Nellcor"/>
    <s v=""/>
    <s v=""/>
    <s v=""/>
    <s v=""/>
    <s v=""/>
    <s v=""/>
    <s v=""/>
    <s v=""/>
    <s v=""/>
    <s v=""/>
    <s v="Yes"/>
  </r>
  <r>
    <x v="3"/>
    <x v="9"/>
    <s v="07.B.091"/>
    <x v="4"/>
    <x v="7"/>
    <s v="Hand Held /Patient Worn"/>
    <n v="1"/>
    <m/>
    <s v="001843"/>
    <s v="MONITORS, TELEMETRIC, ELECTROCARDIOGRAPHY"/>
    <s v="PHILIPS HEALTHCARE"/>
    <s v="MX40-2B4"/>
    <s v="US099E7368"/>
    <s v="Cardiac Care Unit"/>
    <n v="0"/>
    <n v="1"/>
    <s v="Philips"/>
    <x v="8"/>
    <n v="4297"/>
    <n v="0"/>
    <n v="0"/>
    <n v="4297"/>
    <m/>
    <m/>
    <s v="Patient worn"/>
    <s v="5 Leads"/>
    <s v=""/>
    <s v="Finger, Forehead, Ear, Reusable &amp; Disposable"/>
    <s v="Nellcor"/>
    <s v=""/>
    <s v=""/>
    <s v=""/>
    <s v=""/>
    <s v=""/>
    <s v=""/>
    <s v=""/>
    <s v=""/>
    <s v=""/>
    <s v=""/>
    <s v="Yes"/>
  </r>
  <r>
    <x v="3"/>
    <x v="9"/>
    <s v="07.B.100"/>
    <x v="4"/>
    <x v="7"/>
    <s v="Hand Held /Patient Worn"/>
    <n v="1"/>
    <m/>
    <s v="001844"/>
    <s v="MONITORS, TELEMETRIC, ELECTROCARDIOGRAPHY"/>
    <s v="PHILIPS HEALTHCARE"/>
    <s v="MX40-2B4"/>
    <s v="US099E7362"/>
    <s v="Cardiac Care Unit"/>
    <n v="0"/>
    <n v="1"/>
    <s v="Philips"/>
    <x v="8"/>
    <n v="4297"/>
    <n v="0"/>
    <n v="0"/>
    <n v="4297"/>
    <m/>
    <m/>
    <s v="Patient worn"/>
    <s v="5 Leads"/>
    <s v=""/>
    <s v="Finger, Forehead, Ear, Reusable &amp; Disposable"/>
    <s v="Nellcor"/>
    <s v=""/>
    <s v=""/>
    <s v=""/>
    <s v=""/>
    <s v=""/>
    <s v=""/>
    <s v=""/>
    <s v=""/>
    <s v=""/>
    <s v=""/>
    <s v="Yes"/>
  </r>
  <r>
    <x v="3"/>
    <x v="9"/>
    <s v="07.B.104"/>
    <x v="4"/>
    <x v="7"/>
    <s v="Hand Held /Patient Worn"/>
    <n v="1"/>
    <m/>
    <s v="001845"/>
    <s v="MONITORS, TELEMETRIC, ELECTROCARDIOGRAPHY"/>
    <s v="PHILIPS HEALTHCARE"/>
    <s v="MX40-2B4"/>
    <s v="US099E7346"/>
    <s v="Cardiac Care Unit"/>
    <n v="0"/>
    <n v="1"/>
    <s v="Philips"/>
    <x v="8"/>
    <n v="4297"/>
    <n v="0"/>
    <n v="0"/>
    <n v="4297"/>
    <m/>
    <m/>
    <s v="Patient worn"/>
    <s v="5 Leads"/>
    <s v=""/>
    <s v="Finger, Forehead, Ear, Reusable &amp; Disposable"/>
    <s v="Nellcor"/>
    <s v=""/>
    <s v=""/>
    <s v=""/>
    <s v=""/>
    <s v=""/>
    <s v=""/>
    <s v=""/>
    <s v=""/>
    <s v=""/>
    <s v=""/>
    <s v="Yes"/>
  </r>
  <r>
    <x v="3"/>
    <x v="8"/>
    <s v="07.B.078"/>
    <x v="4"/>
    <x v="7"/>
    <s v="Hand Held /Patient Worn"/>
    <n v="1"/>
    <m/>
    <s v="001841"/>
    <s v="MONITORS, TELEMETRIC, ELECTROCARDIOGRAPHY"/>
    <s v="PHILIPS HEALTHCARE"/>
    <s v="MX40-2B4"/>
    <s v="US099E7329"/>
    <s v="Cardiac Care Unit"/>
    <n v="0"/>
    <n v="1"/>
    <s v="Philips"/>
    <x v="8"/>
    <n v="4297"/>
    <n v="0"/>
    <n v="0"/>
    <n v="4297"/>
    <m/>
    <m/>
    <s v="Patient worn"/>
    <s v="5 Leads"/>
    <s v=""/>
    <s v="Finger, Forehead, Ear, Reusable &amp; Disposable"/>
    <s v="Nellcor"/>
    <s v=""/>
    <s v=""/>
    <s v=""/>
    <s v=""/>
    <s v=""/>
    <s v=""/>
    <s v=""/>
    <s v=""/>
    <s v=""/>
    <s v=""/>
    <s v="Yes"/>
  </r>
  <r>
    <x v="3"/>
    <x v="8"/>
    <s v="07.B.110"/>
    <x v="4"/>
    <x v="7"/>
    <s v="Hand Held /Patient Worn"/>
    <n v="1"/>
    <m/>
    <s v="001846"/>
    <s v="MONITORS, TELEMETRIC, ELECTROCARDIOGRAPHY"/>
    <s v="PHILIPS HEALTHCARE"/>
    <s v="MX40-2B4"/>
    <s v="US099E7377"/>
    <s v="Cardiac Care Unit"/>
    <n v="0"/>
    <n v="1"/>
    <s v="Philips"/>
    <x v="8"/>
    <n v="4297"/>
    <n v="0"/>
    <n v="0"/>
    <n v="4297"/>
    <m/>
    <m/>
    <s v="Patient worn"/>
    <s v="5 Leads"/>
    <s v=""/>
    <s v="Finger, Forehead, Ear, Reusable &amp; Disposable"/>
    <s v="Nellcor"/>
    <s v=""/>
    <s v=""/>
    <s v=""/>
    <s v=""/>
    <s v=""/>
    <s v=""/>
    <s v=""/>
    <s v=""/>
    <s v=""/>
    <s v=""/>
    <s v="Yes"/>
  </r>
  <r>
    <x v="3"/>
    <x v="11"/>
    <s v="07.B.086"/>
    <x v="4"/>
    <x v="7"/>
    <s v="Hand Held /Patient Worn"/>
    <n v="1"/>
    <m/>
    <s v="001847"/>
    <s v="MONITORS, TELEMETRIC, ELECTROCARDIOGRAPHY"/>
    <s v="PHILIPS HEALTHCARE"/>
    <s v="MX40-2B4"/>
    <s v="US099E7375"/>
    <s v="Cardiac Care Unit"/>
    <n v="0"/>
    <n v="1"/>
    <s v="Philips"/>
    <x v="8"/>
    <n v="4297"/>
    <n v="0"/>
    <n v="0"/>
    <n v="4297"/>
    <m/>
    <m/>
    <s v="Patient worn"/>
    <s v="5 Leads"/>
    <s v=""/>
    <s v="Finger, Forehead, Ear, Reusable &amp; Disposable"/>
    <s v="Nellcor"/>
    <s v=""/>
    <s v=""/>
    <s v=""/>
    <s v=""/>
    <s v=""/>
    <s v=""/>
    <s v=""/>
    <s v=""/>
    <s v=""/>
    <s v=""/>
    <s v="Yes"/>
  </r>
  <r>
    <x v="3"/>
    <x v="11"/>
    <s v="07.B.086"/>
    <x v="4"/>
    <x v="7"/>
    <s v="Hand Held /Patient Worn"/>
    <n v="1"/>
    <m/>
    <s v="001848"/>
    <s v="MONITORS, TELEMETRIC, ELECTROCARDIOGRAPHY"/>
    <s v="PHILIPS HEALTHCARE"/>
    <s v="MX40-2B4"/>
    <s v="US099E7356"/>
    <s v="Cardiac Care Unit"/>
    <n v="0"/>
    <n v="1"/>
    <s v="Philips"/>
    <x v="8"/>
    <n v="4297"/>
    <n v="0"/>
    <n v="0"/>
    <n v="4297"/>
    <m/>
    <m/>
    <s v="Patient worn"/>
    <s v="5 Leads"/>
    <s v=""/>
    <s v="Finger, Forehead, Ear, Reusable &amp; Disposable"/>
    <s v="Nellcor"/>
    <s v=""/>
    <s v=""/>
    <s v=""/>
    <s v=""/>
    <s v=""/>
    <s v=""/>
    <s v=""/>
    <s v=""/>
    <s v=""/>
    <s v=""/>
    <s v="Yes"/>
  </r>
  <r>
    <x v="3"/>
    <x v="11"/>
    <s v="07.B.094"/>
    <x v="4"/>
    <x v="7"/>
    <s v="Hand Held /Patient Worn"/>
    <n v="1"/>
    <m/>
    <s v="001849"/>
    <s v="MONITORS, TELEMETRIC, ELECTROCARDIOGRAPHY"/>
    <s v="PHILIPS HEALTHCARE"/>
    <s v="MX40-2B4"/>
    <s v="US099E7355"/>
    <s v="Cardiac Care Unit"/>
    <n v="0"/>
    <n v="1"/>
    <s v="Philips"/>
    <x v="8"/>
    <n v="4297"/>
    <n v="0"/>
    <n v="0"/>
    <n v="4297"/>
    <m/>
    <m/>
    <s v="Patient worn"/>
    <s v="5 Leads"/>
    <s v=""/>
    <s v="Finger, Forehead, Ear, Reusable &amp; Disposable"/>
    <s v="Nellcor"/>
    <s v=""/>
    <s v=""/>
    <s v=""/>
    <s v=""/>
    <s v=""/>
    <s v=""/>
    <s v=""/>
    <s v=""/>
    <s v=""/>
    <s v=""/>
    <s v="Yes"/>
  </r>
  <r>
    <x v="3"/>
    <x v="11"/>
    <s v="07.B.094"/>
    <x v="4"/>
    <x v="7"/>
    <s v="Hand Held /Patient Worn"/>
    <n v="1"/>
    <m/>
    <s v="001851"/>
    <s v="MONITORS, TELEMETRIC, ELECTROCARDIOGRAPHY"/>
    <s v="PHILIPS HEALTHCARE"/>
    <s v="MX40-2B4"/>
    <s v="US099E7325"/>
    <s v="Cardiac Care Unit"/>
    <n v="0"/>
    <n v="1"/>
    <s v="Philips"/>
    <x v="8"/>
    <n v="4297"/>
    <n v="0"/>
    <n v="0"/>
    <n v="4297"/>
    <m/>
    <m/>
    <s v="Patient worn"/>
    <s v="5 Leads"/>
    <s v=""/>
    <s v="Finger, Forehead, Ear, Reusable &amp; Disposable"/>
    <s v="Nellcor"/>
    <s v=""/>
    <s v=""/>
    <s v=""/>
    <s v=""/>
    <s v=""/>
    <s v=""/>
    <s v=""/>
    <s v=""/>
    <s v=""/>
    <s v=""/>
    <s v="Yes"/>
  </r>
  <r>
    <x v="3"/>
    <x v="11"/>
    <s v="07.B.097"/>
    <x v="4"/>
    <x v="7"/>
    <s v="Hand Held /Patient Worn"/>
    <n v="1"/>
    <m/>
    <s v="001853"/>
    <s v="MONITORS, TELEMETRIC, ELECTROCARDIOGRAPHY"/>
    <s v="PHILIPS HEALTHCARE"/>
    <s v="MX40-2B4"/>
    <s v="US099E7369"/>
    <s v="Cardiac Care Unit"/>
    <n v="0"/>
    <n v="1"/>
    <s v="Philips"/>
    <x v="8"/>
    <n v="4297"/>
    <n v="0"/>
    <n v="0"/>
    <n v="4297"/>
    <m/>
    <m/>
    <s v="Patient worn"/>
    <s v="5 Leads"/>
    <s v=""/>
    <s v="Finger, Forehead, Ear, Reusable &amp; Disposable"/>
    <s v="Nellcor"/>
    <s v=""/>
    <s v=""/>
    <s v=""/>
    <s v=""/>
    <s v=""/>
    <s v=""/>
    <s v=""/>
    <s v=""/>
    <s v=""/>
    <s v=""/>
    <s v="Yes"/>
  </r>
  <r>
    <x v="3"/>
    <x v="11"/>
    <s v="07.B.097"/>
    <x v="4"/>
    <x v="7"/>
    <s v="Hand Held /Patient Worn"/>
    <n v="1"/>
    <m/>
    <s v="001855"/>
    <s v="MONITORS, TELEMETRIC, ELECTROCARDIOGRAPHY"/>
    <s v="PHILIPS HEALTHCARE"/>
    <s v="MX40-2B4"/>
    <s v="US099E7350"/>
    <s v="Cardiac Care Unit"/>
    <n v="0"/>
    <n v="1"/>
    <s v="Philips"/>
    <x v="8"/>
    <n v="4297"/>
    <n v="0"/>
    <n v="0"/>
    <n v="4297"/>
    <m/>
    <m/>
    <s v="Patient worn"/>
    <s v="5 Leads"/>
    <s v=""/>
    <s v="Finger, Forehead, Ear, Reusable &amp; Disposable"/>
    <s v="Nellcor"/>
    <s v=""/>
    <s v=""/>
    <s v=""/>
    <s v=""/>
    <s v=""/>
    <s v=""/>
    <s v=""/>
    <s v=""/>
    <s v=""/>
    <s v=""/>
    <s v="Yes"/>
  </r>
  <r>
    <x v="3"/>
    <x v="11"/>
    <s v="07.B.107"/>
    <x v="4"/>
    <x v="7"/>
    <s v="Hand Held /Patient Worn"/>
    <n v="1"/>
    <m/>
    <s v="001857"/>
    <s v="MONITORS, TELEMETRIC, ELECTROCARDIOGRAPHY"/>
    <s v="PHILIPS HEALTHCARE"/>
    <s v="MX40-2B4"/>
    <s v="US099E7358"/>
    <s v="Cardiac Care Unit"/>
    <n v="0"/>
    <n v="1"/>
    <s v="Philips"/>
    <x v="8"/>
    <n v="4297"/>
    <n v="0"/>
    <n v="0"/>
    <n v="4297"/>
    <m/>
    <m/>
    <s v="Patient worn"/>
    <s v="5 Leads"/>
    <s v=""/>
    <s v="Finger, Forehead, Ear, Reusable &amp; Disposable"/>
    <s v="Nellcor"/>
    <s v=""/>
    <s v=""/>
    <s v=""/>
    <s v=""/>
    <s v=""/>
    <s v=""/>
    <s v=""/>
    <s v=""/>
    <s v=""/>
    <s v=""/>
    <s v="Yes"/>
  </r>
  <r>
    <x v="3"/>
    <x v="11"/>
    <s v="07.B.107"/>
    <x v="4"/>
    <x v="7"/>
    <s v="Hand Held /Patient Worn"/>
    <n v="1"/>
    <m/>
    <s v="001858"/>
    <s v="MONITORS, TELEMETRIC, ELECTROCARDIOGRAPHY"/>
    <s v="PHILIPS HEALTHCARE"/>
    <s v="MX40-2B4"/>
    <s v="US099E7365"/>
    <s v="Cardiac Care Unit"/>
    <n v="0"/>
    <n v="1"/>
    <s v="Philips"/>
    <x v="8"/>
    <n v="4297"/>
    <n v="0"/>
    <n v="0"/>
    <n v="4297"/>
    <m/>
    <m/>
    <s v="Patient worn"/>
    <s v="5 Leads"/>
    <s v=""/>
    <s v="Finger, Forehead, Ear, Reusable &amp; Disposable"/>
    <s v="Nellcor"/>
    <s v=""/>
    <s v=""/>
    <s v=""/>
    <s v=""/>
    <s v=""/>
    <s v=""/>
    <s v=""/>
    <s v=""/>
    <s v=""/>
    <s v=""/>
    <s v="Yes"/>
  </r>
  <r>
    <x v="3"/>
    <x v="13"/>
    <s v="07.B.139"/>
    <x v="4"/>
    <x v="7"/>
    <s v="Hand Held /Patient Worn"/>
    <n v="1"/>
    <m/>
    <m/>
    <s v=""/>
    <s v=""/>
    <s v=""/>
    <s v=""/>
    <s v=""/>
    <m/>
    <n v="1"/>
    <s v="Philips"/>
    <x v="8"/>
    <n v="4297"/>
    <n v="0"/>
    <n v="0"/>
    <n v="4297"/>
    <m/>
    <m/>
    <s v="Patient worn"/>
    <s v="5 Leads"/>
    <s v=""/>
    <s v="Finger, Forehead, Ear, Reusable &amp; Disposable"/>
    <s v="Nellcor"/>
    <s v=""/>
    <s v=""/>
    <s v=""/>
    <s v=""/>
    <s v=""/>
    <s v=""/>
    <s v=""/>
    <s v=""/>
    <s v=""/>
    <s v=""/>
    <s v="Yes"/>
  </r>
  <r>
    <x v="3"/>
    <x v="13"/>
    <s v="07.B.141"/>
    <x v="4"/>
    <x v="7"/>
    <s v="Hand Held /Patient Worn"/>
    <n v="1"/>
    <m/>
    <m/>
    <s v=""/>
    <s v=""/>
    <s v=""/>
    <s v=""/>
    <s v=""/>
    <m/>
    <n v="1"/>
    <s v="Philips"/>
    <x v="8"/>
    <n v="4297"/>
    <n v="0"/>
    <n v="0"/>
    <n v="4297"/>
    <m/>
    <m/>
    <s v="Patient worn"/>
    <s v="5 Leads"/>
    <s v=""/>
    <s v="Finger, Forehead, Ear, Reusable &amp; Disposable"/>
    <s v="Nellcor"/>
    <s v=""/>
    <s v=""/>
    <s v=""/>
    <s v=""/>
    <s v=""/>
    <s v=""/>
    <s v=""/>
    <s v=""/>
    <s v=""/>
    <s v=""/>
    <s v="Yes"/>
  </r>
  <r>
    <x v="3"/>
    <x v="13"/>
    <s v="07.B.145"/>
    <x v="4"/>
    <x v="7"/>
    <s v="Hand Held /Patient Worn"/>
    <n v="1"/>
    <m/>
    <m/>
    <s v=""/>
    <s v=""/>
    <s v=""/>
    <s v=""/>
    <s v=""/>
    <m/>
    <n v="1"/>
    <s v="Philips"/>
    <x v="8"/>
    <n v="4297"/>
    <n v="0"/>
    <n v="0"/>
    <n v="4297"/>
    <m/>
    <m/>
    <s v="Patient worn"/>
    <s v="5 Leads"/>
    <s v=""/>
    <s v="Finger, Forehead, Ear, Reusable &amp; Disposable"/>
    <s v="Nellcor"/>
    <s v=""/>
    <s v=""/>
    <s v=""/>
    <s v=""/>
    <s v=""/>
    <s v=""/>
    <s v=""/>
    <s v=""/>
    <s v=""/>
    <s v=""/>
    <s v="Yes"/>
  </r>
  <r>
    <x v="3"/>
    <x v="13"/>
    <s v="07.B.147"/>
    <x v="4"/>
    <x v="7"/>
    <s v="Hand Held /Patient Worn"/>
    <n v="1"/>
    <m/>
    <m/>
    <s v=""/>
    <s v=""/>
    <s v=""/>
    <s v=""/>
    <s v=""/>
    <m/>
    <n v="1"/>
    <s v="Philips"/>
    <x v="8"/>
    <n v="4297"/>
    <n v="0"/>
    <n v="0"/>
    <n v="4297"/>
    <m/>
    <m/>
    <s v="Patient worn"/>
    <s v="5 Leads"/>
    <s v=""/>
    <s v="Finger, Forehead, Ear, Reusable &amp; Disposable"/>
    <s v="Nellcor"/>
    <s v=""/>
    <s v=""/>
    <s v=""/>
    <s v=""/>
    <s v=""/>
    <s v=""/>
    <s v=""/>
    <s v=""/>
    <s v=""/>
    <s v=""/>
    <s v="Yes"/>
  </r>
  <r>
    <x v="3"/>
    <x v="14"/>
    <s v="07.B.150"/>
    <x v="4"/>
    <x v="7"/>
    <s v="Hand Held /Patient Worn"/>
    <n v="1"/>
    <m/>
    <m/>
    <s v=""/>
    <s v=""/>
    <s v=""/>
    <s v=""/>
    <s v=""/>
    <m/>
    <n v="1"/>
    <s v="Philips"/>
    <x v="8"/>
    <n v="4297"/>
    <n v="0"/>
    <n v="0"/>
    <n v="4297"/>
    <m/>
    <m/>
    <s v="Patient worn"/>
    <s v="5 Leads"/>
    <s v=""/>
    <s v="Finger, Forehead, Ear, Reusable &amp; Disposable"/>
    <s v="Nellcor"/>
    <s v=""/>
    <s v=""/>
    <s v=""/>
    <s v=""/>
    <s v=""/>
    <s v=""/>
    <s v=""/>
    <s v=""/>
    <s v=""/>
    <s v=""/>
    <s v="Yes"/>
  </r>
  <r>
    <x v="3"/>
    <x v="14"/>
    <s v="07.B.153"/>
    <x v="4"/>
    <x v="7"/>
    <s v="Hand Held /Patient Worn"/>
    <n v="1"/>
    <m/>
    <m/>
    <s v=""/>
    <s v=""/>
    <s v=""/>
    <s v=""/>
    <s v=""/>
    <m/>
    <n v="1"/>
    <s v="Philips"/>
    <x v="8"/>
    <n v="4297"/>
    <n v="0"/>
    <n v="0"/>
    <n v="4297"/>
    <m/>
    <m/>
    <s v="Patient worn"/>
    <s v="5 Leads"/>
    <s v=""/>
    <s v="Finger, Forehead, Ear, Reusable &amp; Disposable"/>
    <s v="Nellcor"/>
    <s v=""/>
    <s v=""/>
    <s v=""/>
    <s v=""/>
    <s v=""/>
    <s v=""/>
    <s v=""/>
    <s v=""/>
    <s v=""/>
    <s v=""/>
    <s v="Yes"/>
  </r>
  <r>
    <x v="3"/>
    <x v="14"/>
    <s v="07.B.156"/>
    <x v="4"/>
    <x v="7"/>
    <s v="Hand Held /Patient Worn"/>
    <n v="1"/>
    <m/>
    <m/>
    <s v=""/>
    <s v=""/>
    <s v=""/>
    <s v=""/>
    <s v=""/>
    <m/>
    <n v="1"/>
    <s v="Philips"/>
    <x v="8"/>
    <n v="4297"/>
    <n v="0"/>
    <n v="0"/>
    <n v="4297"/>
    <m/>
    <m/>
    <s v="Patient worn"/>
    <s v="5 Leads"/>
    <s v=""/>
    <s v="Finger, Forehead, Ear, Reusable &amp; Disposable"/>
    <s v="Nellcor"/>
    <s v=""/>
    <s v=""/>
    <s v=""/>
    <s v=""/>
    <s v=""/>
    <s v=""/>
    <s v=""/>
    <s v=""/>
    <s v=""/>
    <s v=""/>
    <s v="Yes"/>
  </r>
  <r>
    <x v="3"/>
    <x v="14"/>
    <s v="07.B.158"/>
    <x v="4"/>
    <x v="7"/>
    <s v="Hand Held /Patient Worn"/>
    <n v="1"/>
    <m/>
    <m/>
    <s v=""/>
    <s v=""/>
    <s v=""/>
    <s v=""/>
    <s v=""/>
    <m/>
    <n v="1"/>
    <s v="Philips"/>
    <x v="8"/>
    <n v="4297"/>
    <n v="0"/>
    <n v="0"/>
    <n v="4297"/>
    <m/>
    <m/>
    <s v="Patient worn"/>
    <s v="5 Leads"/>
    <s v=""/>
    <s v="Finger, Forehead, Ear, Reusable &amp; Disposable"/>
    <s v="Nellcor"/>
    <s v=""/>
    <s v=""/>
    <s v=""/>
    <s v=""/>
    <s v=""/>
    <s v=""/>
    <s v=""/>
    <s v=""/>
    <s v=""/>
    <s v=""/>
    <s v="Yes"/>
  </r>
  <r>
    <x v="3"/>
    <x v="11"/>
    <s v="07.B.131"/>
    <x v="4"/>
    <x v="7"/>
    <s v="Hand Held /Patient Worn"/>
    <n v="1"/>
    <m/>
    <m/>
    <s v=""/>
    <s v=""/>
    <s v=""/>
    <s v=""/>
    <s v=""/>
    <m/>
    <n v="1"/>
    <s v="Philips"/>
    <x v="8"/>
    <n v="4297"/>
    <n v="0"/>
    <n v="0"/>
    <n v="4297"/>
    <m/>
    <m/>
    <s v="Patient worn"/>
    <s v="5 Leads"/>
    <s v=""/>
    <s v="Finger, Forehead, Ear, Reusable &amp; Disposable"/>
    <s v="Nellcor"/>
    <s v=""/>
    <s v=""/>
    <s v=""/>
    <s v=""/>
    <s v=""/>
    <s v=""/>
    <s v=""/>
    <s v=""/>
    <s v=""/>
    <s v=""/>
    <s v="Yes"/>
  </r>
  <r>
    <x v="3"/>
    <x v="11"/>
    <s v="07.B.135"/>
    <x v="4"/>
    <x v="7"/>
    <s v="Hand Held /Patient Worn"/>
    <n v="1"/>
    <m/>
    <m/>
    <s v=""/>
    <s v=""/>
    <s v=""/>
    <s v=""/>
    <s v=""/>
    <m/>
    <n v="1"/>
    <s v="Philips"/>
    <x v="8"/>
    <n v="4297"/>
    <n v="0"/>
    <n v="0"/>
    <n v="4297"/>
    <m/>
    <m/>
    <s v="Patient worn"/>
    <s v="5 Leads"/>
    <s v=""/>
    <s v="Finger, Forehead, Ear, Reusable &amp; Disposable"/>
    <s v="Nellcor"/>
    <s v=""/>
    <s v=""/>
    <s v=""/>
    <s v=""/>
    <s v=""/>
    <s v=""/>
    <s v=""/>
    <s v=""/>
    <s v=""/>
    <s v=""/>
    <s v="Yes"/>
  </r>
  <r>
    <x v="3"/>
    <x v="11"/>
    <s v="07.B.161"/>
    <x v="4"/>
    <x v="7"/>
    <s v="Hand Held /Patient Worn"/>
    <n v="1"/>
    <m/>
    <m/>
    <s v=""/>
    <s v=""/>
    <s v=""/>
    <s v=""/>
    <s v=""/>
    <m/>
    <n v="1"/>
    <s v="Philips"/>
    <x v="8"/>
    <n v="4297"/>
    <n v="0"/>
    <n v="0"/>
    <n v="4297"/>
    <m/>
    <m/>
    <s v="Patient worn"/>
    <s v="5 Leads"/>
    <s v=""/>
    <s v="Finger, Forehead, Ear, Reusable &amp; Disposable"/>
    <s v="Nellcor"/>
    <s v=""/>
    <s v=""/>
    <s v=""/>
    <s v=""/>
    <s v=""/>
    <s v=""/>
    <s v=""/>
    <s v=""/>
    <s v=""/>
    <s v=""/>
    <s v="Yes"/>
  </r>
  <r>
    <x v="3"/>
    <x v="11"/>
    <s v="07.B.165"/>
    <x v="4"/>
    <x v="7"/>
    <s v="Hand Held /Patient Worn"/>
    <n v="1"/>
    <m/>
    <m/>
    <s v=""/>
    <s v=""/>
    <s v=""/>
    <s v=""/>
    <s v=""/>
    <m/>
    <n v="1"/>
    <s v="Philips"/>
    <x v="8"/>
    <n v="4297"/>
    <n v="0"/>
    <n v="0"/>
    <n v="4297"/>
    <m/>
    <m/>
    <s v="Patient worn"/>
    <s v="5 Leads"/>
    <s v=""/>
    <s v="Finger, Forehead, Ear, Reusable &amp; Disposable"/>
    <s v="Nellcor"/>
    <s v=""/>
    <s v=""/>
    <s v=""/>
    <s v=""/>
    <s v=""/>
    <s v=""/>
    <s v=""/>
    <s v=""/>
    <s v=""/>
    <s v=""/>
    <s v="Yes"/>
  </r>
  <r>
    <x v="3"/>
    <x v="0"/>
    <s v="07.B.127"/>
    <x v="4"/>
    <x v="7"/>
    <s v="Hand Held /Patient Worn"/>
    <n v="4"/>
    <m/>
    <m/>
    <s v=""/>
    <s v=""/>
    <s v=""/>
    <s v=""/>
    <s v=""/>
    <m/>
    <n v="4"/>
    <s v="Philips"/>
    <x v="8"/>
    <n v="4297"/>
    <n v="0"/>
    <n v="0"/>
    <n v="17188"/>
    <m/>
    <m/>
    <m/>
    <m/>
    <m/>
    <m/>
    <m/>
    <m/>
    <m/>
    <m/>
    <m/>
    <m/>
    <m/>
    <m/>
    <m/>
    <m/>
    <m/>
    <m/>
  </r>
  <r>
    <x v="3"/>
    <x v="0"/>
    <s v="07.B.127"/>
    <x v="4"/>
    <x v="8"/>
    <s v="Desktop Mounted"/>
    <n v="2"/>
    <m/>
    <s v="001879"/>
    <s v="DOCKING STATION, BATTERY, TELEMETRY"/>
    <s v="865220"/>
    <s v="Mx40 IntelliVue Battery Charging Station"/>
    <s v="DE66812747"/>
    <s v="CCU FH"/>
    <n v="1"/>
    <n v="1"/>
    <s v="Philips"/>
    <x v="9"/>
    <n v="2051"/>
    <n v="0"/>
    <n v="0"/>
    <n v="2051"/>
    <m/>
    <m/>
    <m/>
    <m/>
    <m/>
    <m/>
    <m/>
    <m/>
    <m/>
    <m/>
    <m/>
    <m/>
    <m/>
    <m/>
    <m/>
    <m/>
    <m/>
    <m/>
  </r>
  <r>
    <x v="3"/>
    <x v="0"/>
    <s v="07.B.127"/>
    <x v="4"/>
    <x v="8"/>
    <s v="Desktop Mounted"/>
    <n v="2"/>
    <m/>
    <s v="001880"/>
    <s v="DOCKING STATION, BATTERY, TELEMETRY"/>
    <s v="865220"/>
    <s v="Mx40 IntelliVue Battery Charging Station"/>
    <s v="DE66812766"/>
    <s v="CCU FH"/>
    <n v="1"/>
    <n v="1"/>
    <s v="Philips"/>
    <x v="9"/>
    <n v="2051"/>
    <n v="0"/>
    <n v="0"/>
    <n v="2051"/>
    <m/>
    <m/>
    <m/>
    <m/>
    <m/>
    <m/>
    <m/>
    <m/>
    <m/>
    <m/>
    <m/>
    <m/>
    <m/>
    <m/>
    <m/>
    <m/>
    <m/>
    <m/>
  </r>
  <r>
    <x v="3"/>
    <x v="0"/>
    <s v="07.B.127"/>
    <x v="4"/>
    <x v="8"/>
    <s v="Desktop Mounted"/>
    <n v="2"/>
    <m/>
    <s v="Temp001"/>
    <s v="DOCKING STATION, BATTERY, TELEMETRY"/>
    <s v="865220"/>
    <s v="Mx40 IntelliVue Battery Charging Station"/>
    <s v="DE66812739"/>
    <s v="CCU FH"/>
    <n v="1"/>
    <n v="1"/>
    <s v="Philips"/>
    <x v="9"/>
    <n v="2051"/>
    <n v="0"/>
    <n v="0"/>
    <n v="2051"/>
    <m/>
    <m/>
    <m/>
    <m/>
    <m/>
    <m/>
    <m/>
    <m/>
    <m/>
    <m/>
    <m/>
    <m/>
    <m/>
    <m/>
    <m/>
    <m/>
    <m/>
    <m/>
  </r>
  <r>
    <x v="3"/>
    <x v="0"/>
    <s v="07.B.127"/>
    <x v="4"/>
    <x v="8"/>
    <s v="Desktop Mounted"/>
    <n v="2"/>
    <m/>
    <s v="001878"/>
    <s v="DOCKING STATION, BATTERY, TELEMETRY"/>
    <s v="865220"/>
    <s v="Mx40 IntelliVue Battery Charging Station"/>
    <s v="DE66812755"/>
    <s v="CCU FH"/>
    <n v="1"/>
    <n v="1"/>
    <s v="Philips"/>
    <x v="9"/>
    <n v="2051"/>
    <n v="0"/>
    <n v="0"/>
    <n v="2051"/>
    <m/>
    <m/>
    <m/>
    <m/>
    <m/>
    <m/>
    <m/>
    <m/>
    <m/>
    <m/>
    <m/>
    <m/>
    <m/>
    <m/>
    <m/>
    <m/>
    <m/>
    <m/>
  </r>
  <r>
    <x v="3"/>
    <x v="0"/>
    <s v="07.B.127"/>
    <x v="4"/>
    <x v="9"/>
    <s v="Wall Mounted"/>
    <n v="8"/>
    <m/>
    <m/>
    <s v=""/>
    <s v=""/>
    <s v=""/>
    <s v=""/>
    <s v=""/>
    <m/>
    <n v="8"/>
    <s v="Philips"/>
    <x v="9"/>
    <n v="2051"/>
    <n v="0"/>
    <n v="0"/>
    <n v="16408"/>
    <m/>
    <m/>
    <m/>
    <m/>
    <m/>
    <m/>
    <m/>
    <m/>
    <m/>
    <m/>
    <m/>
    <m/>
    <m/>
    <m/>
    <m/>
    <m/>
    <m/>
    <m/>
  </r>
  <r>
    <x v="3"/>
    <x v="14"/>
    <s v="07.B.158"/>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3"/>
    <x v="11"/>
    <s v="07.B.161"/>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3"/>
    <x v="11"/>
    <s v="07.B.161"/>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3"/>
    <x v="11"/>
    <s v="07.B.165"/>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3"/>
    <x v="11"/>
    <s v="07.B.165"/>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3"/>
    <x v="0"/>
    <s v="07.B.127"/>
    <x v="1"/>
    <x v="10"/>
    <s v="Transport (freestanding, docking or rail hook)"/>
    <n v="1"/>
    <m/>
    <m/>
    <s v=""/>
    <s v=""/>
    <s v=""/>
    <s v=""/>
    <s v=""/>
    <m/>
    <n v="1"/>
    <s v="Philips"/>
    <x v="2"/>
    <n v="0"/>
    <n v="0"/>
    <n v="0"/>
    <n v="0"/>
    <m/>
    <m/>
    <s v="Compact &amp; medium screen"/>
    <s v="3, 5 &amp; 12 Leads"/>
    <s v="Adult"/>
    <s v="Finger, Forehead, Ear, Reusable &amp; Disposable"/>
    <s v="Nellcor"/>
    <s v=""/>
    <s v=""/>
    <s v=""/>
    <s v=""/>
    <s v="2x IBP channel provision only"/>
    <s v=""/>
    <s v=""/>
    <s v="A4 Network"/>
    <s v="Provsion only"/>
    <s v=""/>
    <s v="Yes"/>
  </r>
  <r>
    <x v="3"/>
    <x v="0"/>
    <s v="07.B.127"/>
    <x v="1"/>
    <x v="10"/>
    <s v="Transport (freestanding, docking or rail hook)"/>
    <n v="1"/>
    <m/>
    <m/>
    <s v=""/>
    <s v=""/>
    <s v=""/>
    <s v=""/>
    <s v=""/>
    <m/>
    <n v="1"/>
    <s v="Philips"/>
    <x v="2"/>
    <n v="0"/>
    <n v="0"/>
    <n v="0"/>
    <n v="0"/>
    <m/>
    <m/>
    <s v="Compact &amp; medium screen"/>
    <s v="3, 5 &amp; 12 Leads"/>
    <s v="Adult"/>
    <s v="Finger, Forehead, Ear, Reusable &amp; Disposable"/>
    <s v="Nellcor"/>
    <s v=""/>
    <s v=""/>
    <s v=""/>
    <s v=""/>
    <s v="2x IBP channel provision only"/>
    <s v=""/>
    <s v=""/>
    <s v="A4 Network"/>
    <s v="Provsion only"/>
    <s v=""/>
    <s v="Yes"/>
  </r>
  <r>
    <x v="3"/>
    <x v="10"/>
    <s v="07.B.081"/>
    <x v="1"/>
    <x v="2"/>
    <s v="Docked to Host Monitor"/>
    <n v="1"/>
    <m/>
    <m/>
    <s v=""/>
    <s v=""/>
    <s v=""/>
    <s v=""/>
    <s v=""/>
    <m/>
    <n v="1"/>
    <s v="Philips"/>
    <x v="2"/>
    <n v="0"/>
    <n v="0"/>
    <n v="0"/>
    <n v="0"/>
    <m/>
    <m/>
    <m/>
    <m/>
    <m/>
    <m/>
    <m/>
    <m/>
    <m/>
    <m/>
    <m/>
    <m/>
    <m/>
    <m/>
    <m/>
    <m/>
    <m/>
    <m/>
  </r>
  <r>
    <x v="3"/>
    <x v="11"/>
    <s v="07.B.086"/>
    <x v="1"/>
    <x v="2"/>
    <s v="Docked to Host Monitor"/>
    <n v="1"/>
    <m/>
    <s v="003380"/>
    <s v="MULTI-PARAMETERS MODULE, PHYSIOLOGICAL"/>
    <s v="PHILIPS MEDICAL SYSTEMS AUSTRA"/>
    <s v="IntelliVue X3"/>
    <s v="DE61146286"/>
    <s v="CCU FH"/>
    <n v="1"/>
    <n v="0"/>
    <s v="Philips"/>
    <x v="2"/>
    <n v="0"/>
    <n v="0"/>
    <n v="0"/>
    <n v="0"/>
    <m/>
    <m/>
    <m/>
    <m/>
    <m/>
    <m/>
    <m/>
    <m/>
    <m/>
    <m/>
    <m/>
    <m/>
    <m/>
    <m/>
    <m/>
    <m/>
    <m/>
    <m/>
  </r>
  <r>
    <x v="3"/>
    <x v="11"/>
    <s v="07.B.086"/>
    <x v="1"/>
    <x v="2"/>
    <s v="Docked to Host Monitor"/>
    <n v="1"/>
    <m/>
    <s v="003002"/>
    <s v="MULTI-PARAMETERS MODULE, PHYSIOLOGICAL"/>
    <s v="PHILIPS MEDICAL SYSTEMS AUSTRA"/>
    <s v="IntelliVue X3"/>
    <s v="DE61146924"/>
    <s v="CCU FH"/>
    <n v="1"/>
    <n v="0"/>
    <s v="Philips"/>
    <x v="2"/>
    <n v="0"/>
    <n v="0"/>
    <n v="0"/>
    <n v="0"/>
    <m/>
    <m/>
    <m/>
    <m/>
    <m/>
    <m/>
    <m/>
    <m/>
    <m/>
    <m/>
    <m/>
    <m/>
    <m/>
    <m/>
    <m/>
    <m/>
    <m/>
    <m/>
  </r>
  <r>
    <x v="3"/>
    <x v="11"/>
    <s v="07.B.094"/>
    <x v="1"/>
    <x v="2"/>
    <s v="Docked to Host Monitor"/>
    <n v="1"/>
    <m/>
    <s v="001075"/>
    <s v="MULTI-PARAMETERS MODULE, PHYSIOLOGICAL"/>
    <s v="PHILIPS MEDICAL SYSTEMS AUSTRA"/>
    <s v="IntelliVue X3"/>
    <s v="DE61146752"/>
    <s v="CCU FH"/>
    <n v="1"/>
    <n v="0"/>
    <s v="Philips"/>
    <x v="2"/>
    <n v="0"/>
    <n v="0"/>
    <n v="0"/>
    <n v="0"/>
    <m/>
    <m/>
    <m/>
    <m/>
    <m/>
    <m/>
    <m/>
    <m/>
    <m/>
    <m/>
    <m/>
    <m/>
    <m/>
    <m/>
    <m/>
    <m/>
    <m/>
    <m/>
  </r>
  <r>
    <x v="3"/>
    <x v="11"/>
    <s v="07.B.094"/>
    <x v="1"/>
    <x v="2"/>
    <s v="Docked to Host Monitor"/>
    <n v="1"/>
    <m/>
    <s v="Temp005"/>
    <s v="MULTI-PARAMETERS MODULE, PHYSIOLOGICAL"/>
    <s v="PHILIPS MEDICAL SYSTEMS AUSTRA"/>
    <s v="IntelliVue X3"/>
    <s v="DE61146277"/>
    <s v="CCU FH"/>
    <n v="1"/>
    <n v="0"/>
    <s v="Philips"/>
    <x v="2"/>
    <n v="0"/>
    <n v="0"/>
    <n v="0"/>
    <n v="0"/>
    <m/>
    <m/>
    <m/>
    <m/>
    <m/>
    <m/>
    <m/>
    <m/>
    <m/>
    <m/>
    <m/>
    <m/>
    <m/>
    <m/>
    <m/>
    <m/>
    <m/>
    <m/>
  </r>
  <r>
    <x v="3"/>
    <x v="11"/>
    <s v="07.B.097"/>
    <x v="1"/>
    <x v="2"/>
    <s v="Docked to Host Monitor"/>
    <n v="1"/>
    <m/>
    <s v="003075"/>
    <s v="MULTI-PARAMETERS MODULE, PHYSIOLOGICAL"/>
    <s v="PHILIPS MEDICAL SYSTEMS AUSTRA"/>
    <s v="IntelliVue X3"/>
    <s v="DE61146646"/>
    <s v="CCU FH"/>
    <n v="1"/>
    <n v="0"/>
    <s v="Philips"/>
    <x v="2"/>
    <n v="0"/>
    <n v="0"/>
    <n v="0"/>
    <n v="0"/>
    <m/>
    <m/>
    <m/>
    <m/>
    <m/>
    <m/>
    <m/>
    <m/>
    <m/>
    <m/>
    <m/>
    <m/>
    <m/>
    <m/>
    <m/>
    <m/>
    <m/>
    <m/>
  </r>
  <r>
    <x v="3"/>
    <x v="11"/>
    <s v="07.B.097"/>
    <x v="1"/>
    <x v="2"/>
    <s v="Docked to Host Monitor"/>
    <n v="1"/>
    <m/>
    <s v="001004"/>
    <s v="MULTI-PARAMETERS MODULE, PHYSIOLOGICAL"/>
    <s v="PHILIPS MEDICAL SYSTEMS AUSTRA"/>
    <s v="IntelliVue X3"/>
    <s v="DE61146625"/>
    <s v="CCU FH"/>
    <n v="1"/>
    <n v="0"/>
    <s v="Philips"/>
    <x v="2"/>
    <n v="0"/>
    <n v="0"/>
    <n v="0"/>
    <n v="0"/>
    <m/>
    <m/>
    <m/>
    <m/>
    <m/>
    <m/>
    <m/>
    <m/>
    <m/>
    <m/>
    <m/>
    <m/>
    <m/>
    <m/>
    <m/>
    <m/>
    <m/>
    <m/>
  </r>
  <r>
    <x v="3"/>
    <x v="11"/>
    <s v="07.B.107"/>
    <x v="1"/>
    <x v="2"/>
    <s v="Docked to Host Monitor"/>
    <n v="1"/>
    <m/>
    <s v="003023"/>
    <s v="MULTI-PARAMETERS MODULE, PHYSIOLOGICAL"/>
    <s v="PHILIPS MEDICAL SYSTEMS AUSTRA"/>
    <s v="IntelliVue X3"/>
    <s v="DE61146280"/>
    <s v="CCU FH"/>
    <n v="1"/>
    <n v="0"/>
    <s v="Philips"/>
    <x v="2"/>
    <n v="0"/>
    <n v="0"/>
    <n v="0"/>
    <n v="0"/>
    <m/>
    <m/>
    <m/>
    <m/>
    <m/>
    <m/>
    <m/>
    <m/>
    <m/>
    <m/>
    <m/>
    <m/>
    <m/>
    <m/>
    <m/>
    <m/>
    <m/>
    <m/>
  </r>
  <r>
    <x v="3"/>
    <x v="11"/>
    <s v="07.B.107"/>
    <x v="1"/>
    <x v="2"/>
    <s v="Docked to Host Monitor"/>
    <n v="1"/>
    <m/>
    <s v="006522"/>
    <s v="MULTI-PARAMETERS MODULE, PHYSIOLOGICAL"/>
    <s v="PHILIPS MEDICAL SYSTEMS AUSTRA"/>
    <s v="IntelliVue X3"/>
    <s v="DE694B0049"/>
    <s v="CCU FH"/>
    <n v="1"/>
    <n v="0"/>
    <s v="Philips"/>
    <x v="2"/>
    <n v="0"/>
    <n v="0"/>
    <n v="0"/>
    <n v="0"/>
    <m/>
    <m/>
    <m/>
    <m/>
    <m/>
    <m/>
    <m/>
    <m/>
    <m/>
    <m/>
    <m/>
    <m/>
    <m/>
    <m/>
    <m/>
    <m/>
    <m/>
    <m/>
  </r>
  <r>
    <x v="3"/>
    <x v="12"/>
    <s v="07.B.114"/>
    <x v="1"/>
    <x v="2"/>
    <s v="Docked to Host Monitor"/>
    <n v="1"/>
    <m/>
    <s v="004877"/>
    <s v="MULTI-PARAMETERS MODULE, PHYSIOLOGICAL"/>
    <s v="PHILIPS MEDICAL SYSTEMS AUSTRA"/>
    <s v="IntelliVue X3"/>
    <s v="DE694B0017"/>
    <s v="CCU FH"/>
    <n v="1"/>
    <n v="0"/>
    <s v="Philips"/>
    <x v="2"/>
    <n v="0"/>
    <n v="0"/>
    <n v="0"/>
    <n v="0"/>
    <m/>
    <m/>
    <m/>
    <m/>
    <m/>
    <m/>
    <m/>
    <m/>
    <m/>
    <m/>
    <m/>
    <m/>
    <m/>
    <m/>
    <m/>
    <m/>
    <m/>
    <m/>
  </r>
  <r>
    <x v="3"/>
    <x v="11"/>
    <s v="07.B.131"/>
    <x v="1"/>
    <x v="2"/>
    <s v="Docked to Host Monitor"/>
    <n v="1"/>
    <m/>
    <m/>
    <s v=""/>
    <s v=""/>
    <s v=""/>
    <s v=""/>
    <s v=""/>
    <m/>
    <n v="1"/>
    <s v="Philips"/>
    <x v="2"/>
    <n v="0"/>
    <n v="0"/>
    <n v="0"/>
    <n v="0"/>
    <m/>
    <m/>
    <m/>
    <m/>
    <m/>
    <m/>
    <m/>
    <m/>
    <m/>
    <m/>
    <m/>
    <m/>
    <m/>
    <m/>
    <m/>
    <m/>
    <m/>
    <m/>
  </r>
  <r>
    <x v="3"/>
    <x v="11"/>
    <s v="07.B.131"/>
    <x v="1"/>
    <x v="2"/>
    <s v="Docked to Host Monitor"/>
    <n v="1"/>
    <m/>
    <m/>
    <s v=""/>
    <s v=""/>
    <s v=""/>
    <s v=""/>
    <s v=""/>
    <m/>
    <n v="1"/>
    <s v="Philips"/>
    <x v="2"/>
    <n v="0"/>
    <n v="0"/>
    <n v="0"/>
    <n v="0"/>
    <m/>
    <m/>
    <m/>
    <m/>
    <m/>
    <m/>
    <m/>
    <m/>
    <m/>
    <m/>
    <m/>
    <m/>
    <m/>
    <m/>
    <m/>
    <m/>
    <m/>
    <m/>
  </r>
  <r>
    <x v="3"/>
    <x v="11"/>
    <s v="07.B.135"/>
    <x v="1"/>
    <x v="2"/>
    <s v="Docked to Host Monitor"/>
    <n v="1"/>
    <m/>
    <m/>
    <s v=""/>
    <s v=""/>
    <s v=""/>
    <s v=""/>
    <s v=""/>
    <m/>
    <n v="1"/>
    <s v="Philips"/>
    <x v="2"/>
    <n v="0"/>
    <n v="0"/>
    <n v="0"/>
    <n v="0"/>
    <m/>
    <m/>
    <m/>
    <m/>
    <m/>
    <m/>
    <m/>
    <m/>
    <m/>
    <m/>
    <m/>
    <m/>
    <m/>
    <m/>
    <m/>
    <m/>
    <m/>
    <m/>
  </r>
  <r>
    <x v="3"/>
    <x v="11"/>
    <s v="07.B.135"/>
    <x v="1"/>
    <x v="2"/>
    <s v="Docked to Host Monitor"/>
    <n v="1"/>
    <m/>
    <m/>
    <s v=""/>
    <s v=""/>
    <s v=""/>
    <s v=""/>
    <s v=""/>
    <m/>
    <n v="1"/>
    <s v="Philips"/>
    <x v="2"/>
    <n v="0"/>
    <n v="0"/>
    <n v="0"/>
    <n v="0"/>
    <m/>
    <m/>
    <m/>
    <m/>
    <m/>
    <m/>
    <m/>
    <m/>
    <m/>
    <m/>
    <m/>
    <m/>
    <m/>
    <m/>
    <m/>
    <m/>
    <m/>
    <m/>
  </r>
  <r>
    <x v="3"/>
    <x v="13"/>
    <s v="07.B.139"/>
    <x v="1"/>
    <x v="2"/>
    <s v="Docked to Host Monitor"/>
    <n v="1"/>
    <m/>
    <m/>
    <s v=""/>
    <s v=""/>
    <s v=""/>
    <s v=""/>
    <s v=""/>
    <m/>
    <n v="1"/>
    <s v="Philips"/>
    <x v="2"/>
    <n v="0"/>
    <n v="0"/>
    <n v="0"/>
    <n v="0"/>
    <m/>
    <m/>
    <m/>
    <m/>
    <m/>
    <m/>
    <m/>
    <m/>
    <m/>
    <m/>
    <m/>
    <m/>
    <m/>
    <m/>
    <m/>
    <m/>
    <m/>
    <m/>
  </r>
  <r>
    <x v="3"/>
    <x v="13"/>
    <s v="07.B.141"/>
    <x v="1"/>
    <x v="2"/>
    <s v="Docked to Host Monitor"/>
    <n v="1"/>
    <m/>
    <m/>
    <s v=""/>
    <s v=""/>
    <s v=""/>
    <s v=""/>
    <s v=""/>
    <m/>
    <n v="1"/>
    <s v="Philips"/>
    <x v="2"/>
    <n v="0"/>
    <n v="0"/>
    <n v="0"/>
    <n v="0"/>
    <m/>
    <m/>
    <m/>
    <m/>
    <m/>
    <m/>
    <m/>
    <m/>
    <m/>
    <m/>
    <m/>
    <m/>
    <m/>
    <m/>
    <m/>
    <m/>
    <m/>
    <m/>
  </r>
  <r>
    <x v="3"/>
    <x v="13"/>
    <s v="07.B.145"/>
    <x v="1"/>
    <x v="2"/>
    <s v="Docked to Host Monitor"/>
    <n v="1"/>
    <m/>
    <m/>
    <s v=""/>
    <s v=""/>
    <s v=""/>
    <s v=""/>
    <s v=""/>
    <m/>
    <n v="1"/>
    <s v="Philips"/>
    <x v="2"/>
    <n v="0"/>
    <n v="0"/>
    <n v="0"/>
    <n v="0"/>
    <m/>
    <m/>
    <m/>
    <m/>
    <m/>
    <m/>
    <m/>
    <m/>
    <m/>
    <m/>
    <m/>
    <m/>
    <m/>
    <m/>
    <m/>
    <m/>
    <m/>
    <m/>
  </r>
  <r>
    <x v="3"/>
    <x v="13"/>
    <s v="07.B.147"/>
    <x v="1"/>
    <x v="2"/>
    <s v="Docked to Host Monitor"/>
    <n v="1"/>
    <m/>
    <m/>
    <s v=""/>
    <s v=""/>
    <s v=""/>
    <s v=""/>
    <s v=""/>
    <m/>
    <n v="1"/>
    <s v="Philips"/>
    <x v="2"/>
    <n v="0"/>
    <n v="0"/>
    <n v="0"/>
    <n v="0"/>
    <m/>
    <m/>
    <m/>
    <m/>
    <m/>
    <m/>
    <m/>
    <m/>
    <m/>
    <m/>
    <m/>
    <m/>
    <m/>
    <m/>
    <m/>
    <m/>
    <m/>
    <m/>
  </r>
  <r>
    <x v="3"/>
    <x v="14"/>
    <s v="07.B.150"/>
    <x v="1"/>
    <x v="2"/>
    <s v="Docked to Host Monitor"/>
    <n v="1"/>
    <m/>
    <m/>
    <s v=""/>
    <s v=""/>
    <s v=""/>
    <s v=""/>
    <s v=""/>
    <m/>
    <n v="1"/>
    <s v="Philips"/>
    <x v="2"/>
    <n v="0"/>
    <n v="0"/>
    <n v="0"/>
    <n v="0"/>
    <m/>
    <m/>
    <m/>
    <m/>
    <m/>
    <m/>
    <m/>
    <m/>
    <m/>
    <m/>
    <m/>
    <m/>
    <m/>
    <m/>
    <m/>
    <m/>
    <m/>
    <m/>
  </r>
  <r>
    <x v="3"/>
    <x v="14"/>
    <s v="07.B.153"/>
    <x v="1"/>
    <x v="2"/>
    <s v="Docked to Host Monitor"/>
    <n v="1"/>
    <m/>
    <m/>
    <s v=""/>
    <s v=""/>
    <s v=""/>
    <s v=""/>
    <s v=""/>
    <m/>
    <n v="1"/>
    <s v="Philips"/>
    <x v="2"/>
    <n v="0"/>
    <n v="0"/>
    <n v="0"/>
    <n v="0"/>
    <m/>
    <m/>
    <m/>
    <m/>
    <m/>
    <m/>
    <m/>
    <m/>
    <m/>
    <m/>
    <m/>
    <m/>
    <m/>
    <m/>
    <m/>
    <m/>
    <m/>
    <m/>
  </r>
  <r>
    <x v="3"/>
    <x v="14"/>
    <s v="07.B.156"/>
    <x v="1"/>
    <x v="2"/>
    <s v="Docked to Host Monitor"/>
    <n v="1"/>
    <m/>
    <m/>
    <s v=""/>
    <s v=""/>
    <s v=""/>
    <s v=""/>
    <s v=""/>
    <m/>
    <n v="1"/>
    <s v="Philips"/>
    <x v="2"/>
    <n v="0"/>
    <n v="0"/>
    <n v="0"/>
    <n v="0"/>
    <m/>
    <m/>
    <m/>
    <m/>
    <m/>
    <m/>
    <m/>
    <m/>
    <m/>
    <m/>
    <m/>
    <m/>
    <m/>
    <m/>
    <m/>
    <m/>
    <m/>
    <m/>
  </r>
  <r>
    <x v="3"/>
    <x v="14"/>
    <s v="07.B.158"/>
    <x v="1"/>
    <x v="2"/>
    <s v="Docked to Host Monitor"/>
    <n v="1"/>
    <m/>
    <m/>
    <s v=""/>
    <s v=""/>
    <s v=""/>
    <s v=""/>
    <s v=""/>
    <m/>
    <n v="1"/>
    <s v="Philips"/>
    <x v="2"/>
    <n v="0"/>
    <n v="0"/>
    <n v="0"/>
    <n v="0"/>
    <m/>
    <m/>
    <m/>
    <m/>
    <m/>
    <m/>
    <m/>
    <m/>
    <m/>
    <m/>
    <m/>
    <m/>
    <m/>
    <m/>
    <m/>
    <m/>
    <m/>
    <m/>
  </r>
  <r>
    <x v="3"/>
    <x v="11"/>
    <s v="07.B.161"/>
    <x v="1"/>
    <x v="2"/>
    <s v="Docked to Host Monitor"/>
    <n v="1"/>
    <m/>
    <m/>
    <s v=""/>
    <s v=""/>
    <s v=""/>
    <s v=""/>
    <s v=""/>
    <m/>
    <n v="1"/>
    <s v="Philips"/>
    <x v="2"/>
    <n v="0"/>
    <n v="0"/>
    <n v="0"/>
    <n v="0"/>
    <m/>
    <m/>
    <m/>
    <m/>
    <m/>
    <m/>
    <m/>
    <m/>
    <m/>
    <m/>
    <m/>
    <m/>
    <m/>
    <m/>
    <m/>
    <m/>
    <m/>
    <m/>
  </r>
  <r>
    <x v="3"/>
    <x v="11"/>
    <s v="07.B.161"/>
    <x v="1"/>
    <x v="2"/>
    <s v="Docked to Host Monitor"/>
    <n v="1"/>
    <m/>
    <m/>
    <s v=""/>
    <s v=""/>
    <s v=""/>
    <s v=""/>
    <s v=""/>
    <m/>
    <n v="1"/>
    <s v="Philips"/>
    <x v="2"/>
    <n v="0"/>
    <n v="0"/>
    <n v="0"/>
    <n v="0"/>
    <m/>
    <m/>
    <m/>
    <m/>
    <m/>
    <m/>
    <m/>
    <m/>
    <m/>
    <m/>
    <m/>
    <m/>
    <m/>
    <m/>
    <m/>
    <m/>
    <m/>
    <m/>
  </r>
  <r>
    <x v="3"/>
    <x v="11"/>
    <s v="07.B.165"/>
    <x v="1"/>
    <x v="2"/>
    <s v="Docked to Host Monitor"/>
    <n v="1"/>
    <m/>
    <m/>
    <s v=""/>
    <s v=""/>
    <s v=""/>
    <s v=""/>
    <s v=""/>
    <m/>
    <n v="1"/>
    <s v="Philips"/>
    <x v="2"/>
    <n v="0"/>
    <n v="0"/>
    <n v="0"/>
    <n v="0"/>
    <m/>
    <m/>
    <m/>
    <m/>
    <m/>
    <m/>
    <m/>
    <m/>
    <m/>
    <m/>
    <m/>
    <m/>
    <m/>
    <m/>
    <m/>
    <m/>
    <m/>
    <m/>
  </r>
  <r>
    <x v="3"/>
    <x v="11"/>
    <s v="07.B.165"/>
    <x v="1"/>
    <x v="2"/>
    <s v="Docked to Host Monitor"/>
    <n v="1"/>
    <m/>
    <m/>
    <s v=""/>
    <s v=""/>
    <s v=""/>
    <s v=""/>
    <s v=""/>
    <m/>
    <n v="1"/>
    <s v="Philips"/>
    <x v="2"/>
    <n v="0"/>
    <n v="0"/>
    <n v="0"/>
    <n v="0"/>
    <m/>
    <m/>
    <m/>
    <m/>
    <m/>
    <m/>
    <m/>
    <m/>
    <m/>
    <m/>
    <m/>
    <m/>
    <m/>
    <m/>
    <m/>
    <m/>
    <m/>
    <m/>
  </r>
  <r>
    <x v="4"/>
    <x v="3"/>
    <s v="GF.A.020"/>
    <x v="0"/>
    <x v="0"/>
    <s v="Mobile (trolley mounted)"/>
    <n v="1"/>
    <m/>
    <s v="000397"/>
    <s v="MONITOR: LOW ACUITY - Mobile"/>
    <s v="WELCH ALLYN"/>
    <s v="42N0B"/>
    <n v="201214310"/>
    <s v="Emergency Department "/>
    <n v="1"/>
    <n v="0"/>
    <s v="Philips"/>
    <x v="0"/>
    <n v="0"/>
    <n v="0"/>
    <n v="0"/>
    <n v="0"/>
    <m/>
    <m/>
    <s v="Compact"/>
    <s v=""/>
    <s v="Adult"/>
    <s v="Finger, Forehead, Ear, Reusable &amp; Disposable"/>
    <s v="Nellcor"/>
    <s v=""/>
    <s v=""/>
    <s v=""/>
    <s v=""/>
    <s v=""/>
    <s v=""/>
    <s v=""/>
    <s v=""/>
    <s v=""/>
    <s v=""/>
    <s v=""/>
  </r>
  <r>
    <x v="5"/>
    <x v="15"/>
    <s v="01.B.460"/>
    <x v="0"/>
    <x v="0"/>
    <s v="Mobile (trolley mounted)"/>
    <n v="1"/>
    <m/>
    <s v="000387"/>
    <s v="MONITOR: LOW ACUITY - Mobile"/>
    <s v="WELCH ALLYN"/>
    <s v="42N0B"/>
    <n v="201214320"/>
    <s v="Emergency Department "/>
    <n v="1"/>
    <n v="0"/>
    <s v="Philips"/>
    <x v="0"/>
    <n v="0"/>
    <n v="0"/>
    <n v="0"/>
    <n v="0"/>
    <m/>
    <m/>
    <s v="Compact"/>
    <s v=""/>
    <s v="Adult"/>
    <s v="Finger, Forehead, Ear, Reusable &amp; Disposable"/>
    <s v="Nellcor"/>
    <s v=""/>
    <s v=""/>
    <s v=""/>
    <s v=""/>
    <s v=""/>
    <s v=""/>
    <s v=""/>
    <s v=""/>
    <s v=""/>
    <s v=""/>
    <s v=""/>
  </r>
  <r>
    <x v="6"/>
    <x v="7"/>
    <s v="LG.B.020"/>
    <x v="2"/>
    <x v="5"/>
    <s v="Under Bench"/>
    <n v="1"/>
    <m/>
    <m/>
    <s v=""/>
    <s v=""/>
    <s v=""/>
    <s v=""/>
    <s v=""/>
    <m/>
    <n v="1"/>
    <s v="Philips"/>
    <x v="5"/>
    <n v="0"/>
    <n v="0"/>
    <n v="0"/>
    <n v="0"/>
    <m/>
    <m/>
    <s v="Server - Desktop or Virtual"/>
    <s v="Waveform/data"/>
    <s v=""/>
    <s v=""/>
    <s v="Nellcor"/>
    <s v=""/>
    <s v=""/>
    <s v=""/>
    <s v=""/>
    <s v=""/>
    <s v=""/>
    <s v=""/>
    <s v="A4 Network"/>
    <s v=""/>
    <s v=""/>
    <s v="Yes"/>
  </r>
  <r>
    <x v="6"/>
    <x v="7"/>
    <s v="LG.B.105"/>
    <x v="2"/>
    <x v="5"/>
    <s v="Under Bench"/>
    <n v="1"/>
    <m/>
    <m/>
    <s v=""/>
    <s v=""/>
    <s v=""/>
    <s v=""/>
    <s v=""/>
    <m/>
    <n v="1"/>
    <s v="Philips"/>
    <x v="5"/>
    <n v="0"/>
    <n v="0"/>
    <n v="0"/>
    <n v="0"/>
    <m/>
    <m/>
    <s v="Server - Desktop or Virtual"/>
    <s v="Waveform/data"/>
    <s v=""/>
    <s v=""/>
    <s v="Nellcor"/>
    <s v=""/>
    <s v=""/>
    <s v=""/>
    <s v=""/>
    <s v=""/>
    <s v=""/>
    <s v=""/>
    <s v="A4 Network"/>
    <s v=""/>
    <s v=""/>
    <s v="Yes"/>
  </r>
  <r>
    <x v="6"/>
    <x v="7"/>
    <s v="LG.B.241"/>
    <x v="2"/>
    <x v="5"/>
    <s v="Wall Mounted"/>
    <n v="1"/>
    <m/>
    <m/>
    <s v=""/>
    <s v=""/>
    <s v=""/>
    <s v=""/>
    <s v=""/>
    <m/>
    <n v="1"/>
    <s v="Philips"/>
    <x v="5"/>
    <n v="0"/>
    <n v="0"/>
    <n v="0"/>
    <n v="0"/>
    <m/>
    <m/>
    <s v="Server - Desktop or Virtual"/>
    <s v="Waveform/data"/>
    <s v=""/>
    <s v=""/>
    <s v="Nellcor"/>
    <s v=""/>
    <s v=""/>
    <s v=""/>
    <s v=""/>
    <s v=""/>
    <s v=""/>
    <s v=""/>
    <s v="A4 Network"/>
    <s v=""/>
    <s v=""/>
    <s v="Yes"/>
  </r>
  <r>
    <x v="6"/>
    <x v="7"/>
    <s v="LG.B.330"/>
    <x v="2"/>
    <x v="5"/>
    <s v="Under Bench"/>
    <n v="1"/>
    <m/>
    <m/>
    <s v=""/>
    <s v=""/>
    <s v=""/>
    <s v=""/>
    <s v=""/>
    <m/>
    <n v="1"/>
    <s v="Philips"/>
    <x v="5"/>
    <n v="0"/>
    <n v="0"/>
    <n v="0"/>
    <n v="0"/>
    <m/>
    <m/>
    <s v="Server - Desktop or Virtual"/>
    <s v="Waveform/data"/>
    <s v=""/>
    <s v=""/>
    <s v="Nellcor"/>
    <s v=""/>
    <s v=""/>
    <s v=""/>
    <s v=""/>
    <s v=""/>
    <s v=""/>
    <s v=""/>
    <s v="A4 Network"/>
    <s v=""/>
    <s v=""/>
    <s v="Yes"/>
  </r>
  <r>
    <x v="6"/>
    <x v="7"/>
    <s v="LG.B.339"/>
    <x v="2"/>
    <x v="5"/>
    <s v="Under Bench"/>
    <n v="1"/>
    <m/>
    <m/>
    <s v=""/>
    <s v=""/>
    <s v=""/>
    <s v=""/>
    <s v=""/>
    <m/>
    <n v="1"/>
    <s v="Philips"/>
    <x v="5"/>
    <n v="0"/>
    <n v="0"/>
    <n v="0"/>
    <n v="0"/>
    <m/>
    <m/>
    <s v="Server - Desktop or Virtual"/>
    <s v="Waveform/data"/>
    <s v=""/>
    <s v=""/>
    <s v="Nellcor"/>
    <s v=""/>
    <s v=""/>
    <s v=""/>
    <s v=""/>
    <s v=""/>
    <s v=""/>
    <s v=""/>
    <s v="A4 Network"/>
    <s v=""/>
    <s v=""/>
    <s v="Yes"/>
  </r>
  <r>
    <x v="6"/>
    <x v="16"/>
    <s v="LG.B.099"/>
    <x v="3"/>
    <x v="11"/>
    <s v="Fixed (Pendant)"/>
    <n v="1"/>
    <m/>
    <m/>
    <s v=""/>
    <s v=""/>
    <s v=""/>
    <s v=""/>
    <s v=""/>
    <m/>
    <n v="1"/>
    <s v="Philips"/>
    <x v="10"/>
    <n v="0"/>
    <n v="0"/>
    <n v="0"/>
    <n v="0"/>
    <m/>
    <m/>
    <m/>
    <m/>
    <m/>
    <m/>
    <m/>
    <m/>
    <m/>
    <m/>
    <m/>
    <m/>
    <m/>
    <m/>
    <m/>
    <m/>
    <m/>
    <m/>
  </r>
  <r>
    <x v="6"/>
    <x v="16"/>
    <s v="LG.B.101"/>
    <x v="3"/>
    <x v="11"/>
    <s v="Fixed (Pendant)"/>
    <n v="1"/>
    <m/>
    <m/>
    <s v=""/>
    <s v=""/>
    <s v=""/>
    <s v=""/>
    <s v=""/>
    <m/>
    <n v="1"/>
    <s v="Philips"/>
    <x v="10"/>
    <n v="0"/>
    <n v="0"/>
    <n v="0"/>
    <n v="0"/>
    <m/>
    <m/>
    <m/>
    <m/>
    <m/>
    <m/>
    <m/>
    <m/>
    <m/>
    <m/>
    <m/>
    <m/>
    <m/>
    <m/>
    <m/>
    <m/>
    <m/>
    <m/>
  </r>
  <r>
    <x v="6"/>
    <x v="16"/>
    <s v="LG.B.103"/>
    <x v="3"/>
    <x v="11"/>
    <s v="Fixed (Pendant)"/>
    <n v="1"/>
    <m/>
    <m/>
    <s v=""/>
    <s v=""/>
    <s v=""/>
    <s v=""/>
    <s v=""/>
    <m/>
    <n v="1"/>
    <s v="Philips"/>
    <x v="10"/>
    <n v="0"/>
    <n v="0"/>
    <n v="0"/>
    <n v="0"/>
    <m/>
    <m/>
    <m/>
    <m/>
    <m/>
    <m/>
    <m/>
    <m/>
    <m/>
    <m/>
    <m/>
    <m/>
    <m/>
    <m/>
    <m/>
    <m/>
    <m/>
    <m/>
  </r>
  <r>
    <x v="6"/>
    <x v="17"/>
    <s v="LG.B.110"/>
    <x v="3"/>
    <x v="11"/>
    <s v="Fixed (Pendant)"/>
    <n v="1"/>
    <m/>
    <m/>
    <s v=""/>
    <s v=""/>
    <s v=""/>
    <s v=""/>
    <s v=""/>
    <m/>
    <n v="1"/>
    <s v="Philips"/>
    <x v="10"/>
    <n v="0"/>
    <n v="0"/>
    <n v="0"/>
    <n v="0"/>
    <m/>
    <m/>
    <m/>
    <m/>
    <m/>
    <m/>
    <m/>
    <m/>
    <m/>
    <m/>
    <m/>
    <m/>
    <m/>
    <m/>
    <m/>
    <m/>
    <m/>
    <m/>
  </r>
  <r>
    <x v="6"/>
    <x v="16"/>
    <s v="LG.B.115"/>
    <x v="3"/>
    <x v="11"/>
    <s v="Fixed (Pendant)"/>
    <n v="1"/>
    <m/>
    <m/>
    <s v=""/>
    <s v=""/>
    <s v=""/>
    <s v=""/>
    <s v=""/>
    <m/>
    <n v="1"/>
    <s v="Philips"/>
    <x v="10"/>
    <n v="0"/>
    <n v="0"/>
    <n v="0"/>
    <n v="0"/>
    <m/>
    <m/>
    <m/>
    <m/>
    <m/>
    <m/>
    <m/>
    <m/>
    <m/>
    <m/>
    <m/>
    <m/>
    <m/>
    <m/>
    <m/>
    <m/>
    <m/>
    <m/>
  </r>
  <r>
    <x v="6"/>
    <x v="7"/>
    <s v="LG.B.020"/>
    <x v="2"/>
    <x v="6"/>
    <s v="Desktop Mounted"/>
    <n v="2"/>
    <m/>
    <m/>
    <s v=""/>
    <s v=""/>
    <s v=""/>
    <s v=""/>
    <s v=""/>
    <m/>
    <n v="2"/>
    <s v="Philips"/>
    <x v="6"/>
    <n v="0"/>
    <n v="0"/>
    <n v="0"/>
    <n v="0"/>
    <m/>
    <m/>
    <s v="16x Beds per Screen"/>
    <s v=""/>
    <s v=""/>
    <s v=""/>
    <s v=""/>
    <s v=""/>
    <s v=""/>
    <s v=""/>
    <s v=""/>
    <s v=""/>
    <s v=""/>
    <s v=""/>
    <s v=""/>
    <s v=""/>
    <s v=""/>
    <s v="Yes"/>
  </r>
  <r>
    <x v="6"/>
    <x v="7"/>
    <s v="LG.B.105"/>
    <x v="2"/>
    <x v="6"/>
    <s v="Desktop Mounted"/>
    <n v="2"/>
    <m/>
    <m/>
    <s v=""/>
    <s v=""/>
    <s v=""/>
    <s v=""/>
    <s v=""/>
    <m/>
    <n v="2"/>
    <s v="Philips"/>
    <x v="6"/>
    <n v="0"/>
    <n v="0"/>
    <n v="0"/>
    <n v="0"/>
    <m/>
    <m/>
    <s v="16x Beds per Screen"/>
    <s v=""/>
    <s v=""/>
    <s v=""/>
    <s v=""/>
    <s v=""/>
    <s v=""/>
    <s v=""/>
    <s v=""/>
    <s v=""/>
    <s v=""/>
    <s v=""/>
    <s v=""/>
    <s v=""/>
    <s v=""/>
    <s v="Yes"/>
  </r>
  <r>
    <x v="6"/>
    <x v="7"/>
    <s v="LG.B.241"/>
    <x v="2"/>
    <x v="6"/>
    <s v="Wall Mounted"/>
    <n v="3"/>
    <m/>
    <m/>
    <s v=""/>
    <s v=""/>
    <s v=""/>
    <s v=""/>
    <s v=""/>
    <m/>
    <n v="3"/>
    <s v="Philips"/>
    <x v="6"/>
    <n v="0"/>
    <n v="0"/>
    <n v="0"/>
    <n v="0"/>
    <m/>
    <m/>
    <s v="16x Beds per Screen"/>
    <s v=""/>
    <s v=""/>
    <s v=""/>
    <s v=""/>
    <s v=""/>
    <s v=""/>
    <s v=""/>
    <s v=""/>
    <s v=""/>
    <s v=""/>
    <s v=""/>
    <s v=""/>
    <s v=""/>
    <s v=""/>
    <s v="Yes"/>
  </r>
  <r>
    <x v="6"/>
    <x v="7"/>
    <s v="LG.B.330"/>
    <x v="2"/>
    <x v="6"/>
    <s v="Desktop Mounted"/>
    <n v="2"/>
    <m/>
    <m/>
    <s v=""/>
    <s v=""/>
    <s v=""/>
    <s v=""/>
    <s v=""/>
    <m/>
    <n v="2"/>
    <s v="Philips"/>
    <x v="6"/>
    <n v="0"/>
    <n v="0"/>
    <n v="0"/>
    <n v="0"/>
    <m/>
    <m/>
    <s v="16x Beds per Screen"/>
    <s v=""/>
    <s v=""/>
    <s v=""/>
    <s v=""/>
    <s v=""/>
    <s v=""/>
    <s v=""/>
    <s v=""/>
    <s v=""/>
    <s v=""/>
    <s v=""/>
    <s v=""/>
    <s v=""/>
    <s v=""/>
    <s v="Yes"/>
  </r>
  <r>
    <x v="6"/>
    <x v="7"/>
    <s v="LG.B.339"/>
    <x v="2"/>
    <x v="6"/>
    <s v="Desktop Mounted"/>
    <n v="2"/>
    <m/>
    <m/>
    <s v=""/>
    <s v=""/>
    <s v=""/>
    <s v=""/>
    <s v=""/>
    <m/>
    <n v="2"/>
    <s v="Philips"/>
    <x v="6"/>
    <n v="0"/>
    <n v="0"/>
    <n v="0"/>
    <n v="0"/>
    <m/>
    <m/>
    <m/>
    <m/>
    <m/>
    <m/>
    <m/>
    <m/>
    <m/>
    <m/>
    <m/>
    <m/>
    <m/>
    <m/>
    <m/>
    <m/>
    <m/>
    <m/>
  </r>
  <r>
    <x v="6"/>
    <x v="16"/>
    <s v="LG.B.099"/>
    <x v="3"/>
    <x v="12"/>
    <s v="Ceiling mounted"/>
    <n v="1"/>
    <s v="Needs to be a large screen that takes a video feed from the patient monitor.  "/>
    <m/>
    <s v=""/>
    <s v=""/>
    <s v=""/>
    <s v=""/>
    <s v=""/>
    <m/>
    <n v="1"/>
    <s v="Philips"/>
    <x v="3"/>
    <n v="0"/>
    <n v="0"/>
    <n v="0"/>
    <n v="0"/>
    <m/>
    <m/>
    <s v="16x Beds per Screen ( option for 32x beds for large format)"/>
    <s v=""/>
    <s v=""/>
    <s v=""/>
    <s v=""/>
    <s v=""/>
    <s v=""/>
    <s v=""/>
    <s v=""/>
    <s v=""/>
    <s v=""/>
    <s v=""/>
    <s v=""/>
    <s v=""/>
    <s v=""/>
    <s v="Yes"/>
  </r>
  <r>
    <x v="6"/>
    <x v="16"/>
    <s v="LG.B.101"/>
    <x v="3"/>
    <x v="12"/>
    <s v="Ceiling mounted"/>
    <n v="1"/>
    <s v="Needs to be a large screen that takes a video feed from the patient monitor.  "/>
    <m/>
    <s v=""/>
    <s v=""/>
    <s v=""/>
    <s v=""/>
    <s v=""/>
    <m/>
    <n v="1"/>
    <s v="Philips"/>
    <x v="3"/>
    <n v="0"/>
    <n v="0"/>
    <n v="0"/>
    <n v="0"/>
    <m/>
    <m/>
    <s v="16x Beds per Screen ( option for 32x beds for large format)"/>
    <s v=""/>
    <s v=""/>
    <s v=""/>
    <s v=""/>
    <s v=""/>
    <s v=""/>
    <s v=""/>
    <s v=""/>
    <s v=""/>
    <s v=""/>
    <s v=""/>
    <s v=""/>
    <s v=""/>
    <s v=""/>
    <s v="Yes"/>
  </r>
  <r>
    <x v="6"/>
    <x v="16"/>
    <s v="LG.B.103"/>
    <x v="3"/>
    <x v="12"/>
    <s v="Ceiling mounted"/>
    <n v="1"/>
    <s v="Needs to be a large screen that takes a video feed from the patient monitor.  "/>
    <m/>
    <s v=""/>
    <s v=""/>
    <s v=""/>
    <s v=""/>
    <s v=""/>
    <m/>
    <n v="1"/>
    <s v="Philips"/>
    <x v="3"/>
    <n v="0"/>
    <n v="0"/>
    <n v="0"/>
    <n v="0"/>
    <m/>
    <m/>
    <s v="16x Beds per Screen ( option for 32x beds for large format)"/>
    <s v=""/>
    <s v=""/>
    <s v=""/>
    <s v=""/>
    <s v=""/>
    <s v=""/>
    <s v=""/>
    <s v=""/>
    <s v=""/>
    <s v=""/>
    <s v=""/>
    <s v=""/>
    <s v=""/>
    <s v=""/>
    <s v="Yes"/>
  </r>
  <r>
    <x v="6"/>
    <x v="18"/>
    <s v="LG.B.109"/>
    <x v="3"/>
    <x v="12"/>
    <s v="Ceiling mounted"/>
    <n v="1"/>
    <s v="Needs to be a large screen that takes a video feed from the patient monitor.  "/>
    <m/>
    <s v=""/>
    <s v=""/>
    <s v=""/>
    <s v=""/>
    <s v=""/>
    <m/>
    <n v="1"/>
    <s v="Philips"/>
    <x v="3"/>
    <n v="0"/>
    <n v="0"/>
    <n v="0"/>
    <n v="0"/>
    <m/>
    <m/>
    <s v="16x Beds per Screen ( option for 32x beds for large format)"/>
    <s v=""/>
    <s v=""/>
    <s v=""/>
    <s v=""/>
    <s v=""/>
    <s v=""/>
    <s v=""/>
    <s v=""/>
    <s v=""/>
    <s v=""/>
    <s v=""/>
    <s v=""/>
    <s v=""/>
    <s v=""/>
    <s v="Yes"/>
  </r>
  <r>
    <x v="6"/>
    <x v="17"/>
    <s v="LG.B.110"/>
    <x v="3"/>
    <x v="12"/>
    <s v="Ceiling mounted"/>
    <n v="1"/>
    <s v="Needs to be a large screen that takes a video feed from the patient monitor.  "/>
    <m/>
    <s v=""/>
    <s v=""/>
    <s v=""/>
    <s v=""/>
    <s v=""/>
    <m/>
    <n v="1"/>
    <s v="Philips"/>
    <x v="3"/>
    <n v="0"/>
    <n v="0"/>
    <n v="0"/>
    <n v="0"/>
    <m/>
    <m/>
    <s v="16x Beds per Screen ( option for 32x beds for large format)"/>
    <s v=""/>
    <s v=""/>
    <s v=""/>
    <s v=""/>
    <s v=""/>
    <s v=""/>
    <s v=""/>
    <s v=""/>
    <s v=""/>
    <s v=""/>
    <s v=""/>
    <s v=""/>
    <s v=""/>
    <s v=""/>
    <s v="Yes"/>
  </r>
  <r>
    <x v="6"/>
    <x v="16"/>
    <s v="LG.B.115"/>
    <x v="3"/>
    <x v="12"/>
    <s v="Ceiling mounted"/>
    <n v="1"/>
    <s v="Needs to be a large screen that takes a video feed from the patient monitor.  "/>
    <m/>
    <s v=""/>
    <s v=""/>
    <s v=""/>
    <s v=""/>
    <s v=""/>
    <m/>
    <n v="1"/>
    <s v="Philips"/>
    <x v="3"/>
    <n v="0"/>
    <n v="0"/>
    <n v="0"/>
    <n v="0"/>
    <m/>
    <m/>
    <s v="16x Beds per Screen ( option for 32x beds for large format)"/>
    <s v=""/>
    <s v=""/>
    <s v=""/>
    <s v=""/>
    <s v=""/>
    <s v=""/>
    <s v=""/>
    <s v=""/>
    <s v=""/>
    <s v=""/>
    <s v=""/>
    <s v=""/>
    <s v=""/>
    <s v=""/>
    <s v="Yes"/>
  </r>
  <r>
    <x v="6"/>
    <x v="19"/>
    <s v="LG.B.202"/>
    <x v="1"/>
    <x v="12"/>
    <s v="Desktop"/>
    <n v="1"/>
    <m/>
    <m/>
    <s v=""/>
    <s v=""/>
    <s v=""/>
    <s v=""/>
    <s v=""/>
    <m/>
    <n v="1"/>
    <s v="Philips"/>
    <x v="11"/>
    <n v="3488"/>
    <n v="0"/>
    <n v="0"/>
    <n v="3488"/>
    <m/>
    <m/>
    <s v="16x Beds per Screen ( option for 32x beds for large format)"/>
    <s v=""/>
    <s v=""/>
    <s v=""/>
    <s v=""/>
    <s v=""/>
    <s v=""/>
    <s v=""/>
    <s v=""/>
    <s v=""/>
    <s v=""/>
    <s v=""/>
    <s v=""/>
    <s v=""/>
    <s v=""/>
    <s v="Yes"/>
  </r>
  <r>
    <x v="6"/>
    <x v="16"/>
    <s v="LG.B.099"/>
    <x v="3"/>
    <x v="1"/>
    <s v="Fixed (Pendant)"/>
    <n v="1"/>
    <m/>
    <s v="000723"/>
    <s v="MONITORING SYSTEMS, PHYSIOLOGIC"/>
    <s v="PHILIPS MEDICAL SYSTEMS AUSTRA"/>
    <s v="IntelliVue MX800"/>
    <s v="DE50851543"/>
    <s v="Resus ED FH"/>
    <n v="1"/>
    <n v="0"/>
    <s v="Philips"/>
    <x v="7"/>
    <n v="22622"/>
    <n v="1127"/>
    <n v="1127"/>
    <n v="2254"/>
    <m/>
    <m/>
    <s v="Compact &amp; large screen"/>
    <s v="3, 5 &amp; 12 Leads"/>
    <s v="Adult"/>
    <s v="Finger, Forehead, Ear, Reusable &amp; Disposable"/>
    <s v="Nellcor"/>
    <s v=""/>
    <s v=""/>
    <s v=""/>
    <s v=""/>
    <s v="4x IBP"/>
    <s v=""/>
    <s v=""/>
    <s v="A4 Network"/>
    <s v="Provsion only"/>
    <s v="Yes slave high acuity to medical imaging control rooms only"/>
    <s v="Yes"/>
  </r>
  <r>
    <x v="6"/>
    <x v="16"/>
    <s v="LG.B.101"/>
    <x v="3"/>
    <x v="1"/>
    <s v="Fixed (Pendant)"/>
    <n v="1"/>
    <m/>
    <s v="000444"/>
    <s v="MONITORING SYSTEMS, PHYSIOLOGIC"/>
    <s v="PHILIPS MEDICAL SYSTEMS AUSTRA"/>
    <s v="IntelliVue MX800"/>
    <s v="DE50851566"/>
    <s v="Resus ED FH"/>
    <n v="1"/>
    <n v="0"/>
    <s v="Philips"/>
    <x v="7"/>
    <n v="22622"/>
    <n v="1127"/>
    <n v="1127"/>
    <n v="2254"/>
    <m/>
    <m/>
    <s v="Compact &amp; large screen"/>
    <s v="3, 5 &amp; 12 Leads"/>
    <s v="Adult"/>
    <s v="Finger, Forehead, Ear, Reusable &amp; Disposable"/>
    <s v="Nellcor"/>
    <s v=""/>
    <s v=""/>
    <s v=""/>
    <s v=""/>
    <s v="4x IBP"/>
    <s v=""/>
    <s v=""/>
    <s v="A4 Network"/>
    <s v="Provsion only"/>
    <s v="Yes slave high acuity to medical imaging control rooms only"/>
    <s v="Yes"/>
  </r>
  <r>
    <x v="6"/>
    <x v="16"/>
    <s v="LG.B.103"/>
    <x v="3"/>
    <x v="1"/>
    <s v="Fixed (Pendant)"/>
    <n v="1"/>
    <m/>
    <s v="000704"/>
    <s v="MONITORING SYSTEMS, PHYSIOLOGIC"/>
    <s v="PHILIPS MEDICAL SYSTEMS AUSTRA"/>
    <s v="IntelliVue MX800"/>
    <s v="DE50851547"/>
    <s v="Resus ED FH"/>
    <n v="1"/>
    <n v="0"/>
    <s v="Philips"/>
    <x v="7"/>
    <n v="22622"/>
    <n v="1127"/>
    <n v="1127"/>
    <n v="2254"/>
    <m/>
    <m/>
    <s v="Compact &amp; large screen"/>
    <s v="3, 5 &amp; 12 Leads"/>
    <s v="Adult"/>
    <s v="Finger, Forehead, Ear, Reusable &amp; Disposable"/>
    <s v="Nellcor"/>
    <s v=""/>
    <s v=""/>
    <s v=""/>
    <s v=""/>
    <s v="4x IBP"/>
    <s v=""/>
    <s v=""/>
    <s v="A4 Network"/>
    <s v="Provsion only"/>
    <s v="Yes slave high acuity to medical imaging control rooms only"/>
    <s v="Yes"/>
  </r>
  <r>
    <x v="6"/>
    <x v="17"/>
    <s v="LG.B.110"/>
    <x v="3"/>
    <x v="1"/>
    <s v="Fixed (Pendant)"/>
    <n v="1"/>
    <m/>
    <m/>
    <s v=""/>
    <s v=""/>
    <s v=""/>
    <s v=""/>
    <s v=""/>
    <m/>
    <n v="1"/>
    <s v="Philips"/>
    <x v="7"/>
    <n v="22622"/>
    <n v="1127"/>
    <n v="1127"/>
    <n v="24876"/>
    <m/>
    <m/>
    <s v="Compact &amp; large screen"/>
    <s v="3, 5 &amp; 12 Leads"/>
    <s v="Adult"/>
    <s v="Finger, Forehead, Ear, Reusable &amp; Disposable"/>
    <s v="Nellcor"/>
    <s v=""/>
    <s v=""/>
    <s v=""/>
    <s v=""/>
    <s v="4x IBP"/>
    <s v=""/>
    <s v=""/>
    <s v="A4 Network"/>
    <s v="Provsion only"/>
    <s v="Yes slave high acuity to medical imaging control rooms only"/>
    <s v="Yes"/>
  </r>
  <r>
    <x v="6"/>
    <x v="16"/>
    <s v="LG.B.115"/>
    <x v="3"/>
    <x v="1"/>
    <s v="Fixed (Pendant)"/>
    <n v="1"/>
    <m/>
    <m/>
    <s v=""/>
    <s v=""/>
    <s v=""/>
    <s v=""/>
    <s v=""/>
    <m/>
    <n v="1"/>
    <s v="Philips"/>
    <x v="7"/>
    <n v="22622"/>
    <n v="1127"/>
    <n v="1127"/>
    <n v="24876"/>
    <m/>
    <m/>
    <s v="Compact &amp; large screen"/>
    <s v="3, 5 &amp; 12 Leads"/>
    <s v="Adult"/>
    <s v="Finger, Forehead, Ear, Reusable &amp; Disposable"/>
    <s v="Nellcor"/>
    <s v=""/>
    <s v=""/>
    <s v=""/>
    <s v=""/>
    <s v="4x IBP"/>
    <s v=""/>
    <s v=""/>
    <s v="A4 Network"/>
    <s v="Provsion only"/>
    <s v="Yes slave high acuity to medical imaging control rooms only"/>
    <s v="Yes"/>
  </r>
  <r>
    <x v="6"/>
    <x v="0"/>
    <s v="LG.B.301"/>
    <x v="1"/>
    <x v="2"/>
    <s v="Docked to Host Monitor"/>
    <n v="1"/>
    <m/>
    <s v="004830"/>
    <s v="MULTI-PARAMETERS MODULE, PHYSIOLOGICAL"/>
    <s v="PHILIPS MEDICAL SYSTEMS AUSTRA"/>
    <s v="IntelliVue X3"/>
    <s v="DE694A9970"/>
    <s v="3A - FH"/>
    <n v="1"/>
    <n v="0"/>
    <s v="Philips"/>
    <x v="2"/>
    <n v="0"/>
    <n v="0"/>
    <n v="0"/>
    <n v="0"/>
    <m/>
    <m/>
    <s v="Compact &amp; large screen"/>
    <s v="3, 5 &amp; 12 Leads"/>
    <s v="Adult"/>
    <s v="Finger, Forehead, Ear, Reusable &amp; Disposable"/>
    <s v="Nellcor"/>
    <s v=""/>
    <s v=""/>
    <s v=""/>
    <s v=""/>
    <s v="4x IBP"/>
    <s v=""/>
    <s v=""/>
    <s v="A4 Network"/>
    <s v="Provsion only"/>
    <s v="Yes slave high acuity to medical imaging control rooms only"/>
    <s v="Yes"/>
  </r>
  <r>
    <x v="6"/>
    <x v="1"/>
    <s v="LG.B.031"/>
    <x v="0"/>
    <x v="0"/>
    <s v="Mobile (trolley mounted)"/>
    <n v="1"/>
    <m/>
    <s v="003416"/>
    <s v="MONITOR: LOW ACUITY - Mobile"/>
    <s v="WELCH ALLYN"/>
    <s v="75CT"/>
    <n v="100080161517"/>
    <s v="Ward 3 East "/>
    <n v="1"/>
    <n v="0"/>
    <s v="Philips"/>
    <x v="0"/>
    <n v="0"/>
    <n v="0"/>
    <n v="0"/>
    <n v="0"/>
    <m/>
    <m/>
    <s v="Compact"/>
    <s v=""/>
    <s v="Adult"/>
    <s v="Finger, Forehead, Ear, Reusable &amp; Disposable"/>
    <s v="Nellcor"/>
    <s v=""/>
    <s v=""/>
    <s v=""/>
    <s v=""/>
    <s v=""/>
    <s v=""/>
    <s v=""/>
    <s v=""/>
    <s v=""/>
    <s v=""/>
    <s v=""/>
  </r>
  <r>
    <x v="6"/>
    <x v="20"/>
    <s v="LG.B.062"/>
    <x v="0"/>
    <x v="0"/>
    <s v="Mobile (trolley mounted)"/>
    <n v="1"/>
    <m/>
    <s v="000693"/>
    <s v="MONITOR: LOW ACUITY - Mobile"/>
    <s v="WELCH ALLYN"/>
    <s v="9175ct"/>
    <n v="21100083301019"/>
    <s v="Emergency Department "/>
    <n v="1"/>
    <n v="0"/>
    <s v="Philips"/>
    <x v="0"/>
    <n v="0"/>
    <n v="0"/>
    <n v="0"/>
    <n v="0"/>
    <m/>
    <m/>
    <s v="Compact"/>
    <s v=""/>
    <s v="Adult"/>
    <s v="Finger, Forehead, Ear, Reusable &amp; Disposable"/>
    <s v="Nellcor"/>
    <s v=""/>
    <s v=""/>
    <s v=""/>
    <s v=""/>
    <s v=""/>
    <s v=""/>
    <s v=""/>
    <s v=""/>
    <s v=""/>
    <s v=""/>
    <s v=""/>
  </r>
  <r>
    <x v="6"/>
    <x v="21"/>
    <s v="LG.B.352"/>
    <x v="1"/>
    <x v="1"/>
    <s v="Wall Mounted"/>
    <n v="1"/>
    <m/>
    <s v="000490"/>
    <s v="MONITORING SYSTEMS, PHYSIOLOGIC"/>
    <s v="PHILIPS MEDICAL SYSTEMS AUSTRA"/>
    <s v="IntelliVue MX450"/>
    <s v="DE35122844"/>
    <s v="EMERGENCY DEPARTMENT"/>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6"/>
    <x v="21"/>
    <s v="LG.B.375"/>
    <x v="1"/>
    <x v="1"/>
    <s v="Wall Mounted"/>
    <n v="1"/>
    <m/>
    <s v="000495"/>
    <s v="MONITORING SYSTEMS, PHYSIOLOGIC"/>
    <s v="PHILIPS MEDICAL SYSTEMS AUSTRA"/>
    <s v="IntelliVue MX450"/>
    <s v="DE35157533"/>
    <s v="EMERGENCY DEPARTMENT"/>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6"/>
    <x v="22"/>
    <s v="LG.B.256"/>
    <x v="1"/>
    <x v="1"/>
    <s v="Wall Mounted"/>
    <n v="1"/>
    <m/>
    <s v="000437"/>
    <s v="MONITORING SYSTEMS, PHYSIOLOGIC"/>
    <s v="PHILIPS MEDICAL SYSTEMS AUSTRA"/>
    <s v="IntelliVue MX450"/>
    <s v="DE35157531"/>
    <s v="EMERGENCY DEPARTMENT"/>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6"/>
    <x v="23"/>
    <s v="LG.B.041"/>
    <x v="1"/>
    <x v="1"/>
    <s v="Wall Mounted"/>
    <n v="1"/>
    <m/>
    <s v="000714"/>
    <s v="MONITORING SYSTEMS, PHYSIOLOGIC"/>
    <s v="PHILIPS MEDICAL SYSTEMS AUSTRA"/>
    <s v="IntelliVue MX450"/>
    <s v="DE35157532"/>
    <s v="EMERGENCY DEPARTMENT"/>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6"/>
    <x v="23"/>
    <s v="LG.B.043"/>
    <x v="1"/>
    <x v="1"/>
    <s v="Wall Mounted"/>
    <n v="1"/>
    <m/>
    <s v="000407"/>
    <s v="MONITORING SYSTEMS, PHYSIOLOGIC"/>
    <s v="PHILIPS MEDICAL SYSTEMS AUSTRA"/>
    <s v="IntelliVue MX450"/>
    <s v="DE35157528"/>
    <s v="EMERGENCY DEPARTMENT"/>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6"/>
    <x v="24"/>
    <s v="LG.B.225"/>
    <x v="1"/>
    <x v="1"/>
    <s v="Wall Mounted"/>
    <n v="1"/>
    <m/>
    <s v="001010"/>
    <s v="MONITORING SYSTEMS, PHYSIOLOGIC"/>
    <s v="PHILIPS MEDICAL SYSTEMS AUSTRA"/>
    <s v="IntelliVue MX450"/>
    <s v="DE35157527"/>
    <s v="EMERGENCY DEPARTMENT"/>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6"/>
    <x v="25"/>
    <s v="LG.B.023"/>
    <x v="1"/>
    <x v="1"/>
    <s v="Wall Mounted"/>
    <n v="1"/>
    <m/>
    <s v="004862"/>
    <s v="MONITORING SYSTEMS, PHYSIOLOGIC"/>
    <s v="PHILIPS MEDICAL SYSTEMS AUSTRA"/>
    <s v="IntelliVue MX450"/>
    <s v="DE671K6651"/>
    <s v="ED FH"/>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6"/>
    <x v="26"/>
    <s v="LG.B.024"/>
    <x v="1"/>
    <x v="1"/>
    <s v="Wall Mounted"/>
    <n v="1"/>
    <m/>
    <s v="006531"/>
    <s v="MONITORING SYSTEMS, PHYSIOLOGIC"/>
    <s v="PHILIPS MEDICAL SYSTEMS AUSTRA"/>
    <s v="IntelliVue MX450"/>
    <s v="DE671K6571"/>
    <s v="ED - SSU - 3A - FH"/>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6"/>
    <x v="26"/>
    <s v="LG.B.122"/>
    <x v="1"/>
    <x v="1"/>
    <s v="Wall Mounted"/>
    <n v="1"/>
    <m/>
    <s v="006525"/>
    <s v="MONITORING SYSTEMS, PHYSIOLOGIC"/>
    <s v="PHILIPS MEDICAL SYSTEMS AUSTRA"/>
    <s v="IntelliVue MX450"/>
    <s v="DE671K6556"/>
    <s v="ED - SSU - 3A - FH"/>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6"/>
    <x v="27"/>
    <s v="LG.B.343"/>
    <x v="1"/>
    <x v="1"/>
    <s v="Wall Mounted"/>
    <n v="1"/>
    <m/>
    <s v="006527"/>
    <s v="MONITORING SYSTEMS, PHYSIOLOGIC"/>
    <s v="PHILIPS MEDICAL SYSTEMS AUSTRA"/>
    <s v="IntelliVue MX450"/>
    <s v="DE671K6586"/>
    <s v="ED - FH"/>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6"/>
    <x v="27"/>
    <s v="LG.B.359"/>
    <x v="1"/>
    <x v="1"/>
    <s v="Wall Mounted"/>
    <n v="1"/>
    <m/>
    <s v="006528"/>
    <s v="MONITORING SYSTEMS, PHYSIOLOGIC"/>
    <s v="PHILIPS MEDICAL SYSTEMS AUSTRA"/>
    <s v="IntelliVue MX450"/>
    <s v="DE671K6535"/>
    <s v="Emergency FH Covid stock"/>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6"/>
    <x v="27"/>
    <s v="LG.B.360"/>
    <x v="1"/>
    <x v="1"/>
    <s v="Wall Mounted"/>
    <n v="1"/>
    <m/>
    <s v="006526"/>
    <s v="MONITORING SYSTEMS, PHYSIOLOGIC"/>
    <s v="PHILIPS MEDICAL SYSTEMS AUSTRA"/>
    <s v="IntelliVue MX450"/>
    <s v="DE671K6557"/>
    <s v="ED - SSU - 3A - FH"/>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6"/>
    <x v="27"/>
    <s v="LG.B.362"/>
    <x v="1"/>
    <x v="1"/>
    <s v="Wall Mounted"/>
    <n v="1"/>
    <m/>
    <s v="005373"/>
    <s v="MONITORING SYSTEMS, PHYSIOLOGIC"/>
    <s v="PHILIPS MEDICAL SYSTEMS AUSTRA"/>
    <s v="IntelliVue MX450"/>
    <s v="DE758Y7136"/>
    <s v="ED FH"/>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6"/>
    <x v="27"/>
    <s v="LG.B.363"/>
    <x v="1"/>
    <x v="1"/>
    <s v="Wall Mounted"/>
    <n v="1"/>
    <m/>
    <s v="006470"/>
    <s v="MONITORING SYSTEMS, PHYSIOLOGIC"/>
    <s v="PHILIPS MEDICAL SYSTEMS AUSTRA"/>
    <s v="IntelliVue MX450"/>
    <s v="DE671L7234"/>
    <s v="ED FH"/>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6"/>
    <x v="27"/>
    <s v="LG.B.364"/>
    <x v="1"/>
    <x v="1"/>
    <s v="Wall Mounted"/>
    <n v="1"/>
    <m/>
    <s v="006480"/>
    <s v="MONITORING SYSTEMS, PHYSIOLOGIC"/>
    <s v="PHILIPS MEDICAL SYSTEMS AUSTRA"/>
    <s v="IntelliVue MX450"/>
    <s v="DE671L7211"/>
    <s v="ED FH"/>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6"/>
    <x v="27"/>
    <s v="LG.B.378"/>
    <x v="1"/>
    <x v="1"/>
    <s v="Wall Mounted"/>
    <n v="1"/>
    <m/>
    <s v="006465"/>
    <s v="MONITORING SYSTEMS, PHYSIOLOGIC"/>
    <s v="PHILIPS MEDICAL SYSTEMS AUSTRA"/>
    <s v="IntelliVue MX450"/>
    <s v="DE671L3261"/>
    <s v="ED FH"/>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6"/>
    <x v="27"/>
    <s v="LG.B.380"/>
    <x v="1"/>
    <x v="1"/>
    <s v="Wall Mounted"/>
    <n v="1"/>
    <m/>
    <s v="006471"/>
    <s v="MONITORING SYSTEMS, PHYSIOLOGIC"/>
    <s v="PHILIPS MEDICAL SYSTEMS AUSTRA"/>
    <s v="IntelliVue MX450"/>
    <s v="DE671L7244"/>
    <s v="ED FH"/>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6"/>
    <x v="27"/>
    <s v="LG.B.381"/>
    <x v="1"/>
    <x v="1"/>
    <s v="Wall Mounted"/>
    <n v="1"/>
    <m/>
    <s v="006468"/>
    <s v="MONITORING SYSTEMS, PHYSIOLOGIC"/>
    <s v="PHILIPS MEDICAL SYSTEMS AUSTRA"/>
    <s v="IntelliVue MX450"/>
    <s v="DE671L7206"/>
    <s v="ED FH"/>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6"/>
    <x v="27"/>
    <s v="LG.B.383"/>
    <x v="1"/>
    <x v="1"/>
    <s v="Wall Mounted"/>
    <n v="1"/>
    <m/>
    <s v="006477"/>
    <s v="MONITORING SYSTEMS, PHYSIOLOGIC"/>
    <s v="PHILIPS MEDICAL SYSTEMS AUSTRA"/>
    <s v="IntelliVue MX450"/>
    <s v="DE671L3239"/>
    <s v="ED FH"/>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6"/>
    <x v="27"/>
    <s v="LG.B.384"/>
    <x v="1"/>
    <x v="1"/>
    <s v="Wall Mounted"/>
    <n v="1"/>
    <m/>
    <s v="006478"/>
    <s v="MONITORING SYSTEMS, PHYSIOLOGIC"/>
    <s v="PHILIPS MEDICAL SYSTEMS AUSTRA"/>
    <s v="IntelliVue MX450"/>
    <s v="DE671L7304"/>
    <s v="ED FH"/>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6"/>
    <x v="27"/>
    <s v="LG.B.386"/>
    <x v="1"/>
    <x v="1"/>
    <s v="Wall Mounted"/>
    <n v="1"/>
    <m/>
    <s v="006474"/>
    <s v="MONITORING SYSTEMS, PHYSIOLOGIC"/>
    <s v="PHILIPS MEDICAL SYSTEMS AUSTRA"/>
    <s v="IntelliVue MX450"/>
    <s v="DE671L7237"/>
    <s v="ED FH"/>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6"/>
    <x v="27"/>
    <s v="LG.B.390"/>
    <x v="1"/>
    <x v="1"/>
    <s v="Wall Mounted"/>
    <n v="1"/>
    <m/>
    <s v="006476"/>
    <s v="MONITORING SYSTEMS, PHYSIOLOGIC"/>
    <s v="PHILIPS MEDICAL SYSTEMS AUSTRA"/>
    <s v="IntelliVue MX450"/>
    <s v="DE671L7262"/>
    <s v="ED FH"/>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6"/>
    <x v="27"/>
    <s v="LG.B.391"/>
    <x v="1"/>
    <x v="1"/>
    <s v="Wall Mounted"/>
    <n v="1"/>
    <m/>
    <s v="006479"/>
    <s v="MONITORING SYSTEMS, PHYSIOLOGIC"/>
    <s v="PHILIPS MEDICAL SYSTEMS AUSTRA"/>
    <s v="IntelliVue MX450"/>
    <s v="DE671L7221"/>
    <s v="ED FH"/>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6"/>
    <x v="27"/>
    <s v="LG.B.393"/>
    <x v="1"/>
    <x v="1"/>
    <s v="Wall Mounted"/>
    <n v="1"/>
    <m/>
    <s v="006475"/>
    <s v="MONITORING SYSTEMS, PHYSIOLOGIC"/>
    <s v="PHILIPS MEDICAL SYSTEMS AUSTRA"/>
    <s v="IntelliVue MX450"/>
    <s v="DE671L7309"/>
    <s v="ED FH"/>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6"/>
    <x v="27"/>
    <s v="LG.B.395"/>
    <x v="1"/>
    <x v="1"/>
    <s v="Wall Mounted"/>
    <n v="1"/>
    <m/>
    <s v="006472"/>
    <s v="MONITORING SYSTEMS, PHYSIOLOGIC"/>
    <s v="PHILIPS MEDICAL SYSTEMS AUSTRA"/>
    <s v="IntelliVue MX450"/>
    <s v="DE671L7229"/>
    <s v="ED FH"/>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6"/>
    <x v="27"/>
    <s v="LG.B.402"/>
    <x v="1"/>
    <x v="1"/>
    <s v="Wall Mounted"/>
    <n v="1"/>
    <m/>
    <s v="006469"/>
    <s v="MONITORING SYSTEMS, PHYSIOLOGIC"/>
    <s v="PHILIPS MEDICAL SYSTEMS AUSTRA"/>
    <s v="IntelliVue MX450"/>
    <s v="DE671L7204"/>
    <s v="ED FH"/>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6"/>
    <x v="27"/>
    <s v="LG.B.404"/>
    <x v="1"/>
    <x v="1"/>
    <s v="Wall Mounted"/>
    <n v="1"/>
    <m/>
    <s v="006473"/>
    <s v="MONITORING SYSTEMS, PHYSIOLOGIC"/>
    <s v="PHILIPS MEDICAL SYSTEMS AUSTRA"/>
    <s v="IntelliVue MX450"/>
    <s v="DE671L7208"/>
    <s v="ED FH"/>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6"/>
    <x v="28"/>
    <s v="LG.B.263"/>
    <x v="1"/>
    <x v="1"/>
    <s v="Wall Mounted"/>
    <n v="1"/>
    <m/>
    <s v="006467"/>
    <s v="MONITORING SYSTEMS, PHYSIOLOGIC"/>
    <s v="PHILIPS MEDICAL SYSTEMS AUSTRA"/>
    <s v="IntelliVue MX450"/>
    <s v="DE671L7213"/>
    <s v="ED FH"/>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6"/>
    <x v="28"/>
    <s v="LG.B.274"/>
    <x v="1"/>
    <x v="1"/>
    <s v="Wall Mounted"/>
    <n v="1"/>
    <m/>
    <s v="temp010"/>
    <s v="MONITORING SYSTEMS, PHYSIOLOGIC"/>
    <s v="PHILIPS MEDICAL SYSTEMS AUSTRA"/>
    <s v="IntelliVue MX450"/>
    <s v="DE35157530"/>
    <s v="Biomed"/>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6"/>
    <x v="28"/>
    <s v="LG.B.306"/>
    <x v="1"/>
    <x v="1"/>
    <s v="Wall Mounted"/>
    <n v="1"/>
    <m/>
    <s v="004821"/>
    <s v="MONITORING SYSTEMS, PHYSIOLOGIC"/>
    <s v="PHILIPS MEDICAL SYSTEMS AUSTRA"/>
    <s v="IntelliVue MX450"/>
    <s v="DE671L0248"/>
    <s v="ICU FH"/>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6"/>
    <x v="28"/>
    <s v="LG.B.325"/>
    <x v="1"/>
    <x v="1"/>
    <s v="Wall Mounted"/>
    <n v="1"/>
    <m/>
    <s v="004822"/>
    <s v="MONITORING SYSTEMS, PHYSIOLOGIC"/>
    <s v="PHILIPS MEDICAL SYSTEMS AUSTRA"/>
    <s v="IntelliVue MX450"/>
    <s v="DE671K9625"/>
    <s v="FH Plant room"/>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6"/>
    <x v="28"/>
    <s v="LG.B.356"/>
    <x v="1"/>
    <x v="1"/>
    <s v="Wall Mounted"/>
    <n v="1"/>
    <m/>
    <s v="004823"/>
    <s v="MONITORING SYSTEMS, PHYSIOLOGIC"/>
    <s v="PHILIPS MEDICAL SYSTEMS AUSTRA"/>
    <s v="IntelliVue MX450"/>
    <s v="DE671K9649"/>
    <s v="FH ED "/>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6"/>
    <x v="28"/>
    <s v="LG.B.366"/>
    <x v="1"/>
    <x v="1"/>
    <s v="Wall Mounted"/>
    <n v="1"/>
    <m/>
    <s v="004824"/>
    <s v="MONITORING SYSTEMS, PHYSIOLOGIC"/>
    <s v="PHILIPS MEDICAL SYSTEMS AUSTRA"/>
    <s v="IntelliVue MX450"/>
    <s v="DE671K9663"/>
    <s v="FH Plant room"/>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6"/>
    <x v="28"/>
    <s v="LG.B.368"/>
    <x v="1"/>
    <x v="1"/>
    <s v="Wall Mounted"/>
    <n v="1"/>
    <m/>
    <s v="004825"/>
    <s v="MONITORING SYSTEMS, PHYSIOLOGIC"/>
    <s v="PHILIPS MEDICAL SYSTEMS AUSTRA"/>
    <s v="IntelliVue MX450"/>
    <s v="DE671K9664"/>
    <s v="FH Plant room"/>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6"/>
    <x v="28"/>
    <s v="LG.B.371"/>
    <x v="1"/>
    <x v="1"/>
    <s v="Wall Mounted"/>
    <n v="1"/>
    <m/>
    <s v="004826"/>
    <s v="MONITORING SYSTEMS, PHYSIOLOGIC"/>
    <s v="PHILIPS MEDICAL SYSTEMS AUSTRA"/>
    <s v="IntelliVue MX450"/>
    <s v="DE671K9644"/>
    <s v="FH ED"/>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6"/>
    <x v="29"/>
    <s v="LG.B.227"/>
    <x v="1"/>
    <x v="1"/>
    <s v="Wall Mounted"/>
    <n v="1"/>
    <m/>
    <s v="temp011"/>
    <s v="MONITORING SYSTEMS, PHYSIOLOGIC"/>
    <s v="PHILIPS MEDICAL SYSTEMS AUSTRA"/>
    <s v="IntelliVue MX450"/>
    <s v="DE671K6696"/>
    <s v="FH Plant room"/>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6"/>
    <x v="29"/>
    <s v="LG.B.229"/>
    <x v="1"/>
    <x v="1"/>
    <s v="Wall Mounted"/>
    <n v="1"/>
    <m/>
    <s v="temp012"/>
    <s v="MONITORING SYSTEMS, PHYSIOLOGIC"/>
    <s v="PHILIPS MEDICAL SYSTEMS AUSTRA"/>
    <s v="IntelliVue MX450"/>
    <s v="DE671K6647"/>
    <s v="EOU - Cubicle 2"/>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6"/>
    <x v="29"/>
    <s v="LG.B.230"/>
    <x v="1"/>
    <x v="1"/>
    <s v="Wall Mounted"/>
    <n v="1"/>
    <m/>
    <s v="temp013"/>
    <s v="MONITORING SYSTEMS, PHYSIOLOGIC"/>
    <s v="PHILIPS MEDICAL SYSTEMS AUSTRA"/>
    <s v="IntelliVue MX450"/>
    <s v="DE671K6648"/>
    <s v="FH Plant room"/>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6"/>
    <x v="29"/>
    <s v="LG.B.232"/>
    <x v="1"/>
    <x v="1"/>
    <s v="Wall Mounted"/>
    <n v="1"/>
    <m/>
    <s v="005023"/>
    <s v="MONITORING SYSTEMS, PHYSIOLOGIC"/>
    <s v="PHILIPS MEDICAL SYSTEMS AUSTRA"/>
    <s v="IntelliVue MX450"/>
    <s v="DE671T8592"/>
    <s v="ICU FH"/>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6"/>
    <x v="29"/>
    <s v="LG.B.234"/>
    <x v="1"/>
    <x v="1"/>
    <s v="Wall Mounted"/>
    <n v="1"/>
    <m/>
    <s v="005008"/>
    <s v="MONITORING SYSTEMS, PHYSIOLOGIC"/>
    <s v="PHILIPS MEDICAL SYSTEMS AUSTRA"/>
    <s v="IntelliVue MX450"/>
    <s v="DE671T8572"/>
    <s v="ICU FH"/>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6"/>
    <x v="29"/>
    <s v="LG.B.238"/>
    <x v="1"/>
    <x v="1"/>
    <s v="Wall Mounted"/>
    <n v="1"/>
    <m/>
    <s v="004875"/>
    <s v="MONITORING SYSTEMS, PHYSIOLOGIC"/>
    <s v="PHILIPS MEDICAL SYSTEMS AUSTRA"/>
    <s v="IntelliVue MX450"/>
    <s v="DE671K6561"/>
    <s v="3A - FH"/>
    <n v="1"/>
    <n v="0"/>
    <s v="Philips"/>
    <x v="1"/>
    <n v="17729"/>
    <n v="1127"/>
    <n v="1127"/>
    <n v="2254"/>
    <m/>
    <m/>
    <s v="Compact &amp; medium screen"/>
    <s v="3, 5 &amp; 12 Leads"/>
    <s v="Adult"/>
    <s v="Finger, Forehead, Ear, Reusable &amp; Disposable"/>
    <s v="Nellcor"/>
    <s v=""/>
    <s v=""/>
    <s v=""/>
    <s v=""/>
    <s v="2x IBP channel provision only"/>
    <s v=""/>
    <s v=""/>
    <s v="A4 Network"/>
    <s v="Provsion only"/>
    <s v=""/>
    <s v="Yes"/>
  </r>
  <r>
    <x v="6"/>
    <x v="29"/>
    <s v="LG.B.259"/>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6"/>
    <x v="29"/>
    <s v="LG.B.261"/>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6"/>
    <x v="29"/>
    <s v="LG.B.262"/>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6"/>
    <x v="29"/>
    <s v="LG.B.266"/>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6"/>
    <x v="29"/>
    <s v="LG.B.270"/>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6"/>
    <x v="29"/>
    <s v="LG.B.272"/>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6"/>
    <x v="29"/>
    <s v="LG.B.279"/>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6"/>
    <x v="29"/>
    <s v="LG.B.285"/>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6"/>
    <x v="29"/>
    <s v="LG.B.287"/>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6"/>
    <x v="29"/>
    <s v="LG.B.288"/>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6"/>
    <x v="29"/>
    <s v="LG.B.290"/>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6"/>
    <x v="29"/>
    <s v="LG.B.291"/>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6"/>
    <x v="29"/>
    <s v="LG.B.293"/>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6"/>
    <x v="29"/>
    <s v="LG.B.315"/>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6"/>
    <x v="29"/>
    <s v="LG.B.317"/>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6"/>
    <x v="29"/>
    <s v="LG.B.318"/>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6"/>
    <x v="29"/>
    <s v="LG.B.320"/>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6"/>
    <x v="29"/>
    <s v="LG.B.322"/>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6"/>
    <x v="29"/>
    <s v="LG.B.324"/>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6"/>
    <x v="29"/>
    <s v="LG.B.331"/>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6"/>
    <x v="29"/>
    <s v="LG.B.333"/>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6"/>
    <x v="30"/>
    <s v="LG.B.268"/>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6"/>
    <x v="30"/>
    <s v="LG.B.277"/>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6"/>
    <x v="31"/>
    <s v="LG.B.310"/>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6"/>
    <x v="31"/>
    <s v="LG.B.312"/>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6"/>
    <x v="32"/>
    <s v="LG.B.211"/>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6"/>
    <x v="32"/>
    <s v="LG.B.212"/>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6"/>
    <x v="33"/>
    <s v="LG.B.004"/>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6"/>
    <x v="33"/>
    <s v="LG.B.005"/>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6"/>
    <x v="33"/>
    <s v="LG.B.007"/>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6"/>
    <x v="33"/>
    <s v="LG.B.008"/>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6"/>
    <x v="33"/>
    <s v="LG.B.012"/>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6"/>
    <x v="33"/>
    <s v="LG.B.013"/>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6"/>
    <x v="34"/>
    <s v="LG.B.406"/>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6"/>
    <x v="35"/>
    <s v="LG.B.027"/>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6"/>
    <x v="35"/>
    <s v="LG.B.028"/>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6"/>
    <x v="35"/>
    <s v="LG.B.029"/>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6"/>
    <x v="35"/>
    <s v="LG.B.081"/>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6"/>
    <x v="35"/>
    <s v="LG.B.082"/>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6"/>
    <x v="35"/>
    <s v="LG.B.126"/>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6"/>
    <x v="1"/>
    <s v="LG.B.031"/>
    <x v="1"/>
    <x v="13"/>
    <s v="Transport (freestanding, docking or rail hook)"/>
    <n v="1"/>
    <m/>
    <m/>
    <s v=""/>
    <s v=""/>
    <s v=""/>
    <s v=""/>
    <s v=""/>
    <m/>
    <n v="1"/>
    <s v="Philips"/>
    <x v="2"/>
    <n v="0"/>
    <n v="0"/>
    <n v="0"/>
    <n v="0"/>
    <m/>
    <m/>
    <s v="Compact &amp; medium screen"/>
    <s v="3, 5 &amp; 12 Leads"/>
    <s v="Adult"/>
    <s v="Finger, Forehead, Ear, Reusable &amp; Disposable"/>
    <s v="Nellcor"/>
    <s v=""/>
    <s v=""/>
    <s v=""/>
    <s v=""/>
    <s v="2x IBP channel provision only"/>
    <s v=""/>
    <s v=""/>
    <s v="A4 Network"/>
    <s v="Provsion only"/>
    <s v=""/>
    <s v="Yes"/>
  </r>
  <r>
    <x v="6"/>
    <x v="16"/>
    <s v="LG.B.099"/>
    <x v="3"/>
    <x v="2"/>
    <s v="Docked to Host Monitor"/>
    <n v="1"/>
    <m/>
    <m/>
    <s v=""/>
    <s v=""/>
    <s v=""/>
    <s v=""/>
    <s v=""/>
    <m/>
    <n v="1"/>
    <s v="Philips"/>
    <x v="2"/>
    <n v="0"/>
    <n v="0"/>
    <n v="0"/>
    <n v="0"/>
    <m/>
    <m/>
    <m/>
    <m/>
    <m/>
    <m/>
    <m/>
    <m/>
    <m/>
    <m/>
    <m/>
    <m/>
    <m/>
    <m/>
    <m/>
    <m/>
    <m/>
    <m/>
  </r>
  <r>
    <x v="6"/>
    <x v="16"/>
    <s v="LG.B.101"/>
    <x v="3"/>
    <x v="2"/>
    <s v="Docked to Host Monitor"/>
    <n v="1"/>
    <m/>
    <m/>
    <s v=""/>
    <s v=""/>
    <s v=""/>
    <s v=""/>
    <s v=""/>
    <m/>
    <n v="1"/>
    <s v="Philips"/>
    <x v="2"/>
    <n v="0"/>
    <n v="0"/>
    <n v="0"/>
    <n v="0"/>
    <m/>
    <m/>
    <m/>
    <m/>
    <m/>
    <m/>
    <m/>
    <m/>
    <m/>
    <m/>
    <m/>
    <m/>
    <m/>
    <m/>
    <m/>
    <m/>
    <m/>
    <m/>
  </r>
  <r>
    <x v="6"/>
    <x v="16"/>
    <s v="LG.B.103"/>
    <x v="3"/>
    <x v="2"/>
    <s v="Docked to Host Monitor"/>
    <n v="1"/>
    <m/>
    <m/>
    <s v=""/>
    <s v=""/>
    <s v=""/>
    <s v=""/>
    <s v=""/>
    <m/>
    <n v="1"/>
    <s v="Philips"/>
    <x v="2"/>
    <n v="0"/>
    <n v="0"/>
    <n v="0"/>
    <n v="0"/>
    <m/>
    <m/>
    <m/>
    <m/>
    <m/>
    <m/>
    <m/>
    <m/>
    <m/>
    <m/>
    <m/>
    <m/>
    <m/>
    <m/>
    <m/>
    <m/>
    <m/>
    <m/>
  </r>
  <r>
    <x v="6"/>
    <x v="17"/>
    <s v="LG.B.110"/>
    <x v="3"/>
    <x v="2"/>
    <s v="Docked to Host Monitor"/>
    <n v="1"/>
    <m/>
    <m/>
    <s v=""/>
    <s v=""/>
    <s v=""/>
    <s v=""/>
    <s v=""/>
    <m/>
    <n v="1"/>
    <s v="Philips"/>
    <x v="2"/>
    <n v="0"/>
    <n v="0"/>
    <n v="0"/>
    <n v="0"/>
    <m/>
    <m/>
    <m/>
    <m/>
    <m/>
    <m/>
    <m/>
    <m/>
    <m/>
    <m/>
    <m/>
    <m/>
    <m/>
    <m/>
    <m/>
    <m/>
    <m/>
    <m/>
  </r>
  <r>
    <x v="6"/>
    <x v="16"/>
    <s v="LG.B.115"/>
    <x v="3"/>
    <x v="2"/>
    <s v="Docked to Host Monitor"/>
    <n v="1"/>
    <m/>
    <m/>
    <s v=""/>
    <s v=""/>
    <s v=""/>
    <s v=""/>
    <s v=""/>
    <m/>
    <n v="1"/>
    <s v="Philips"/>
    <x v="2"/>
    <n v="0"/>
    <n v="0"/>
    <n v="0"/>
    <n v="0"/>
    <m/>
    <m/>
    <m/>
    <m/>
    <m/>
    <m/>
    <m/>
    <m/>
    <m/>
    <m/>
    <m/>
    <m/>
    <m/>
    <m/>
    <m/>
    <m/>
    <m/>
    <m/>
  </r>
  <r>
    <x v="6"/>
    <x v="0"/>
    <s v="LG.B.301"/>
    <x v="1"/>
    <x v="2"/>
    <s v="Docked to Host Monitor"/>
    <n v="1"/>
    <m/>
    <s v="temp014"/>
    <s v="MULTI-PARAMETERS MODULE, PHYSIOLOGICAL"/>
    <s v="PHILIPS MEDICAL SYSTEMS AUSTRA"/>
    <s v="IntelliVue X3"/>
    <s v="DE61146754"/>
    <s v="LOANED TO CCU (BED 4) - WO R0253445"/>
    <n v="1"/>
    <n v="0"/>
    <s v="Philips"/>
    <x v="2"/>
    <n v="0"/>
    <n v="0"/>
    <n v="0"/>
    <n v="0"/>
    <m/>
    <m/>
    <m/>
    <m/>
    <m/>
    <m/>
    <m/>
    <m/>
    <m/>
    <m/>
    <m/>
    <m/>
    <m/>
    <m/>
    <m/>
    <m/>
    <m/>
    <m/>
  </r>
  <r>
    <x v="6"/>
    <x v="33"/>
    <s v="LG.B.004"/>
    <x v="1"/>
    <x v="2"/>
    <s v="Docked to Host Monitor"/>
    <n v="1"/>
    <m/>
    <s v="004863"/>
    <s v="MULTI-PARAMETERS MODULE, PHYSIOLOGICAL"/>
    <s v="PHILIPS MEDICAL SYSTEMS AUSTRA"/>
    <s v="IntelliVue X3"/>
    <s v="DE694B0029"/>
    <s v="ED - SSU -  3A - FH"/>
    <n v="1"/>
    <n v="0"/>
    <s v="Philips"/>
    <x v="13"/>
    <n v="7342"/>
    <n v="0"/>
    <n v="0"/>
    <n v="0"/>
    <m/>
    <m/>
    <m/>
    <m/>
    <m/>
    <m/>
    <m/>
    <m/>
    <m/>
    <m/>
    <m/>
    <m/>
    <m/>
    <m/>
    <m/>
    <m/>
    <m/>
    <m/>
  </r>
  <r>
    <x v="6"/>
    <x v="33"/>
    <s v="LG.B.005"/>
    <x v="1"/>
    <x v="2"/>
    <s v="Docked to Host Monitor"/>
    <n v="1"/>
    <m/>
    <s v="004827"/>
    <s v="MULTI-PARAMETERS MODULE, PHYSIOLOGICAL"/>
    <s v="PHILIPS MEDICAL SYSTEMS AUSTRA"/>
    <s v="IntelliVue X3"/>
    <s v="DE694A9956"/>
    <s v="ED - SSU - 3A - FH"/>
    <n v="1"/>
    <n v="0"/>
    <s v="Philips"/>
    <x v="13"/>
    <n v="7342"/>
    <n v="0"/>
    <n v="0"/>
    <n v="0"/>
    <m/>
    <m/>
    <m/>
    <m/>
    <m/>
    <m/>
    <m/>
    <m/>
    <m/>
    <m/>
    <m/>
    <m/>
    <m/>
    <m/>
    <m/>
    <m/>
    <m/>
    <m/>
  </r>
  <r>
    <x v="6"/>
    <x v="33"/>
    <s v="LG.B.007"/>
    <x v="1"/>
    <x v="2"/>
    <s v="Docked to Host Monitor"/>
    <n v="1"/>
    <m/>
    <s v="004733"/>
    <s v="MULTI-PARAMETERS MODULE, PHYSIOLOGICAL"/>
    <s v="PHILIPS MEDICAL SYSTEMS AUSTRA"/>
    <s v="IntelliVue X3"/>
    <s v="DE694B1615"/>
    <s v="ED - FH"/>
    <n v="1"/>
    <n v="0"/>
    <s v="Philips"/>
    <x v="13"/>
    <n v="7342"/>
    <n v="0"/>
    <n v="0"/>
    <n v="0"/>
    <m/>
    <m/>
    <m/>
    <m/>
    <m/>
    <m/>
    <m/>
    <m/>
    <m/>
    <m/>
    <m/>
    <m/>
    <m/>
    <m/>
    <m/>
    <m/>
    <m/>
    <m/>
  </r>
  <r>
    <x v="6"/>
    <x v="33"/>
    <s v="LG.B.008"/>
    <x v="1"/>
    <x v="2"/>
    <s v="Docked to Host Monitor"/>
    <n v="1"/>
    <m/>
    <s v="006529"/>
    <s v="MULTI-PARAMETERS MODULE, PHYSIOLOGICAL"/>
    <s v="PHILIPS MEDICAL SYSTEMS AUSTRA"/>
    <s v="IntelliVue X3"/>
    <s v="DE694B0008"/>
    <s v="ED - SSU - 3A - FH"/>
    <n v="1"/>
    <n v="0"/>
    <s v="Philips"/>
    <x v="13"/>
    <n v="7342"/>
    <n v="0"/>
    <n v="0"/>
    <n v="0"/>
    <m/>
    <m/>
    <m/>
    <m/>
    <m/>
    <m/>
    <m/>
    <m/>
    <m/>
    <m/>
    <m/>
    <m/>
    <m/>
    <m/>
    <m/>
    <m/>
    <m/>
    <m/>
  </r>
  <r>
    <x v="6"/>
    <x v="33"/>
    <s v="LG.B.012"/>
    <x v="1"/>
    <x v="2"/>
    <s v="Docked to Host Monitor"/>
    <n v="1"/>
    <m/>
    <s v="006530"/>
    <s v="MULTI-PARAMETERS MODULE, PHYSIOLOGICAL"/>
    <s v="PHILIPS MEDICAL SYSTEMS AUSTRA"/>
    <s v="IntelliVue X3"/>
    <s v="DE694A9963"/>
    <s v="ED - SSU - 3A - FH"/>
    <n v="1"/>
    <n v="0"/>
    <s v="Philips"/>
    <x v="13"/>
    <n v="7342"/>
    <n v="0"/>
    <n v="0"/>
    <n v="0"/>
    <m/>
    <m/>
    <m/>
    <m/>
    <m/>
    <m/>
    <m/>
    <m/>
    <m/>
    <m/>
    <m/>
    <m/>
    <m/>
    <m/>
    <m/>
    <m/>
    <m/>
    <m/>
  </r>
  <r>
    <x v="6"/>
    <x v="33"/>
    <s v="LG.B.013"/>
    <x v="1"/>
    <x v="2"/>
    <s v="Docked to Host Monitor"/>
    <n v="1"/>
    <m/>
    <s v="006524"/>
    <s v="MULTI-PARAMETERS MODULE, PHYSIOLOGICAL"/>
    <s v="PHILIPS MEDICAL SYSTEMS AUSTRA"/>
    <s v="IntelliVue X3"/>
    <s v="DE694A9967"/>
    <s v="ED - SSU - 3A - FH"/>
    <n v="1"/>
    <n v="0"/>
    <s v="Philips"/>
    <x v="13"/>
    <n v="7342"/>
    <n v="0"/>
    <n v="0"/>
    <n v="0"/>
    <m/>
    <m/>
    <m/>
    <m/>
    <m/>
    <m/>
    <m/>
    <m/>
    <m/>
    <m/>
    <m/>
    <m/>
    <m/>
    <m/>
    <m/>
    <m/>
    <m/>
    <m/>
  </r>
  <r>
    <x v="6"/>
    <x v="25"/>
    <s v="LG.B.023"/>
    <x v="1"/>
    <x v="2"/>
    <s v="Docked to Host Monitor"/>
    <n v="1"/>
    <m/>
    <s v="006523"/>
    <s v="MULTI-PARAMETERS MODULE, PHYSIOLOGICAL"/>
    <s v="PHILIPS MEDICAL SYSTEMS AUSTRA"/>
    <s v="IntelliVue X3"/>
    <s v="DE694A9829"/>
    <s v="ED - SSU - 3A - FH"/>
    <n v="1"/>
    <n v="0"/>
    <s v="Philips"/>
    <x v="13"/>
    <n v="7342"/>
    <n v="0"/>
    <n v="0"/>
    <n v="0"/>
    <m/>
    <m/>
    <m/>
    <m/>
    <m/>
    <m/>
    <m/>
    <m/>
    <m/>
    <m/>
    <m/>
    <m/>
    <m/>
    <m/>
    <m/>
    <m/>
    <m/>
    <m/>
  </r>
  <r>
    <x v="6"/>
    <x v="26"/>
    <s v="LG.B.024"/>
    <x v="1"/>
    <x v="2"/>
    <s v="Docked to Host Monitor"/>
    <n v="1"/>
    <m/>
    <s v="005374"/>
    <s v="MULTI-PARAMETERS MODULE, PHYSIOLOGICAL"/>
    <s v="PHILIPS MEDICAL SYSTEMS AUSTRA"/>
    <s v="IntelliVue X3"/>
    <s v="DE752M8007"/>
    <s v="ED - FH"/>
    <n v="1"/>
    <n v="0"/>
    <s v="Philips"/>
    <x v="13"/>
    <n v="7342"/>
    <n v="0"/>
    <n v="0"/>
    <n v="0"/>
    <m/>
    <m/>
    <m/>
    <m/>
    <m/>
    <m/>
    <m/>
    <m/>
    <m/>
    <m/>
    <m/>
    <m/>
    <m/>
    <m/>
    <m/>
    <m/>
    <m/>
    <m/>
  </r>
  <r>
    <x v="6"/>
    <x v="35"/>
    <s v="LG.B.027"/>
    <x v="1"/>
    <x v="2"/>
    <s v="Docked to Host Monitor"/>
    <n v="1"/>
    <m/>
    <s v="6441"/>
    <s v="MULTI-PARAMETERS MODULE, PHYSIOLOGICAL"/>
    <s v="PHILIPS MEDICAL SYSTEMS AUSTRA"/>
    <s v="IntelliVue X3"/>
    <s v="DE7730A5U4"/>
    <s v="ED FH"/>
    <n v="1"/>
    <n v="0"/>
    <s v="Philips"/>
    <x v="13"/>
    <n v="7342"/>
    <n v="0"/>
    <n v="0"/>
    <n v="0"/>
    <m/>
    <m/>
    <m/>
    <m/>
    <m/>
    <m/>
    <m/>
    <m/>
    <m/>
    <m/>
    <m/>
    <m/>
    <m/>
    <m/>
    <m/>
    <m/>
    <m/>
    <m/>
  </r>
  <r>
    <x v="6"/>
    <x v="35"/>
    <s v="LG.B.028"/>
    <x v="1"/>
    <x v="2"/>
    <s v="Docked to Host Monitor"/>
    <n v="1"/>
    <m/>
    <s v="6442"/>
    <s v="MULTI-PARAMETERS MODULE, PHYSIOLOGICAL"/>
    <s v="PHILIPS MEDICAL SYSTEMS AUSTRA"/>
    <s v="IntelliVue X3"/>
    <s v="DE7730A5TV"/>
    <s v="ED FH"/>
    <n v="1"/>
    <n v="0"/>
    <s v="Philips"/>
    <x v="13"/>
    <n v="7342"/>
    <n v="0"/>
    <n v="0"/>
    <n v="0"/>
    <m/>
    <m/>
    <m/>
    <m/>
    <m/>
    <m/>
    <m/>
    <m/>
    <m/>
    <m/>
    <m/>
    <m/>
    <m/>
    <m/>
    <m/>
    <m/>
    <m/>
    <m/>
  </r>
  <r>
    <x v="6"/>
    <x v="35"/>
    <s v="LG.B.029"/>
    <x v="1"/>
    <x v="2"/>
    <s v="Docked to Host Monitor"/>
    <n v="1"/>
    <m/>
    <s v="6443"/>
    <s v="MULTI-PARAMETERS MODULE, PHYSIOLOGICAL"/>
    <s v="PHILIPS MEDICAL SYSTEMS AUSTRA"/>
    <s v="IntelliVue X3"/>
    <s v="DE7730A5LY"/>
    <s v="ED FH"/>
    <n v="1"/>
    <n v="0"/>
    <s v="Philips"/>
    <x v="13"/>
    <n v="7342"/>
    <n v="0"/>
    <n v="0"/>
    <n v="0"/>
    <m/>
    <m/>
    <m/>
    <m/>
    <m/>
    <m/>
    <m/>
    <m/>
    <m/>
    <m/>
    <m/>
    <m/>
    <m/>
    <m/>
    <m/>
    <m/>
    <m/>
    <m/>
  </r>
  <r>
    <x v="6"/>
    <x v="23"/>
    <s v="LG.B.041"/>
    <x v="1"/>
    <x v="2"/>
    <s v="Docked to Host Monitor"/>
    <n v="1"/>
    <m/>
    <s v="6444"/>
    <s v="MULTI-PARAMETERS MODULE, PHYSIOLOGICAL"/>
    <s v="PHILIPS MEDICAL SYSTEMS AUSTRA"/>
    <s v="IntelliVue X3"/>
    <s v="DE7730A556"/>
    <s v="ED FH"/>
    <n v="1"/>
    <n v="0"/>
    <s v="Philips"/>
    <x v="13"/>
    <n v="7342"/>
    <n v="0"/>
    <n v="0"/>
    <n v="0"/>
    <m/>
    <m/>
    <m/>
    <m/>
    <m/>
    <m/>
    <m/>
    <m/>
    <m/>
    <m/>
    <m/>
    <m/>
    <m/>
    <m/>
    <m/>
    <m/>
    <m/>
    <m/>
  </r>
  <r>
    <x v="6"/>
    <x v="23"/>
    <s v="LG.B.043"/>
    <x v="1"/>
    <x v="2"/>
    <s v="Docked to Host Monitor"/>
    <n v="1"/>
    <m/>
    <s v="6445"/>
    <s v="MULTI-PARAMETERS MODULE, PHYSIOLOGICAL"/>
    <s v="PHILIPS MEDICAL SYSTEMS AUSTRA"/>
    <s v="IntelliVue X3"/>
    <s v="DE7730A5MA"/>
    <s v="ED FH"/>
    <n v="1"/>
    <n v="0"/>
    <s v="Philips"/>
    <x v="13"/>
    <n v="7342"/>
    <n v="0"/>
    <n v="0"/>
    <n v="0"/>
    <m/>
    <m/>
    <m/>
    <m/>
    <m/>
    <m/>
    <m/>
    <m/>
    <m/>
    <m/>
    <m/>
    <m/>
    <m/>
    <m/>
    <m/>
    <m/>
    <m/>
    <m/>
  </r>
  <r>
    <x v="6"/>
    <x v="35"/>
    <s v="LG.B.081"/>
    <x v="1"/>
    <x v="2"/>
    <s v="Docked to Host Monitor"/>
    <n v="1"/>
    <m/>
    <s v="6446"/>
    <s v="MULTI-PARAMETERS MODULE, PHYSIOLOGICAL"/>
    <s v="PHILIPS MEDICAL SYSTEMS AUSTRA"/>
    <s v="IntelliVue X3"/>
    <s v="DE7730A58Y"/>
    <s v="ED FH"/>
    <n v="1"/>
    <n v="0"/>
    <s v="Philips"/>
    <x v="13"/>
    <n v="7342"/>
    <n v="0"/>
    <n v="0"/>
    <n v="0"/>
    <m/>
    <m/>
    <m/>
    <m/>
    <m/>
    <m/>
    <m/>
    <m/>
    <m/>
    <m/>
    <m/>
    <m/>
    <m/>
    <m/>
    <m/>
    <m/>
    <m/>
    <m/>
  </r>
  <r>
    <x v="6"/>
    <x v="35"/>
    <s v="LG.B.082"/>
    <x v="1"/>
    <x v="2"/>
    <s v="Docked to Host Monitor"/>
    <n v="1"/>
    <m/>
    <s v="6447"/>
    <s v="MULTI-PARAMETERS MODULE, PHYSIOLOGICAL"/>
    <s v="PHILIPS MEDICAL SYSTEMS AUSTRA"/>
    <s v="IntelliVue X3"/>
    <s v="DE7730A5LZ"/>
    <s v="ED FH"/>
    <n v="1"/>
    <n v="0"/>
    <s v="Philips"/>
    <x v="13"/>
    <n v="7342"/>
    <n v="0"/>
    <n v="0"/>
    <n v="0"/>
    <m/>
    <m/>
    <m/>
    <m/>
    <m/>
    <m/>
    <m/>
    <m/>
    <m/>
    <m/>
    <m/>
    <m/>
    <m/>
    <m/>
    <m/>
    <m/>
    <m/>
    <m/>
  </r>
  <r>
    <x v="6"/>
    <x v="26"/>
    <s v="LG.B.122"/>
    <x v="1"/>
    <x v="2"/>
    <s v="Docked to Host Monitor"/>
    <n v="1"/>
    <m/>
    <s v="6448"/>
    <s v="MULTI-PARAMETERS MODULE, PHYSIOLOGICAL"/>
    <s v="PHILIPS MEDICAL SYSTEMS AUSTRA"/>
    <s v="IntelliVue X3"/>
    <s v="DE7730A58T"/>
    <s v="ED FH"/>
    <n v="1"/>
    <n v="0"/>
    <s v="Philips"/>
    <x v="13"/>
    <n v="7342"/>
    <n v="0"/>
    <n v="0"/>
    <n v="0"/>
    <m/>
    <m/>
    <m/>
    <m/>
    <m/>
    <m/>
    <m/>
    <m/>
    <m/>
    <m/>
    <m/>
    <m/>
    <m/>
    <m/>
    <m/>
    <m/>
    <m/>
    <m/>
  </r>
  <r>
    <x v="6"/>
    <x v="35"/>
    <s v="LG.B.126"/>
    <x v="1"/>
    <x v="2"/>
    <s v="Docked to Host Monitor"/>
    <n v="1"/>
    <m/>
    <s v="6449"/>
    <s v="MULTI-PARAMETERS MODULE, PHYSIOLOGICAL"/>
    <s v="PHILIPS MEDICAL SYSTEMS AUSTRA"/>
    <s v="IntelliVue X3"/>
    <s v="DE7730A58B"/>
    <s v="ED FH"/>
    <n v="1"/>
    <n v="0"/>
    <s v="Philips"/>
    <x v="13"/>
    <n v="7342"/>
    <n v="0"/>
    <n v="0"/>
    <n v="0"/>
    <m/>
    <m/>
    <m/>
    <m/>
    <m/>
    <m/>
    <m/>
    <m/>
    <m/>
    <m/>
    <m/>
    <m/>
    <m/>
    <m/>
    <m/>
    <m/>
    <m/>
    <m/>
  </r>
  <r>
    <x v="6"/>
    <x v="32"/>
    <s v="LG.B.211"/>
    <x v="1"/>
    <x v="2"/>
    <s v="Docked to Host Monitor"/>
    <n v="1"/>
    <m/>
    <s v="6450"/>
    <s v="MULTI-PARAMETERS MODULE, PHYSIOLOGICAL"/>
    <s v="PHILIPS MEDICAL SYSTEMS AUSTRA"/>
    <s v="IntelliVue X3"/>
    <s v="DE7730A5LW"/>
    <s v="ED FH"/>
    <n v="1"/>
    <n v="0"/>
    <s v="Philips"/>
    <x v="13"/>
    <n v="7342"/>
    <n v="0"/>
    <n v="0"/>
    <n v="0"/>
    <m/>
    <m/>
    <m/>
    <m/>
    <m/>
    <m/>
    <m/>
    <m/>
    <m/>
    <m/>
    <m/>
    <m/>
    <m/>
    <m/>
    <m/>
    <m/>
    <m/>
    <m/>
  </r>
  <r>
    <x v="6"/>
    <x v="32"/>
    <s v="LG.B.212"/>
    <x v="1"/>
    <x v="2"/>
    <s v="Docked to Host Monitor"/>
    <n v="1"/>
    <m/>
    <s v="6451"/>
    <s v="MULTI-PARAMETERS MODULE, PHYSIOLOGICAL"/>
    <s v="PHILIPS MEDICAL SYSTEMS AUSTRA"/>
    <s v="IntelliVue X3"/>
    <s v="DE7730A5FY"/>
    <s v="ED FH"/>
    <n v="1"/>
    <n v="0"/>
    <s v="Philips"/>
    <x v="13"/>
    <n v="7342"/>
    <n v="0"/>
    <n v="0"/>
    <n v="0"/>
    <m/>
    <m/>
    <m/>
    <m/>
    <m/>
    <m/>
    <m/>
    <m/>
    <m/>
    <m/>
    <m/>
    <m/>
    <m/>
    <m/>
    <m/>
    <m/>
    <m/>
    <m/>
  </r>
  <r>
    <x v="6"/>
    <x v="24"/>
    <s v="LG.B.225"/>
    <x v="1"/>
    <x v="2"/>
    <s v="Docked to Host Monitor"/>
    <n v="1"/>
    <m/>
    <s v="6452"/>
    <s v="MULTI-PARAMETERS MODULE, PHYSIOLOGICAL"/>
    <s v="PHILIPS MEDICAL SYSTEMS AUSTRA"/>
    <s v="IntelliVue X3"/>
    <s v="DE7730A58C"/>
    <s v="ED FH"/>
    <n v="1"/>
    <n v="0"/>
    <s v="Philips"/>
    <x v="13"/>
    <n v="7342"/>
    <n v="0"/>
    <n v="0"/>
    <n v="0"/>
    <m/>
    <m/>
    <m/>
    <m/>
    <m/>
    <m/>
    <m/>
    <m/>
    <m/>
    <m/>
    <m/>
    <m/>
    <m/>
    <m/>
    <m/>
    <m/>
    <m/>
    <m/>
  </r>
  <r>
    <x v="6"/>
    <x v="29"/>
    <s v="LG.B.227"/>
    <x v="1"/>
    <x v="2"/>
    <s v="Docked to Host Monitor"/>
    <n v="1"/>
    <m/>
    <s v="6453"/>
    <s v="MULTI-PARAMETERS MODULE, PHYSIOLOGICAL"/>
    <s v="PHILIPS MEDICAL SYSTEMS AUSTRA"/>
    <s v="IntelliVue X3"/>
    <s v="DE7730A5FU"/>
    <s v="ED FH"/>
    <n v="1"/>
    <n v="0"/>
    <s v="Philips"/>
    <x v="13"/>
    <n v="7342"/>
    <n v="0"/>
    <n v="0"/>
    <n v="0"/>
    <m/>
    <m/>
    <m/>
    <m/>
    <m/>
    <m/>
    <m/>
    <m/>
    <m/>
    <m/>
    <m/>
    <m/>
    <m/>
    <m/>
    <m/>
    <m/>
    <m/>
    <m/>
  </r>
  <r>
    <x v="6"/>
    <x v="29"/>
    <s v="LG.B.229"/>
    <x v="1"/>
    <x v="2"/>
    <s v="Docked to Host Monitor"/>
    <n v="1"/>
    <m/>
    <s v="6454"/>
    <s v="MULTI-PARAMETERS MODULE, PHYSIOLOGICAL"/>
    <s v="PHILIPS MEDICAL SYSTEMS AUSTRA"/>
    <s v="IntelliVue X3"/>
    <s v="DE7730A561"/>
    <s v="ED FH"/>
    <n v="1"/>
    <n v="0"/>
    <s v="Philips"/>
    <x v="13"/>
    <n v="7342"/>
    <n v="0"/>
    <n v="0"/>
    <n v="0"/>
    <m/>
    <m/>
    <m/>
    <m/>
    <m/>
    <m/>
    <m/>
    <m/>
    <m/>
    <m/>
    <m/>
    <m/>
    <m/>
    <m/>
    <m/>
    <m/>
    <m/>
    <m/>
  </r>
  <r>
    <x v="6"/>
    <x v="29"/>
    <s v="LG.B.230"/>
    <x v="1"/>
    <x v="2"/>
    <s v="Docked to Host Monitor"/>
    <n v="1"/>
    <m/>
    <s v="6455"/>
    <s v="MULTI-PARAMETERS MODULE, PHYSIOLOGICAL"/>
    <s v="PHILIPS MEDICAL SYSTEMS AUSTRA"/>
    <s v="IntelliVue X3"/>
    <s v="DE7730A54Z"/>
    <s v="ED FH"/>
    <n v="1"/>
    <n v="0"/>
    <s v="Philips"/>
    <x v="13"/>
    <n v="7342"/>
    <n v="0"/>
    <n v="0"/>
    <n v="0"/>
    <m/>
    <m/>
    <m/>
    <m/>
    <m/>
    <m/>
    <m/>
    <m/>
    <m/>
    <m/>
    <m/>
    <m/>
    <m/>
    <m/>
    <m/>
    <m/>
    <m/>
    <m/>
  </r>
  <r>
    <x v="6"/>
    <x v="29"/>
    <s v="LG.B.232"/>
    <x v="1"/>
    <x v="2"/>
    <s v="Docked to Host Monitor"/>
    <n v="1"/>
    <m/>
    <s v="001076"/>
    <s v="MULTI-PARAMETERS MODULE, PHYSIOLOGICAL"/>
    <s v="PHILIPS MEDICAL SYSTEMS AUSTRA"/>
    <s v="IntelliVue X3"/>
    <s v="DE61146284"/>
    <s v="Cath Lab FH"/>
    <n v="1"/>
    <n v="0"/>
    <s v="Philips"/>
    <x v="2"/>
    <n v="0"/>
    <n v="0"/>
    <n v="0"/>
    <n v="0"/>
    <m/>
    <m/>
    <m/>
    <m/>
    <m/>
    <m/>
    <m/>
    <m/>
    <m/>
    <m/>
    <m/>
    <m/>
    <m/>
    <m/>
    <m/>
    <m/>
    <m/>
    <m/>
  </r>
  <r>
    <x v="6"/>
    <x v="29"/>
    <s v="LG.B.234"/>
    <x v="1"/>
    <x v="2"/>
    <s v="Docked to Host Monitor"/>
    <n v="1"/>
    <m/>
    <s v="003375"/>
    <s v="MULTI-PARAMETERS MODULE, PHYSIOLOGICAL"/>
    <s v="PHILIPS MEDICAL SYSTEMS AUSTRA"/>
    <s v="IntelliVue X3"/>
    <s v="DE61146373"/>
    <s v="Cath Lab FH"/>
    <n v="1"/>
    <n v="0"/>
    <s v="Philips"/>
    <x v="2"/>
    <n v="0"/>
    <n v="0"/>
    <n v="0"/>
    <n v="0"/>
    <m/>
    <m/>
    <m/>
    <m/>
    <m/>
    <m/>
    <m/>
    <m/>
    <m/>
    <m/>
    <m/>
    <m/>
    <m/>
    <m/>
    <m/>
    <m/>
    <m/>
    <m/>
  </r>
  <r>
    <x v="6"/>
    <x v="29"/>
    <s v="LG.B.238"/>
    <x v="1"/>
    <x v="2"/>
    <s v="Docked to Host Monitor"/>
    <n v="1"/>
    <m/>
    <s v="005040"/>
    <s v="MULTI-PARAMETERS MODULE, PHYSIOLOGICAL"/>
    <s v="PHILIPS MEDICAL SYSTEMS AUSTRA"/>
    <s v="IntelliVue X3"/>
    <s v="DE694H5731"/>
    <s v="ICU FH"/>
    <n v="1"/>
    <n v="0"/>
    <s v="Philips"/>
    <x v="2"/>
    <n v="0"/>
    <n v="0"/>
    <n v="0"/>
    <n v="0"/>
    <m/>
    <m/>
    <m/>
    <m/>
    <m/>
    <m/>
    <m/>
    <m/>
    <m/>
    <m/>
    <m/>
    <m/>
    <m/>
    <m/>
    <m/>
    <m/>
    <m/>
    <m/>
  </r>
  <r>
    <x v="6"/>
    <x v="22"/>
    <s v="LG.B.256"/>
    <x v="1"/>
    <x v="2"/>
    <s v="Docked to Host Monitor"/>
    <n v="1"/>
    <m/>
    <s v="005026"/>
    <s v="MULTI-PARAMETERS MODULE, PHYSIOLOGICAL"/>
    <s v="PHILIPS MEDICAL SYSTEMS AUSTRA"/>
    <s v="IntelliVue X3"/>
    <s v="DE694H5723"/>
    <s v="ICU FH"/>
    <n v="1"/>
    <n v="0"/>
    <s v="Philips"/>
    <x v="2"/>
    <n v="0"/>
    <n v="0"/>
    <n v="0"/>
    <n v="0"/>
    <m/>
    <m/>
    <m/>
    <m/>
    <m/>
    <m/>
    <m/>
    <m/>
    <m/>
    <m/>
    <m/>
    <m/>
    <m/>
    <m/>
    <m/>
    <m/>
    <m/>
    <m/>
  </r>
  <r>
    <x v="6"/>
    <x v="29"/>
    <s v="LG.B.259"/>
    <x v="1"/>
    <x v="2"/>
    <s v="Docked to Host Monitor"/>
    <n v="1"/>
    <m/>
    <s v="005025"/>
    <s v="MULTI-PARAMETERS MODULE, PHYSIOLOGICAL"/>
    <s v="PHILIPS MEDICAL SYSTEMS AUSTRA"/>
    <s v="IntelliVue X3"/>
    <s v="DE694H5713"/>
    <s v="ICU FH"/>
    <n v="1"/>
    <n v="0"/>
    <s v="Philips"/>
    <x v="2"/>
    <n v="0"/>
    <n v="0"/>
    <n v="0"/>
    <n v="0"/>
    <m/>
    <m/>
    <m/>
    <m/>
    <m/>
    <m/>
    <m/>
    <m/>
    <m/>
    <m/>
    <m/>
    <m/>
    <m/>
    <m/>
    <m/>
    <m/>
    <m/>
    <m/>
  </r>
  <r>
    <x v="6"/>
    <x v="29"/>
    <s v="LG.B.261"/>
    <x v="1"/>
    <x v="2"/>
    <s v="Docked to Host Monitor"/>
    <n v="1"/>
    <m/>
    <s v="005005"/>
    <s v="MULTI-PARAMETERS MODULE, PHYSIOLOGICAL"/>
    <s v="PHILIPS MEDICAL SYSTEMS AUSTRA"/>
    <s v="IntelliVue X3"/>
    <s v="DE694H5868"/>
    <s v="ICU FH"/>
    <n v="1"/>
    <n v="0"/>
    <s v="Philips"/>
    <x v="2"/>
    <n v="0"/>
    <n v="0"/>
    <n v="0"/>
    <n v="0"/>
    <m/>
    <m/>
    <m/>
    <m/>
    <m/>
    <m/>
    <m/>
    <m/>
    <m/>
    <m/>
    <m/>
    <m/>
    <m/>
    <m/>
    <m/>
    <m/>
    <m/>
    <m/>
  </r>
  <r>
    <x v="6"/>
    <x v="29"/>
    <s v="LG.B.262"/>
    <x v="1"/>
    <x v="2"/>
    <s v="Docked to Host Monitor"/>
    <n v="1"/>
    <m/>
    <s v="005067"/>
    <s v="MULTI-PARAMETERS MODULE, PHYSIOLOGICAL"/>
    <s v="PHILIPS MEDICAL SYSTEMS AUSTRA"/>
    <s v="IntelliVue X3"/>
    <s v="DE694H5782"/>
    <s v="EOU- Cubicle 2"/>
    <n v="1"/>
    <n v="0"/>
    <s v="Philips"/>
    <x v="2"/>
    <n v="0"/>
    <n v="0"/>
    <n v="0"/>
    <n v="0"/>
    <m/>
    <m/>
    <m/>
    <m/>
    <m/>
    <m/>
    <m/>
    <m/>
    <m/>
    <m/>
    <m/>
    <m/>
    <m/>
    <m/>
    <m/>
    <m/>
    <m/>
    <m/>
  </r>
  <r>
    <x v="6"/>
    <x v="28"/>
    <s v="LG.B.263"/>
    <x v="1"/>
    <x v="2"/>
    <s v="Docked to Host Monitor"/>
    <n v="1"/>
    <m/>
    <s v="004878"/>
    <s v="MULTI-PARAMETERS MODULE, PHYSIOLOGICAL"/>
    <s v="PHILIPS MEDICAL SYSTEMS AUSTRA"/>
    <s v="IntelliVue X3"/>
    <s v="DE694A9832"/>
    <s v="3A - FH"/>
    <n v="1"/>
    <n v="0"/>
    <s v="Philips"/>
    <x v="2"/>
    <n v="0"/>
    <n v="0"/>
    <n v="0"/>
    <n v="0"/>
    <m/>
    <m/>
    <m/>
    <m/>
    <m/>
    <m/>
    <m/>
    <m/>
    <m/>
    <m/>
    <m/>
    <m/>
    <m/>
    <m/>
    <m/>
    <m/>
    <m/>
    <m/>
  </r>
  <r>
    <x v="6"/>
    <x v="29"/>
    <s v="LG.B.266"/>
    <x v="1"/>
    <x v="2"/>
    <s v="Docked to Host Monitor"/>
    <n v="1"/>
    <m/>
    <s v="004874"/>
    <s v="MULTI-PARAMETERS MODULE, PHYSIOLOGICAL"/>
    <s v="PHILIPS MEDICAL SYSTEMS AUSTRA"/>
    <s v="IntelliVue X3"/>
    <s v="DE694B0206"/>
    <s v="3A - FH"/>
    <n v="1"/>
    <n v="0"/>
    <s v="Philips"/>
    <x v="2"/>
    <n v="0"/>
    <n v="0"/>
    <n v="0"/>
    <n v="0"/>
    <m/>
    <m/>
    <m/>
    <m/>
    <m/>
    <m/>
    <m/>
    <m/>
    <m/>
    <m/>
    <m/>
    <m/>
    <m/>
    <m/>
    <m/>
    <m/>
    <m/>
    <m/>
  </r>
  <r>
    <x v="6"/>
    <x v="30"/>
    <s v="LG.B.268"/>
    <x v="1"/>
    <x v="2"/>
    <s v="Docked to Host Monitor"/>
    <n v="1"/>
    <m/>
    <s v="006115"/>
    <s v="MULTI-PARAMETERS MODULE, PHYSIOLOGICAL"/>
    <s v="PHILIPS MEDICAL SYSTEMS AUSTRA"/>
    <s v="IntelliVue X3"/>
    <s v="DE694D6075"/>
    <s v="ICU FH"/>
    <n v="1"/>
    <n v="0"/>
    <s v="Philips"/>
    <x v="2"/>
    <n v="0"/>
    <n v="0"/>
    <n v="0"/>
    <n v="0"/>
    <m/>
    <m/>
    <m/>
    <m/>
    <m/>
    <m/>
    <m/>
    <m/>
    <m/>
    <m/>
    <m/>
    <m/>
    <m/>
    <m/>
    <m/>
    <m/>
    <m/>
    <m/>
  </r>
  <r>
    <x v="6"/>
    <x v="29"/>
    <s v="LG.B.270"/>
    <x v="1"/>
    <x v="2"/>
    <s v="Docked to Host Monitor"/>
    <n v="1"/>
    <m/>
    <s v="006114"/>
    <s v="MULTI-PARAMETERS MODULE, PHYSIOLOGICAL"/>
    <s v="PHILIPS MEDICAL SYSTEMS AUSTRA"/>
    <s v="IntelliVue X3"/>
    <s v="DE694D6097"/>
    <s v="ICU FH"/>
    <n v="1"/>
    <n v="0"/>
    <s v="Philips"/>
    <x v="2"/>
    <n v="0"/>
    <n v="0"/>
    <n v="0"/>
    <n v="0"/>
    <m/>
    <m/>
    <m/>
    <m/>
    <m/>
    <m/>
    <m/>
    <m/>
    <m/>
    <m/>
    <m/>
    <m/>
    <m/>
    <m/>
    <m/>
    <m/>
    <m/>
    <m/>
  </r>
  <r>
    <x v="6"/>
    <x v="29"/>
    <s v="LG.B.272"/>
    <x v="1"/>
    <x v="2"/>
    <s v="Docked to Host Monitor"/>
    <n v="1"/>
    <m/>
    <s v="006113"/>
    <s v="MULTI-PARAMETERS MODULE, PHYSIOLOGICAL"/>
    <s v="PHILIPS MEDICAL SYSTEMS AUSTRA"/>
    <s v="IntelliVue X3"/>
    <s v="DE694D6091"/>
    <s v="ICU FH"/>
    <n v="1"/>
    <n v="0"/>
    <s v="Philips"/>
    <x v="2"/>
    <n v="0"/>
    <n v="0"/>
    <n v="0"/>
    <n v="0"/>
    <m/>
    <m/>
    <m/>
    <m/>
    <m/>
    <m/>
    <m/>
    <m/>
    <m/>
    <m/>
    <m/>
    <m/>
    <m/>
    <m/>
    <m/>
    <m/>
    <m/>
    <m/>
  </r>
  <r>
    <x v="6"/>
    <x v="28"/>
    <s v="LG.B.274"/>
    <x v="1"/>
    <x v="2"/>
    <s v="Docked to Host Monitor"/>
    <n v="1"/>
    <m/>
    <m/>
    <s v=""/>
    <s v=""/>
    <s v=""/>
    <s v=""/>
    <s v=""/>
    <m/>
    <n v="1"/>
    <s v="Philips"/>
    <x v="2"/>
    <n v="0"/>
    <n v="0"/>
    <n v="0"/>
    <n v="0"/>
    <m/>
    <m/>
    <m/>
    <m/>
    <m/>
    <m/>
    <m/>
    <m/>
    <m/>
    <m/>
    <m/>
    <m/>
    <m/>
    <m/>
    <m/>
    <m/>
    <m/>
    <m/>
  </r>
  <r>
    <x v="6"/>
    <x v="30"/>
    <s v="LG.B.277"/>
    <x v="1"/>
    <x v="2"/>
    <s v="Docked to Host Monitor"/>
    <n v="1"/>
    <m/>
    <m/>
    <s v=""/>
    <s v=""/>
    <s v=""/>
    <s v=""/>
    <s v=""/>
    <m/>
    <n v="1"/>
    <s v="Philips"/>
    <x v="2"/>
    <n v="0"/>
    <n v="0"/>
    <n v="0"/>
    <n v="0"/>
    <m/>
    <m/>
    <m/>
    <m/>
    <m/>
    <m/>
    <m/>
    <m/>
    <m/>
    <m/>
    <m/>
    <m/>
    <m/>
    <m/>
    <m/>
    <m/>
    <m/>
    <m/>
  </r>
  <r>
    <x v="6"/>
    <x v="29"/>
    <s v="LG.B.279"/>
    <x v="1"/>
    <x v="2"/>
    <s v="Docked to Host Monitor"/>
    <n v="1"/>
    <m/>
    <m/>
    <s v=""/>
    <s v=""/>
    <s v=""/>
    <s v=""/>
    <s v=""/>
    <m/>
    <n v="1"/>
    <s v="Philips"/>
    <x v="2"/>
    <n v="0"/>
    <n v="0"/>
    <n v="0"/>
    <n v="0"/>
    <m/>
    <m/>
    <m/>
    <m/>
    <m/>
    <m/>
    <m/>
    <m/>
    <m/>
    <m/>
    <m/>
    <m/>
    <m/>
    <m/>
    <m/>
    <m/>
    <m/>
    <m/>
  </r>
  <r>
    <x v="6"/>
    <x v="29"/>
    <s v="LG.B.285"/>
    <x v="1"/>
    <x v="2"/>
    <s v="Docked to Host Monitor"/>
    <n v="1"/>
    <m/>
    <m/>
    <s v=""/>
    <s v=""/>
    <s v=""/>
    <s v=""/>
    <s v=""/>
    <m/>
    <n v="1"/>
    <s v="Philips"/>
    <x v="2"/>
    <n v="0"/>
    <n v="0"/>
    <n v="0"/>
    <n v="0"/>
    <m/>
    <m/>
    <m/>
    <m/>
    <m/>
    <m/>
    <m/>
    <m/>
    <m/>
    <m/>
    <m/>
    <m/>
    <m/>
    <m/>
    <m/>
    <m/>
    <m/>
    <m/>
  </r>
  <r>
    <x v="6"/>
    <x v="29"/>
    <s v="LG.B.287"/>
    <x v="1"/>
    <x v="2"/>
    <s v="Docked to Host Monitor"/>
    <n v="1"/>
    <m/>
    <m/>
    <s v=""/>
    <s v=""/>
    <s v=""/>
    <s v=""/>
    <s v=""/>
    <m/>
    <n v="1"/>
    <s v="Philips"/>
    <x v="2"/>
    <n v="0"/>
    <n v="0"/>
    <n v="0"/>
    <n v="0"/>
    <m/>
    <m/>
    <m/>
    <m/>
    <m/>
    <m/>
    <m/>
    <m/>
    <m/>
    <m/>
    <m/>
    <m/>
    <m/>
    <m/>
    <m/>
    <m/>
    <m/>
    <m/>
  </r>
  <r>
    <x v="6"/>
    <x v="29"/>
    <s v="LG.B.288"/>
    <x v="1"/>
    <x v="2"/>
    <s v="Docked to Host Monitor"/>
    <n v="1"/>
    <m/>
    <m/>
    <s v=""/>
    <s v=""/>
    <s v=""/>
    <s v=""/>
    <s v=""/>
    <m/>
    <n v="1"/>
    <s v="Philips"/>
    <x v="2"/>
    <n v="0"/>
    <n v="0"/>
    <n v="0"/>
    <n v="0"/>
    <m/>
    <m/>
    <m/>
    <m/>
    <m/>
    <m/>
    <m/>
    <m/>
    <m/>
    <m/>
    <m/>
    <m/>
    <m/>
    <m/>
    <m/>
    <m/>
    <m/>
    <m/>
  </r>
  <r>
    <x v="6"/>
    <x v="29"/>
    <s v="LG.B.290"/>
    <x v="1"/>
    <x v="2"/>
    <s v="Docked to Host Monitor"/>
    <n v="1"/>
    <m/>
    <m/>
    <s v=""/>
    <s v=""/>
    <s v=""/>
    <s v=""/>
    <s v=""/>
    <m/>
    <n v="1"/>
    <s v="Philips"/>
    <x v="2"/>
    <n v="0"/>
    <n v="0"/>
    <n v="0"/>
    <n v="0"/>
    <m/>
    <m/>
    <m/>
    <m/>
    <m/>
    <m/>
    <m/>
    <m/>
    <m/>
    <m/>
    <m/>
    <m/>
    <m/>
    <m/>
    <m/>
    <m/>
    <m/>
    <m/>
  </r>
  <r>
    <x v="6"/>
    <x v="29"/>
    <s v="LG.B.291"/>
    <x v="1"/>
    <x v="2"/>
    <s v="Docked to Host Monitor"/>
    <n v="1"/>
    <m/>
    <m/>
    <s v=""/>
    <s v=""/>
    <s v=""/>
    <s v=""/>
    <s v=""/>
    <m/>
    <n v="1"/>
    <s v="Philips"/>
    <x v="2"/>
    <n v="0"/>
    <n v="0"/>
    <n v="0"/>
    <n v="0"/>
    <m/>
    <m/>
    <m/>
    <m/>
    <m/>
    <m/>
    <m/>
    <m/>
    <m/>
    <m/>
    <m/>
    <m/>
    <m/>
    <m/>
    <m/>
    <m/>
    <m/>
    <m/>
  </r>
  <r>
    <x v="6"/>
    <x v="29"/>
    <s v="LG.B.293"/>
    <x v="1"/>
    <x v="2"/>
    <s v="Docked to Host Monitor"/>
    <n v="1"/>
    <m/>
    <m/>
    <s v=""/>
    <s v=""/>
    <s v=""/>
    <s v=""/>
    <s v=""/>
    <m/>
    <n v="1"/>
    <s v="Philips"/>
    <x v="2"/>
    <n v="0"/>
    <n v="0"/>
    <n v="0"/>
    <n v="0"/>
    <m/>
    <m/>
    <m/>
    <m/>
    <m/>
    <m/>
    <m/>
    <m/>
    <m/>
    <m/>
    <m/>
    <m/>
    <m/>
    <m/>
    <m/>
    <m/>
    <m/>
    <m/>
  </r>
  <r>
    <x v="6"/>
    <x v="28"/>
    <s v="LG.B.306"/>
    <x v="1"/>
    <x v="2"/>
    <s v="Docked to Host Monitor"/>
    <n v="1"/>
    <m/>
    <m/>
    <s v=""/>
    <s v=""/>
    <s v=""/>
    <s v=""/>
    <s v=""/>
    <m/>
    <n v="1"/>
    <s v="Philips"/>
    <x v="2"/>
    <n v="0"/>
    <n v="0"/>
    <n v="0"/>
    <n v="0"/>
    <m/>
    <m/>
    <m/>
    <m/>
    <m/>
    <m/>
    <m/>
    <m/>
    <m/>
    <m/>
    <m/>
    <m/>
    <m/>
    <m/>
    <m/>
    <m/>
    <m/>
    <m/>
  </r>
  <r>
    <x v="6"/>
    <x v="31"/>
    <s v="LG.B.310"/>
    <x v="1"/>
    <x v="2"/>
    <s v="Docked to Host Monitor"/>
    <n v="1"/>
    <m/>
    <m/>
    <s v=""/>
    <s v=""/>
    <s v=""/>
    <s v=""/>
    <s v=""/>
    <m/>
    <n v="1"/>
    <s v="Philips"/>
    <x v="2"/>
    <n v="0"/>
    <n v="0"/>
    <n v="0"/>
    <n v="0"/>
    <m/>
    <m/>
    <m/>
    <m/>
    <m/>
    <m/>
    <m/>
    <m/>
    <m/>
    <m/>
    <m/>
    <m/>
    <m/>
    <m/>
    <m/>
    <m/>
    <m/>
    <m/>
  </r>
  <r>
    <x v="6"/>
    <x v="31"/>
    <s v="LG.B.312"/>
    <x v="1"/>
    <x v="2"/>
    <s v="Docked to Host Monitor"/>
    <n v="1"/>
    <m/>
    <m/>
    <s v=""/>
    <s v=""/>
    <s v=""/>
    <s v=""/>
    <s v=""/>
    <m/>
    <n v="1"/>
    <s v="Philips"/>
    <x v="2"/>
    <n v="0"/>
    <n v="0"/>
    <n v="0"/>
    <n v="0"/>
    <m/>
    <m/>
    <m/>
    <m/>
    <m/>
    <m/>
    <m/>
    <m/>
    <m/>
    <m/>
    <m/>
    <m/>
    <m/>
    <m/>
    <m/>
    <m/>
    <m/>
    <m/>
  </r>
  <r>
    <x v="6"/>
    <x v="29"/>
    <s v="LG.B.315"/>
    <x v="1"/>
    <x v="2"/>
    <s v="Docked to Host Monitor"/>
    <n v="1"/>
    <m/>
    <m/>
    <s v=""/>
    <s v=""/>
    <s v=""/>
    <s v=""/>
    <s v=""/>
    <m/>
    <n v="1"/>
    <s v="Philips"/>
    <x v="2"/>
    <n v="0"/>
    <n v="0"/>
    <n v="0"/>
    <n v="0"/>
    <m/>
    <m/>
    <m/>
    <m/>
    <m/>
    <m/>
    <m/>
    <m/>
    <m/>
    <m/>
    <m/>
    <m/>
    <m/>
    <m/>
    <m/>
    <m/>
    <m/>
    <m/>
  </r>
  <r>
    <x v="6"/>
    <x v="29"/>
    <s v="LG.B.317"/>
    <x v="1"/>
    <x v="2"/>
    <s v="Docked to Host Monitor"/>
    <n v="1"/>
    <m/>
    <m/>
    <s v=""/>
    <s v=""/>
    <s v=""/>
    <s v=""/>
    <s v=""/>
    <m/>
    <n v="1"/>
    <s v="Philips"/>
    <x v="2"/>
    <n v="0"/>
    <n v="0"/>
    <n v="0"/>
    <n v="0"/>
    <m/>
    <m/>
    <m/>
    <m/>
    <m/>
    <m/>
    <m/>
    <m/>
    <m/>
    <m/>
    <m/>
    <m/>
    <m/>
    <m/>
    <m/>
    <m/>
    <m/>
    <m/>
  </r>
  <r>
    <x v="6"/>
    <x v="29"/>
    <s v="LG.B.318"/>
    <x v="1"/>
    <x v="2"/>
    <s v="Docked to Host Monitor"/>
    <n v="1"/>
    <m/>
    <m/>
    <s v=""/>
    <s v=""/>
    <s v=""/>
    <s v=""/>
    <s v=""/>
    <m/>
    <n v="1"/>
    <s v="Philips"/>
    <x v="2"/>
    <n v="0"/>
    <n v="0"/>
    <n v="0"/>
    <n v="0"/>
    <m/>
    <m/>
    <m/>
    <m/>
    <m/>
    <m/>
    <m/>
    <m/>
    <m/>
    <m/>
    <m/>
    <m/>
    <m/>
    <m/>
    <m/>
    <m/>
    <m/>
    <m/>
  </r>
  <r>
    <x v="6"/>
    <x v="29"/>
    <s v="LG.B.320"/>
    <x v="1"/>
    <x v="2"/>
    <s v="Docked to Host Monitor"/>
    <n v="1"/>
    <m/>
    <m/>
    <s v=""/>
    <s v=""/>
    <s v=""/>
    <s v=""/>
    <s v=""/>
    <m/>
    <n v="1"/>
    <s v="Philips"/>
    <x v="2"/>
    <n v="0"/>
    <n v="0"/>
    <n v="0"/>
    <n v="0"/>
    <m/>
    <m/>
    <m/>
    <m/>
    <m/>
    <m/>
    <m/>
    <m/>
    <m/>
    <m/>
    <m/>
    <m/>
    <m/>
    <m/>
    <m/>
    <m/>
    <m/>
    <m/>
  </r>
  <r>
    <x v="6"/>
    <x v="29"/>
    <s v="LG.B.322"/>
    <x v="1"/>
    <x v="2"/>
    <s v="Docked to Host Monitor"/>
    <n v="1"/>
    <m/>
    <m/>
    <s v=""/>
    <s v=""/>
    <s v=""/>
    <s v=""/>
    <s v=""/>
    <m/>
    <n v="1"/>
    <s v="Philips"/>
    <x v="2"/>
    <n v="0"/>
    <n v="0"/>
    <n v="0"/>
    <n v="0"/>
    <m/>
    <m/>
    <m/>
    <m/>
    <m/>
    <m/>
    <m/>
    <m/>
    <m/>
    <m/>
    <m/>
    <m/>
    <m/>
    <m/>
    <m/>
    <m/>
    <m/>
    <m/>
  </r>
  <r>
    <x v="6"/>
    <x v="29"/>
    <s v="LG.B.324"/>
    <x v="1"/>
    <x v="2"/>
    <s v="Docked to Host Monitor"/>
    <n v="1"/>
    <m/>
    <m/>
    <s v=""/>
    <s v=""/>
    <s v=""/>
    <s v=""/>
    <s v=""/>
    <m/>
    <n v="1"/>
    <s v="Philips"/>
    <x v="2"/>
    <n v="0"/>
    <n v="0"/>
    <n v="0"/>
    <n v="0"/>
    <m/>
    <m/>
    <m/>
    <m/>
    <m/>
    <m/>
    <m/>
    <m/>
    <m/>
    <m/>
    <m/>
    <m/>
    <m/>
    <m/>
    <m/>
    <m/>
    <m/>
    <m/>
  </r>
  <r>
    <x v="6"/>
    <x v="28"/>
    <s v="LG.B.325"/>
    <x v="1"/>
    <x v="2"/>
    <s v="Docked to Host Monitor"/>
    <n v="1"/>
    <m/>
    <m/>
    <s v=""/>
    <s v=""/>
    <s v=""/>
    <s v=""/>
    <s v=""/>
    <m/>
    <n v="1"/>
    <s v="Philips"/>
    <x v="2"/>
    <n v="0"/>
    <n v="0"/>
    <n v="0"/>
    <n v="0"/>
    <m/>
    <m/>
    <m/>
    <m/>
    <m/>
    <m/>
    <m/>
    <m/>
    <m/>
    <m/>
    <m/>
    <m/>
    <m/>
    <m/>
    <m/>
    <m/>
    <m/>
    <m/>
  </r>
  <r>
    <x v="6"/>
    <x v="29"/>
    <s v="LG.B.331"/>
    <x v="1"/>
    <x v="2"/>
    <s v="Docked to Host Monitor"/>
    <n v="1"/>
    <m/>
    <m/>
    <s v=""/>
    <s v=""/>
    <s v=""/>
    <s v=""/>
    <s v=""/>
    <m/>
    <n v="1"/>
    <s v="Philips"/>
    <x v="2"/>
    <n v="0"/>
    <n v="0"/>
    <n v="0"/>
    <n v="0"/>
    <m/>
    <m/>
    <m/>
    <m/>
    <m/>
    <m/>
    <m/>
    <m/>
    <m/>
    <m/>
    <m/>
    <m/>
    <m/>
    <m/>
    <m/>
    <m/>
    <m/>
    <m/>
  </r>
  <r>
    <x v="6"/>
    <x v="29"/>
    <s v="LG.B.333"/>
    <x v="1"/>
    <x v="2"/>
    <s v="Docked to Host Monitor"/>
    <n v="1"/>
    <m/>
    <m/>
    <s v=""/>
    <s v=""/>
    <s v=""/>
    <s v=""/>
    <s v=""/>
    <m/>
    <n v="1"/>
    <s v="Philips"/>
    <x v="2"/>
    <n v="0"/>
    <n v="0"/>
    <n v="0"/>
    <n v="0"/>
    <m/>
    <m/>
    <m/>
    <m/>
    <m/>
    <m/>
    <m/>
    <m/>
    <m/>
    <m/>
    <m/>
    <m/>
    <m/>
    <m/>
    <m/>
    <m/>
    <m/>
    <m/>
  </r>
  <r>
    <x v="6"/>
    <x v="27"/>
    <s v="LG.B.343"/>
    <x v="1"/>
    <x v="2"/>
    <s v="Docked to Host Monitor"/>
    <n v="1"/>
    <m/>
    <m/>
    <s v=""/>
    <s v=""/>
    <s v=""/>
    <s v=""/>
    <s v=""/>
    <m/>
    <n v="1"/>
    <s v="Philips"/>
    <x v="2"/>
    <n v="0"/>
    <n v="0"/>
    <n v="0"/>
    <n v="0"/>
    <m/>
    <m/>
    <m/>
    <m/>
    <m/>
    <m/>
    <m/>
    <m/>
    <m/>
    <m/>
    <m/>
    <m/>
    <m/>
    <m/>
    <m/>
    <m/>
    <m/>
    <m/>
  </r>
  <r>
    <x v="6"/>
    <x v="21"/>
    <s v="LG.B.352"/>
    <x v="1"/>
    <x v="2"/>
    <s v="Docked to Host Monitor"/>
    <n v="1"/>
    <m/>
    <m/>
    <s v=""/>
    <s v=""/>
    <s v=""/>
    <s v=""/>
    <s v=""/>
    <m/>
    <n v="1"/>
    <s v="Philips"/>
    <x v="2"/>
    <n v="0"/>
    <n v="0"/>
    <n v="0"/>
    <n v="0"/>
    <m/>
    <m/>
    <m/>
    <m/>
    <m/>
    <m/>
    <m/>
    <m/>
    <m/>
    <m/>
    <m/>
    <m/>
    <m/>
    <m/>
    <m/>
    <m/>
    <m/>
    <m/>
  </r>
  <r>
    <x v="6"/>
    <x v="28"/>
    <s v="LG.B.356"/>
    <x v="1"/>
    <x v="2"/>
    <s v="Docked to Host Monitor"/>
    <n v="1"/>
    <m/>
    <m/>
    <s v=""/>
    <s v=""/>
    <s v=""/>
    <s v=""/>
    <s v=""/>
    <m/>
    <n v="1"/>
    <s v="Philips"/>
    <x v="2"/>
    <n v="0"/>
    <n v="0"/>
    <n v="0"/>
    <n v="0"/>
    <m/>
    <m/>
    <m/>
    <m/>
    <m/>
    <m/>
    <m/>
    <m/>
    <m/>
    <m/>
    <m/>
    <m/>
    <m/>
    <m/>
    <m/>
    <m/>
    <m/>
    <m/>
  </r>
  <r>
    <x v="6"/>
    <x v="27"/>
    <s v="LG.B.359"/>
    <x v="1"/>
    <x v="2"/>
    <s v="Docked to Host Monitor"/>
    <n v="1"/>
    <m/>
    <m/>
    <s v=""/>
    <s v=""/>
    <s v=""/>
    <s v=""/>
    <s v=""/>
    <m/>
    <n v="1"/>
    <s v="Philips"/>
    <x v="2"/>
    <n v="0"/>
    <n v="0"/>
    <n v="0"/>
    <n v="0"/>
    <m/>
    <m/>
    <m/>
    <m/>
    <m/>
    <m/>
    <m/>
    <m/>
    <m/>
    <m/>
    <m/>
    <m/>
    <m/>
    <m/>
    <m/>
    <m/>
    <m/>
    <m/>
  </r>
  <r>
    <x v="6"/>
    <x v="27"/>
    <s v="LG.B.360"/>
    <x v="1"/>
    <x v="2"/>
    <s v="Docked to Host Monitor"/>
    <n v="1"/>
    <m/>
    <m/>
    <s v=""/>
    <s v=""/>
    <s v=""/>
    <s v=""/>
    <s v=""/>
    <m/>
    <n v="1"/>
    <s v="Philips"/>
    <x v="2"/>
    <n v="0"/>
    <n v="0"/>
    <n v="0"/>
    <n v="0"/>
    <m/>
    <m/>
    <m/>
    <m/>
    <m/>
    <m/>
    <m/>
    <m/>
    <m/>
    <m/>
    <m/>
    <m/>
    <m/>
    <m/>
    <m/>
    <m/>
    <m/>
    <m/>
  </r>
  <r>
    <x v="6"/>
    <x v="27"/>
    <s v="LG.B.362"/>
    <x v="1"/>
    <x v="2"/>
    <s v="Docked to Host Monitor"/>
    <n v="1"/>
    <m/>
    <m/>
    <s v=""/>
    <s v=""/>
    <s v=""/>
    <s v=""/>
    <s v=""/>
    <m/>
    <n v="1"/>
    <s v="Philips"/>
    <x v="2"/>
    <n v="0"/>
    <n v="0"/>
    <n v="0"/>
    <n v="0"/>
    <m/>
    <m/>
    <m/>
    <m/>
    <m/>
    <m/>
    <m/>
    <m/>
    <m/>
    <m/>
    <m/>
    <m/>
    <m/>
    <m/>
    <m/>
    <m/>
    <m/>
    <m/>
  </r>
  <r>
    <x v="6"/>
    <x v="27"/>
    <s v="LG.B.363"/>
    <x v="1"/>
    <x v="2"/>
    <s v="Docked to Host Monitor"/>
    <n v="1"/>
    <m/>
    <m/>
    <s v=""/>
    <s v=""/>
    <s v=""/>
    <s v=""/>
    <s v=""/>
    <m/>
    <n v="1"/>
    <s v="Philips"/>
    <x v="2"/>
    <n v="0"/>
    <n v="0"/>
    <n v="0"/>
    <n v="0"/>
    <m/>
    <m/>
    <m/>
    <m/>
    <m/>
    <m/>
    <m/>
    <m/>
    <m/>
    <m/>
    <m/>
    <m/>
    <m/>
    <m/>
    <m/>
    <m/>
    <m/>
    <m/>
  </r>
  <r>
    <x v="6"/>
    <x v="27"/>
    <s v="LG.B.364"/>
    <x v="1"/>
    <x v="2"/>
    <s v="Docked to Host Monitor"/>
    <n v="1"/>
    <m/>
    <m/>
    <s v=""/>
    <s v=""/>
    <s v=""/>
    <s v=""/>
    <s v=""/>
    <m/>
    <n v="1"/>
    <s v="Philips"/>
    <x v="2"/>
    <n v="0"/>
    <n v="0"/>
    <n v="0"/>
    <n v="0"/>
    <m/>
    <m/>
    <m/>
    <m/>
    <m/>
    <m/>
    <m/>
    <m/>
    <m/>
    <m/>
    <m/>
    <m/>
    <m/>
    <m/>
    <m/>
    <m/>
    <m/>
    <m/>
  </r>
  <r>
    <x v="6"/>
    <x v="28"/>
    <s v="LG.B.366"/>
    <x v="1"/>
    <x v="2"/>
    <s v="Docked to Host Monitor"/>
    <n v="1"/>
    <m/>
    <m/>
    <s v=""/>
    <s v=""/>
    <s v=""/>
    <s v=""/>
    <s v=""/>
    <m/>
    <n v="1"/>
    <s v="Philips"/>
    <x v="2"/>
    <n v="0"/>
    <n v="0"/>
    <n v="0"/>
    <n v="0"/>
    <m/>
    <m/>
    <m/>
    <m/>
    <m/>
    <m/>
    <m/>
    <m/>
    <m/>
    <m/>
    <m/>
    <m/>
    <m/>
    <m/>
    <m/>
    <m/>
    <m/>
    <m/>
  </r>
  <r>
    <x v="6"/>
    <x v="28"/>
    <s v="LG.B.368"/>
    <x v="1"/>
    <x v="2"/>
    <s v="Docked to Host Monitor"/>
    <n v="1"/>
    <m/>
    <m/>
    <s v=""/>
    <s v=""/>
    <s v=""/>
    <s v=""/>
    <s v=""/>
    <m/>
    <n v="1"/>
    <s v="Philips"/>
    <x v="2"/>
    <n v="0"/>
    <n v="0"/>
    <n v="0"/>
    <n v="0"/>
    <m/>
    <m/>
    <m/>
    <m/>
    <m/>
    <m/>
    <m/>
    <m/>
    <m/>
    <m/>
    <m/>
    <m/>
    <m/>
    <m/>
    <m/>
    <m/>
    <m/>
    <m/>
  </r>
  <r>
    <x v="6"/>
    <x v="28"/>
    <s v="LG.B.371"/>
    <x v="1"/>
    <x v="2"/>
    <s v="Docked to Host Monitor"/>
    <n v="1"/>
    <m/>
    <m/>
    <s v=""/>
    <s v=""/>
    <s v=""/>
    <s v=""/>
    <s v=""/>
    <m/>
    <n v="1"/>
    <s v="Philips"/>
    <x v="2"/>
    <n v="0"/>
    <n v="0"/>
    <n v="0"/>
    <n v="0"/>
    <m/>
    <m/>
    <m/>
    <m/>
    <m/>
    <m/>
    <m/>
    <m/>
    <m/>
    <m/>
    <m/>
    <m/>
    <m/>
    <m/>
    <m/>
    <m/>
    <m/>
    <m/>
  </r>
  <r>
    <x v="6"/>
    <x v="21"/>
    <s v="LG.B.375"/>
    <x v="1"/>
    <x v="2"/>
    <s v="Docked to Host Monitor"/>
    <n v="1"/>
    <m/>
    <m/>
    <s v=""/>
    <s v=""/>
    <s v=""/>
    <s v=""/>
    <s v=""/>
    <m/>
    <n v="1"/>
    <s v="Philips"/>
    <x v="2"/>
    <n v="0"/>
    <n v="0"/>
    <n v="0"/>
    <n v="0"/>
    <m/>
    <m/>
    <m/>
    <m/>
    <m/>
    <m/>
    <m/>
    <m/>
    <m/>
    <m/>
    <m/>
    <m/>
    <m/>
    <m/>
    <m/>
    <m/>
    <m/>
    <m/>
  </r>
  <r>
    <x v="6"/>
    <x v="27"/>
    <s v="LG.B.378"/>
    <x v="1"/>
    <x v="2"/>
    <s v="Docked to Host Monitor"/>
    <n v="1"/>
    <m/>
    <m/>
    <s v=""/>
    <s v=""/>
    <s v=""/>
    <s v=""/>
    <s v=""/>
    <m/>
    <n v="1"/>
    <s v="Philips"/>
    <x v="2"/>
    <n v="0"/>
    <n v="0"/>
    <n v="0"/>
    <n v="0"/>
    <m/>
    <m/>
    <m/>
    <m/>
    <m/>
    <m/>
    <m/>
    <m/>
    <m/>
    <m/>
    <m/>
    <m/>
    <m/>
    <m/>
    <m/>
    <m/>
    <m/>
    <m/>
  </r>
  <r>
    <x v="6"/>
    <x v="27"/>
    <s v="LG.B.380"/>
    <x v="1"/>
    <x v="2"/>
    <s v="Docked to Host Monitor"/>
    <n v="1"/>
    <m/>
    <m/>
    <s v=""/>
    <s v=""/>
    <s v=""/>
    <s v=""/>
    <s v=""/>
    <m/>
    <n v="1"/>
    <s v="Philips"/>
    <x v="2"/>
    <n v="0"/>
    <n v="0"/>
    <n v="0"/>
    <n v="0"/>
    <m/>
    <m/>
    <m/>
    <m/>
    <m/>
    <m/>
    <m/>
    <m/>
    <m/>
    <m/>
    <m/>
    <m/>
    <m/>
    <m/>
    <m/>
    <m/>
    <m/>
    <m/>
  </r>
  <r>
    <x v="6"/>
    <x v="27"/>
    <s v="LG.B.381"/>
    <x v="1"/>
    <x v="2"/>
    <s v="Docked to Host Monitor"/>
    <n v="1"/>
    <m/>
    <m/>
    <s v=""/>
    <s v=""/>
    <s v=""/>
    <s v=""/>
    <s v=""/>
    <m/>
    <n v="1"/>
    <s v="Philips"/>
    <x v="2"/>
    <n v="0"/>
    <n v="0"/>
    <n v="0"/>
    <n v="0"/>
    <m/>
    <m/>
    <m/>
    <m/>
    <m/>
    <m/>
    <m/>
    <m/>
    <m/>
    <m/>
    <m/>
    <m/>
    <m/>
    <m/>
    <m/>
    <m/>
    <m/>
    <m/>
  </r>
  <r>
    <x v="6"/>
    <x v="27"/>
    <s v="LG.B.383"/>
    <x v="1"/>
    <x v="2"/>
    <s v="Docked to Host Monitor"/>
    <n v="1"/>
    <m/>
    <m/>
    <s v=""/>
    <s v=""/>
    <s v=""/>
    <s v=""/>
    <s v=""/>
    <m/>
    <n v="1"/>
    <s v="Philips"/>
    <x v="2"/>
    <n v="0"/>
    <n v="0"/>
    <n v="0"/>
    <n v="0"/>
    <m/>
    <m/>
    <m/>
    <m/>
    <m/>
    <m/>
    <m/>
    <m/>
    <m/>
    <m/>
    <m/>
    <m/>
    <m/>
    <m/>
    <m/>
    <m/>
    <m/>
    <m/>
  </r>
  <r>
    <x v="6"/>
    <x v="27"/>
    <s v="LG.B.384"/>
    <x v="1"/>
    <x v="2"/>
    <s v="Docked to Host Monitor"/>
    <n v="1"/>
    <m/>
    <m/>
    <s v=""/>
    <s v=""/>
    <s v=""/>
    <s v=""/>
    <s v=""/>
    <m/>
    <n v="1"/>
    <s v="Philips"/>
    <x v="2"/>
    <n v="0"/>
    <n v="0"/>
    <n v="0"/>
    <n v="0"/>
    <m/>
    <m/>
    <m/>
    <m/>
    <m/>
    <m/>
    <m/>
    <m/>
    <m/>
    <m/>
    <m/>
    <m/>
    <m/>
    <m/>
    <m/>
    <m/>
    <m/>
    <m/>
  </r>
  <r>
    <x v="6"/>
    <x v="27"/>
    <s v="LG.B.386"/>
    <x v="1"/>
    <x v="2"/>
    <s v="Docked to Host Monitor"/>
    <n v="1"/>
    <m/>
    <m/>
    <s v=""/>
    <s v=""/>
    <s v=""/>
    <s v=""/>
    <s v=""/>
    <m/>
    <n v="1"/>
    <s v="Philips"/>
    <x v="2"/>
    <n v="0"/>
    <n v="0"/>
    <n v="0"/>
    <n v="0"/>
    <m/>
    <m/>
    <m/>
    <m/>
    <m/>
    <m/>
    <m/>
    <m/>
    <m/>
    <m/>
    <m/>
    <m/>
    <m/>
    <m/>
    <m/>
    <m/>
    <m/>
    <m/>
  </r>
  <r>
    <x v="6"/>
    <x v="27"/>
    <s v="LG.B.390"/>
    <x v="1"/>
    <x v="2"/>
    <s v="Docked to Host Monitor"/>
    <n v="1"/>
    <m/>
    <m/>
    <s v=""/>
    <s v=""/>
    <s v=""/>
    <s v=""/>
    <s v=""/>
    <m/>
    <n v="1"/>
    <s v="Philips"/>
    <x v="2"/>
    <n v="0"/>
    <n v="0"/>
    <n v="0"/>
    <n v="0"/>
    <m/>
    <m/>
    <m/>
    <m/>
    <m/>
    <m/>
    <m/>
    <m/>
    <m/>
    <m/>
    <m/>
    <m/>
    <m/>
    <m/>
    <m/>
    <m/>
    <m/>
    <m/>
  </r>
  <r>
    <x v="6"/>
    <x v="27"/>
    <s v="LG.B.391"/>
    <x v="1"/>
    <x v="2"/>
    <s v="Docked to Host Monitor"/>
    <n v="1"/>
    <m/>
    <m/>
    <s v=""/>
    <s v=""/>
    <s v=""/>
    <s v=""/>
    <s v=""/>
    <m/>
    <n v="1"/>
    <s v="Philips"/>
    <x v="2"/>
    <n v="0"/>
    <n v="0"/>
    <n v="0"/>
    <n v="0"/>
    <m/>
    <m/>
    <m/>
    <m/>
    <m/>
    <m/>
    <m/>
    <m/>
    <m/>
    <m/>
    <m/>
    <m/>
    <m/>
    <m/>
    <m/>
    <m/>
    <m/>
    <m/>
  </r>
  <r>
    <x v="6"/>
    <x v="27"/>
    <s v="LG.B.393"/>
    <x v="1"/>
    <x v="2"/>
    <s v="Docked to Host Monitor"/>
    <n v="1"/>
    <m/>
    <m/>
    <s v=""/>
    <s v=""/>
    <s v=""/>
    <s v=""/>
    <s v=""/>
    <m/>
    <n v="1"/>
    <s v="Philips"/>
    <x v="2"/>
    <n v="0"/>
    <n v="0"/>
    <n v="0"/>
    <n v="0"/>
    <m/>
    <m/>
    <m/>
    <m/>
    <m/>
    <m/>
    <m/>
    <m/>
    <m/>
    <m/>
    <m/>
    <m/>
    <m/>
    <m/>
    <m/>
    <m/>
    <m/>
    <m/>
  </r>
  <r>
    <x v="6"/>
    <x v="27"/>
    <s v="LG.B.395"/>
    <x v="1"/>
    <x v="2"/>
    <s v="Docked to Host Monitor"/>
    <n v="1"/>
    <m/>
    <m/>
    <s v=""/>
    <s v=""/>
    <s v=""/>
    <s v=""/>
    <s v=""/>
    <m/>
    <n v="1"/>
    <s v="Philips"/>
    <x v="2"/>
    <n v="0"/>
    <n v="0"/>
    <n v="0"/>
    <n v="0"/>
    <m/>
    <m/>
    <m/>
    <m/>
    <m/>
    <m/>
    <m/>
    <m/>
    <m/>
    <m/>
    <m/>
    <m/>
    <m/>
    <m/>
    <m/>
    <m/>
    <m/>
    <m/>
  </r>
  <r>
    <x v="6"/>
    <x v="27"/>
    <s v="LG.B.402"/>
    <x v="1"/>
    <x v="2"/>
    <s v="Docked to Host Monitor"/>
    <n v="1"/>
    <m/>
    <m/>
    <s v=""/>
    <s v=""/>
    <s v=""/>
    <s v=""/>
    <s v=""/>
    <m/>
    <n v="1"/>
    <s v="Philips"/>
    <x v="2"/>
    <n v="0"/>
    <n v="0"/>
    <n v="0"/>
    <n v="0"/>
    <m/>
    <m/>
    <m/>
    <m/>
    <m/>
    <m/>
    <m/>
    <m/>
    <m/>
    <m/>
    <m/>
    <m/>
    <m/>
    <m/>
    <m/>
    <m/>
    <m/>
    <m/>
  </r>
  <r>
    <x v="6"/>
    <x v="27"/>
    <s v="LG.B.404"/>
    <x v="1"/>
    <x v="2"/>
    <s v="Docked to Host Monitor"/>
    <n v="1"/>
    <m/>
    <m/>
    <s v=""/>
    <s v=""/>
    <s v=""/>
    <s v=""/>
    <s v=""/>
    <m/>
    <n v="1"/>
    <s v="Philips"/>
    <x v="2"/>
    <n v="0"/>
    <n v="0"/>
    <n v="0"/>
    <n v="0"/>
    <m/>
    <m/>
    <m/>
    <m/>
    <m/>
    <m/>
    <m/>
    <m/>
    <m/>
    <m/>
    <m/>
    <m/>
    <m/>
    <m/>
    <m/>
    <m/>
    <m/>
    <m/>
  </r>
  <r>
    <x v="6"/>
    <x v="34"/>
    <s v="LG.B.406"/>
    <x v="1"/>
    <x v="2"/>
    <s v="Docked to Host Monitor"/>
    <n v="1"/>
    <m/>
    <m/>
    <s v=""/>
    <s v=""/>
    <s v=""/>
    <s v=""/>
    <s v=""/>
    <m/>
    <n v="1"/>
    <s v="Philips"/>
    <x v="2"/>
    <n v="0"/>
    <n v="0"/>
    <n v="0"/>
    <n v="0"/>
    <m/>
    <m/>
    <m/>
    <m/>
    <m/>
    <m/>
    <m/>
    <m/>
    <m/>
    <m/>
    <m/>
    <m/>
    <m/>
    <m/>
    <m/>
    <m/>
    <m/>
    <m/>
  </r>
  <r>
    <x v="7"/>
    <x v="0"/>
    <s v="03.A.257"/>
    <x v="0"/>
    <x v="0"/>
    <s v="Mobile (trolley mounted)"/>
    <n v="1"/>
    <m/>
    <s v="002533"/>
    <s v="MONITOR: LOW ACUITY - Mobile"/>
    <s v="WELCH ALLYN"/>
    <s v="42N0B"/>
    <n v="201216029"/>
    <s v="Ward 2 South - Discharge"/>
    <n v="1"/>
    <n v="0"/>
    <s v="Philips"/>
    <x v="0"/>
    <n v="0"/>
    <n v="0"/>
    <n v="0"/>
    <n v="0"/>
    <m/>
    <m/>
    <s v="Compact"/>
    <s v=""/>
    <s v="Adult"/>
    <s v="Finger, Forehead, Ear, Reusable &amp; Disposable"/>
    <s v="Nellcor"/>
    <s v=""/>
    <s v=""/>
    <s v=""/>
    <s v=""/>
    <s v=""/>
    <s v=""/>
    <s v=""/>
    <s v=""/>
    <s v=""/>
    <s v=""/>
    <s v=""/>
  </r>
  <r>
    <x v="7"/>
    <x v="0"/>
    <s v="03.A.257"/>
    <x v="0"/>
    <x v="0"/>
    <s v="Mobile (trolley mounted)"/>
    <n v="1"/>
    <m/>
    <s v="004809"/>
    <s v="MONITOR: LOW ACUITY - Mobile"/>
    <s v="WELCH ALLYN"/>
    <s v="75CT"/>
    <n v="0"/>
    <s v="Ward 3 East "/>
    <n v="1"/>
    <n v="0"/>
    <s v="Philips"/>
    <x v="0"/>
    <n v="0"/>
    <n v="0"/>
    <n v="0"/>
    <n v="0"/>
    <m/>
    <m/>
    <s v="Compact"/>
    <s v=""/>
    <s v="Adult"/>
    <s v="Finger, Forehead, Ear, Reusable &amp; Disposable"/>
    <s v="Nellcor"/>
    <s v=""/>
    <s v=""/>
    <s v=""/>
    <s v=""/>
    <s v=""/>
    <s v=""/>
    <s v=""/>
    <s v=""/>
    <s v=""/>
    <s v=""/>
    <s v=""/>
  </r>
  <r>
    <x v="7"/>
    <x v="0"/>
    <s v="03.A.257"/>
    <x v="0"/>
    <x v="0"/>
    <s v="Mobile (trolley mounted)"/>
    <n v="1"/>
    <m/>
    <s v="004810"/>
    <s v="MONITOR: LOW ACUITY - Mobile"/>
    <s v="WELCH ALLYN"/>
    <s v="75CT"/>
    <n v="0"/>
    <s v="Ward 3 East "/>
    <n v="1"/>
    <n v="0"/>
    <s v="Philips"/>
    <x v="0"/>
    <n v="0"/>
    <n v="0"/>
    <n v="0"/>
    <n v="0"/>
    <m/>
    <m/>
    <s v="Compact"/>
    <s v=""/>
    <s v="Adult"/>
    <s v="Finger, Forehead, Ear, Reusable &amp; Disposable"/>
    <s v="Nellcor"/>
    <s v=""/>
    <s v=""/>
    <s v=""/>
    <s v=""/>
    <s v=""/>
    <s v=""/>
    <s v=""/>
    <s v=""/>
    <s v=""/>
    <s v=""/>
    <s v=""/>
  </r>
  <r>
    <x v="7"/>
    <x v="0"/>
    <s v="03.A.257"/>
    <x v="0"/>
    <x v="0"/>
    <s v="Mobile (trolley mounted)"/>
    <n v="1"/>
    <m/>
    <s v="004811"/>
    <s v="MONITOR: LOW ACUITY - Mobile"/>
    <s v="WELCH ALLYN"/>
    <s v="75CT"/>
    <n v="0"/>
    <s v="Ward 3 East "/>
    <n v="1"/>
    <n v="0"/>
    <s v="Philips"/>
    <x v="0"/>
    <n v="0"/>
    <n v="0"/>
    <n v="0"/>
    <n v="0"/>
    <m/>
    <m/>
    <s v="Compact"/>
    <s v=""/>
    <s v="Adult"/>
    <s v="Finger, Forehead, Ear, Reusable &amp; Disposable"/>
    <s v="Nellcor"/>
    <s v=""/>
    <s v=""/>
    <s v=""/>
    <s v=""/>
    <s v=""/>
    <s v=""/>
    <s v=""/>
    <s v=""/>
    <s v=""/>
    <s v=""/>
    <s v=""/>
  </r>
  <r>
    <x v="7"/>
    <x v="0"/>
    <s v="03.A.257"/>
    <x v="0"/>
    <x v="0"/>
    <s v="Mobile (trolley mounted)"/>
    <n v="1"/>
    <m/>
    <s v="004812"/>
    <s v="MONITOR: LOW ACUITY - Mobile"/>
    <s v="WELCH ALLYN"/>
    <s v="75CT"/>
    <n v="0"/>
    <s v="Ward 3 East "/>
    <n v="1"/>
    <n v="0"/>
    <s v="Philips"/>
    <x v="0"/>
    <n v="0"/>
    <n v="0"/>
    <n v="0"/>
    <n v="0"/>
    <m/>
    <m/>
    <s v="Compact"/>
    <s v=""/>
    <s v="Adult"/>
    <s v="Finger, Forehead, Ear, Reusable &amp; Disposable"/>
    <s v="Nellcor"/>
    <s v=""/>
    <s v=""/>
    <s v=""/>
    <s v=""/>
    <s v=""/>
    <s v=""/>
    <s v=""/>
    <s v=""/>
    <s v=""/>
    <s v=""/>
    <s v=""/>
  </r>
  <r>
    <x v="7"/>
    <x v="0"/>
    <s v="03.A.258"/>
    <x v="0"/>
    <x v="0"/>
    <s v="Mobile (trolley mounted)"/>
    <n v="1"/>
    <m/>
    <s v="004813"/>
    <s v="MONITOR: LOW ACUITY - Mobile"/>
    <s v="WELCH ALLYN"/>
    <s v="75CT"/>
    <n v="0"/>
    <s v="Ward 3 East "/>
    <n v="1"/>
    <n v="0"/>
    <s v="Philips"/>
    <x v="0"/>
    <n v="0"/>
    <n v="0"/>
    <n v="0"/>
    <n v="0"/>
    <m/>
    <m/>
    <s v="Compact"/>
    <s v=""/>
    <s v="Adult"/>
    <s v="Finger, Forehead, Ear, Reusable &amp; Disposable"/>
    <s v="Nellcor"/>
    <s v=""/>
    <s v=""/>
    <s v=""/>
    <s v=""/>
    <s v=""/>
    <s v=""/>
    <s v=""/>
    <s v=""/>
    <s v=""/>
    <s v=""/>
    <s v=""/>
  </r>
  <r>
    <x v="7"/>
    <x v="0"/>
    <s v="03.A.259"/>
    <x v="0"/>
    <x v="0"/>
    <s v="Mobile (trolley mounted)"/>
    <n v="1"/>
    <m/>
    <n v="4865"/>
    <s v="MONITOR: LOW ACUITY - Mobile"/>
    <s v="WELCH ALLYN"/>
    <s v="75CT"/>
    <n v="0"/>
    <s v="Ward 3 East "/>
    <n v="1"/>
    <n v="0"/>
    <s v="Philips"/>
    <x v="0"/>
    <n v="0"/>
    <n v="0"/>
    <n v="0"/>
    <n v="0"/>
    <m/>
    <m/>
    <s v="Compact"/>
    <s v=""/>
    <s v="Adult"/>
    <s v="Finger, Forehead, Ear, Reusable &amp; Disposable"/>
    <s v="Nellcor"/>
    <s v=""/>
    <s v=""/>
    <s v=""/>
    <s v=""/>
    <s v=""/>
    <s v=""/>
    <s v=""/>
    <s v=""/>
    <s v=""/>
    <s v=""/>
    <s v=""/>
  </r>
  <r>
    <x v="7"/>
    <x v="0"/>
    <s v="03.A.260"/>
    <x v="0"/>
    <x v="0"/>
    <s v="Mobile (trolley mounted)"/>
    <n v="1"/>
    <m/>
    <s v="005106"/>
    <s v="MONITOR: LOW ACUITY - Mobile"/>
    <s v="WELCH ALLYN"/>
    <s v="75CT"/>
    <n v="0"/>
    <s v="WARD 2 EAST "/>
    <n v="1"/>
    <n v="0"/>
    <s v="Philips"/>
    <x v="0"/>
    <n v="0"/>
    <n v="0"/>
    <n v="0"/>
    <n v="0"/>
    <m/>
    <m/>
    <s v="Compact"/>
    <s v=""/>
    <s v="Adult"/>
    <s v="Finger, Forehead, Ear, Reusable &amp; Disposable"/>
    <s v="Nellcor"/>
    <s v=""/>
    <s v=""/>
    <s v=""/>
    <s v=""/>
    <s v=""/>
    <s v=""/>
    <s v=""/>
    <s v=""/>
    <s v=""/>
    <s v=""/>
    <s v=""/>
  </r>
  <r>
    <x v="7"/>
    <x v="0"/>
    <s v="03.A.261"/>
    <x v="0"/>
    <x v="0"/>
    <s v="Mobile (trolley mounted)"/>
    <n v="1"/>
    <m/>
    <s v="005107"/>
    <s v="MONITOR: LOW ACUITY - Mobile"/>
    <s v="WELCH ALLYN"/>
    <s v="75CT"/>
    <n v="0"/>
    <s v="WARD 2 EAST "/>
    <n v="1"/>
    <n v="0"/>
    <s v="Philips"/>
    <x v="0"/>
    <n v="0"/>
    <n v="0"/>
    <n v="0"/>
    <n v="0"/>
    <m/>
    <m/>
    <s v="Compact"/>
    <s v=""/>
    <s v="Adult"/>
    <s v="Finger, Forehead, Ear, Reusable &amp; Disposable"/>
    <s v="Nellcor"/>
    <s v=""/>
    <s v=""/>
    <s v=""/>
    <s v=""/>
    <s v=""/>
    <s v=""/>
    <s v=""/>
    <s v=""/>
    <s v=""/>
    <s v=""/>
    <s v=""/>
  </r>
  <r>
    <x v="7"/>
    <x v="34"/>
    <s v="03.A.008"/>
    <x v="1"/>
    <x v="1"/>
    <s v="Fixed (wall)"/>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7"/>
    <x v="34"/>
    <s v="03.A.008"/>
    <x v="1"/>
    <x v="2"/>
    <s v="Docked to Host Monitor"/>
    <n v="1"/>
    <m/>
    <m/>
    <s v=""/>
    <s v=""/>
    <s v=""/>
    <s v=""/>
    <s v=""/>
    <m/>
    <n v="1"/>
    <s v="Philips"/>
    <x v="2"/>
    <n v="0"/>
    <n v="0"/>
    <n v="0"/>
    <n v="0"/>
    <m/>
    <m/>
    <m/>
    <m/>
    <m/>
    <m/>
    <m/>
    <m/>
    <m/>
    <m/>
    <m/>
    <m/>
    <m/>
    <m/>
    <m/>
    <m/>
    <m/>
    <m/>
  </r>
  <r>
    <x v="8"/>
    <x v="10"/>
    <s v="08.B.161"/>
    <x v="1"/>
    <x v="1"/>
    <s v="Wall Mounted"/>
    <n v="1"/>
    <s v="(SN - allocated tranfer from ICU 10/04/24)"/>
    <n v="4821"/>
    <e v="#REF!"/>
    <s v="PHILIPS HEALTHCARE"/>
    <s v="866062 MX450"/>
    <s v="TBA"/>
    <s v="INTENSIVE CARE UNIT"/>
    <n v="0"/>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8"/>
    <x v="10"/>
    <s v="08.B.218"/>
    <x v="1"/>
    <x v="1"/>
    <s v="Wall Mounted"/>
    <n v="1"/>
    <s v="(SN - allocated tranfer from ICU 10/04/24)"/>
    <n v="4822"/>
    <e v="#REF!"/>
    <s v="PHILIPS HEALTHCARE"/>
    <s v="866062 MX450"/>
    <s v="TBA"/>
    <s v="INTENSIVE CARE UNIT"/>
    <n v="0"/>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8"/>
    <x v="10"/>
    <s v="09.B.160"/>
    <x v="1"/>
    <x v="1"/>
    <s v="Wall Mounted"/>
    <n v="1"/>
    <s v="(SN - allocated tranfer from ICU 10/04/24)"/>
    <n v="4823"/>
    <e v="#REF!"/>
    <s v="PHILIPS HEALTHCARE"/>
    <s v="866062 MX450"/>
    <s v="TBA"/>
    <s v="INTENSIVE CARE UNIT"/>
    <n v="0"/>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8"/>
    <x v="10"/>
    <s v="09.B.216"/>
    <x v="1"/>
    <x v="1"/>
    <s v="Wall Mounted"/>
    <n v="1"/>
    <s v="(SN - allocated tranfer from ICU 10/04/24)"/>
    <n v="4824"/>
    <e v="#REF!"/>
    <s v="PHILIPS HEALTHCARE"/>
    <s v="866062 MX450"/>
    <s v="TBA"/>
    <s v="INTENSIVE CARE UNIT"/>
    <n v="0"/>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8"/>
    <x v="10"/>
    <s v="10.B.160"/>
    <x v="1"/>
    <x v="1"/>
    <s v="Wall Mounted"/>
    <n v="1"/>
    <s v="(SN - allocated tranfer from ICU 10/04/24)"/>
    <n v="4825"/>
    <e v="#REF!"/>
    <s v="PHILIPS HEALTHCARE"/>
    <s v="866062 MX450"/>
    <s v="TBA"/>
    <s v="INTENSIVE CARE UNIT"/>
    <n v="0"/>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8"/>
    <x v="10"/>
    <s v="10.B.216"/>
    <x v="1"/>
    <x v="1"/>
    <s v="Wall Mounted"/>
    <n v="1"/>
    <s v="(SN - allocated tranfer from ICU 10/04/24)"/>
    <n v="4826"/>
    <e v="#REF!"/>
    <s v="PHILIPS HEALTHCARE"/>
    <s v="866062 MX450"/>
    <s v="TBA"/>
    <s v="INTENSIVE CARE UNIT"/>
    <n v="0"/>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8"/>
    <x v="10"/>
    <s v="08.B.161"/>
    <x v="1"/>
    <x v="2"/>
    <s v="Docked to Host Monitor"/>
    <n v="1"/>
    <m/>
    <m/>
    <s v=""/>
    <s v=""/>
    <s v=""/>
    <s v=""/>
    <s v=""/>
    <m/>
    <n v="1"/>
    <s v="Philips"/>
    <x v="2"/>
    <n v="0"/>
    <n v="0"/>
    <n v="0"/>
    <n v="0"/>
    <m/>
    <m/>
    <m/>
    <m/>
    <m/>
    <m/>
    <m/>
    <m/>
    <m/>
    <m/>
    <m/>
    <m/>
    <m/>
    <m/>
    <m/>
    <m/>
    <m/>
    <m/>
  </r>
  <r>
    <x v="8"/>
    <x v="10"/>
    <s v="08.B.218"/>
    <x v="1"/>
    <x v="2"/>
    <s v="Docked to Host Monitor"/>
    <n v="1"/>
    <m/>
    <m/>
    <s v=""/>
    <s v=""/>
    <s v=""/>
    <s v=""/>
    <s v=""/>
    <m/>
    <n v="1"/>
    <s v="Philips"/>
    <x v="2"/>
    <n v="0"/>
    <n v="0"/>
    <n v="0"/>
    <n v="0"/>
    <m/>
    <m/>
    <m/>
    <m/>
    <m/>
    <m/>
    <m/>
    <m/>
    <m/>
    <m/>
    <m/>
    <m/>
    <m/>
    <m/>
    <m/>
    <m/>
    <m/>
    <m/>
  </r>
  <r>
    <x v="8"/>
    <x v="10"/>
    <s v="09.B.160"/>
    <x v="1"/>
    <x v="2"/>
    <s v="Docked to Host Monitor"/>
    <n v="1"/>
    <m/>
    <m/>
    <s v=""/>
    <s v=""/>
    <s v=""/>
    <s v=""/>
    <s v=""/>
    <m/>
    <n v="1"/>
    <s v="Philips"/>
    <x v="2"/>
    <n v="0"/>
    <n v="0"/>
    <n v="0"/>
    <n v="0"/>
    <m/>
    <m/>
    <m/>
    <m/>
    <m/>
    <m/>
    <m/>
    <m/>
    <m/>
    <m/>
    <m/>
    <m/>
    <m/>
    <m/>
    <m/>
    <m/>
    <m/>
    <m/>
  </r>
  <r>
    <x v="8"/>
    <x v="10"/>
    <s v="09.B.216"/>
    <x v="1"/>
    <x v="2"/>
    <s v="Docked to Host Monitor"/>
    <n v="1"/>
    <m/>
    <m/>
    <s v=""/>
    <s v=""/>
    <s v=""/>
    <s v=""/>
    <s v=""/>
    <m/>
    <n v="1"/>
    <s v="Philips"/>
    <x v="2"/>
    <n v="0"/>
    <n v="0"/>
    <n v="0"/>
    <n v="0"/>
    <m/>
    <m/>
    <m/>
    <m/>
    <m/>
    <m/>
    <m/>
    <m/>
    <m/>
    <m/>
    <m/>
    <m/>
    <m/>
    <m/>
    <m/>
    <m/>
    <m/>
    <m/>
  </r>
  <r>
    <x v="8"/>
    <x v="10"/>
    <s v="10.B.160"/>
    <x v="1"/>
    <x v="2"/>
    <s v="Docked to Host Monitor"/>
    <n v="1"/>
    <m/>
    <m/>
    <s v=""/>
    <s v=""/>
    <s v=""/>
    <s v=""/>
    <s v=""/>
    <m/>
    <n v="1"/>
    <s v="Philips"/>
    <x v="2"/>
    <n v="0"/>
    <n v="0"/>
    <n v="0"/>
    <n v="0"/>
    <m/>
    <m/>
    <m/>
    <m/>
    <m/>
    <m/>
    <m/>
    <m/>
    <m/>
    <m/>
    <m/>
    <m/>
    <m/>
    <m/>
    <m/>
    <m/>
    <m/>
    <m/>
  </r>
  <r>
    <x v="8"/>
    <x v="10"/>
    <s v="10.B.216"/>
    <x v="1"/>
    <x v="2"/>
    <s v="Docked to Host Monitor"/>
    <n v="1"/>
    <m/>
    <m/>
    <s v=""/>
    <s v=""/>
    <s v=""/>
    <s v=""/>
    <s v=""/>
    <m/>
    <n v="1"/>
    <s v="Philips"/>
    <x v="2"/>
    <n v="0"/>
    <n v="0"/>
    <n v="0"/>
    <n v="0"/>
    <m/>
    <m/>
    <m/>
    <m/>
    <m/>
    <m/>
    <m/>
    <m/>
    <m/>
    <m/>
    <m/>
    <m/>
    <m/>
    <m/>
    <m/>
    <m/>
    <m/>
    <m/>
  </r>
  <r>
    <x v="9"/>
    <x v="6"/>
    <s v="06.B.027"/>
    <x v="2"/>
    <x v="4"/>
    <s v="Underbench Mounted"/>
    <n v="1"/>
    <m/>
    <m/>
    <s v=""/>
    <s v=""/>
    <s v=""/>
    <s v=""/>
    <s v=""/>
    <m/>
    <n v="1"/>
    <s v="Philips"/>
    <x v="4"/>
    <n v="0"/>
    <n v="0"/>
    <n v="0"/>
    <n v="0"/>
    <m/>
    <m/>
    <m/>
    <m/>
    <m/>
    <m/>
    <m/>
    <m/>
    <m/>
    <m/>
    <m/>
    <m/>
    <m/>
    <m/>
    <m/>
    <m/>
    <m/>
    <m/>
  </r>
  <r>
    <x v="9"/>
    <x v="6"/>
    <s v="06.B.129"/>
    <x v="2"/>
    <x v="4"/>
    <s v="Underbench Mounted"/>
    <n v="1"/>
    <m/>
    <m/>
    <s v=""/>
    <s v=""/>
    <s v=""/>
    <s v=""/>
    <s v=""/>
    <m/>
    <n v="1"/>
    <s v="Philips"/>
    <x v="4"/>
    <n v="0"/>
    <n v="0"/>
    <n v="0"/>
    <n v="0"/>
    <m/>
    <m/>
    <m/>
    <m/>
    <m/>
    <m/>
    <m/>
    <m/>
    <m/>
    <m/>
    <m/>
    <m/>
    <m/>
    <m/>
    <m/>
    <m/>
    <m/>
    <m/>
  </r>
  <r>
    <x v="9"/>
    <x v="7"/>
    <s v="06.B.033"/>
    <x v="2"/>
    <x v="5"/>
    <s v="Under Bench"/>
    <n v="1"/>
    <m/>
    <m/>
    <s v=""/>
    <s v=""/>
    <s v=""/>
    <s v=""/>
    <s v=""/>
    <m/>
    <n v="1"/>
    <s v="Philips"/>
    <x v="5"/>
    <n v="0"/>
    <n v="0"/>
    <n v="0"/>
    <n v="0"/>
    <m/>
    <m/>
    <s v="Server - Desktop or Virtual"/>
    <s v="Waveform/data"/>
    <s v=""/>
    <s v=""/>
    <s v="Nellcor"/>
    <s v=""/>
    <s v=""/>
    <s v=""/>
    <s v=""/>
    <s v=""/>
    <s v=""/>
    <s v=""/>
    <s v="A4 Network"/>
    <s v=""/>
    <s v=""/>
    <s v="Yes"/>
  </r>
  <r>
    <x v="9"/>
    <x v="7"/>
    <s v="06.B.133"/>
    <x v="2"/>
    <x v="5"/>
    <s v="Under Bench"/>
    <n v="1"/>
    <m/>
    <m/>
    <s v=""/>
    <s v=""/>
    <s v=""/>
    <s v=""/>
    <s v=""/>
    <m/>
    <n v="1"/>
    <s v="Philips"/>
    <x v="5"/>
    <n v="0"/>
    <n v="0"/>
    <n v="0"/>
    <n v="0"/>
    <m/>
    <m/>
    <s v="Server - Desktop or Virtual"/>
    <s v="Waveform/data"/>
    <s v=""/>
    <s v=""/>
    <s v="Nellcor"/>
    <s v=""/>
    <s v=""/>
    <s v=""/>
    <s v=""/>
    <s v=""/>
    <s v=""/>
    <s v=""/>
    <s v="A4 Network"/>
    <s v=""/>
    <s v=""/>
    <s v="Yes"/>
  </r>
  <r>
    <x v="9"/>
    <x v="36"/>
    <s v="06.B.005"/>
    <x v="3"/>
    <x v="11"/>
    <s v="Pendant Mounted"/>
    <n v="1"/>
    <m/>
    <s v="005021"/>
    <s v="FLEXIBLE MODULE SERVER"/>
    <s v="PHILIPS MEDICAL SYSTEMS AUSTRA"/>
    <s v="Flexible Module Server FMX-4"/>
    <s v="DE61617323"/>
    <s v="ICU FH"/>
    <n v="1"/>
    <n v="0"/>
    <s v="Philips"/>
    <x v="10"/>
    <n v="0"/>
    <n v="0"/>
    <n v="0"/>
    <n v="0"/>
    <m/>
    <m/>
    <m/>
    <m/>
    <m/>
    <m/>
    <m/>
    <m/>
    <m/>
    <m/>
    <m/>
    <m/>
    <m/>
    <m/>
    <m/>
    <m/>
    <m/>
    <m/>
  </r>
  <r>
    <x v="9"/>
    <x v="36"/>
    <s v="06.B.006"/>
    <x v="3"/>
    <x v="11"/>
    <s v="Pendant Mounted"/>
    <n v="1"/>
    <m/>
    <s v="005022"/>
    <s v="FLEXIBLE MODULE SERVER"/>
    <s v="PHILIPS MEDICAL SYSTEMS AUSTRA"/>
    <s v="Flexible Module Server FMX-4"/>
    <s v="DE61617396"/>
    <s v="ICU FH"/>
    <n v="1"/>
    <n v="0"/>
    <s v="Philips"/>
    <x v="10"/>
    <n v="0"/>
    <n v="0"/>
    <n v="0"/>
    <n v="0"/>
    <m/>
    <m/>
    <m/>
    <m/>
    <m/>
    <m/>
    <m/>
    <m/>
    <m/>
    <m/>
    <m/>
    <m/>
    <m/>
    <m/>
    <m/>
    <m/>
    <m/>
    <m/>
  </r>
  <r>
    <x v="9"/>
    <x v="36"/>
    <s v="06.B.008"/>
    <x v="3"/>
    <x v="11"/>
    <s v="Pendant Mounted"/>
    <n v="1"/>
    <m/>
    <s v="005041"/>
    <s v="FLEXIBLE MODULE SERVER"/>
    <s v="PHILIPS MEDICAL SYSTEMS AUSTRA"/>
    <s v="Flexible Module Server FMX-4"/>
    <s v="DE61617350"/>
    <s v="ICU FH"/>
    <n v="1"/>
    <n v="0"/>
    <s v="Philips"/>
    <x v="10"/>
    <n v="0"/>
    <n v="0"/>
    <n v="0"/>
    <n v="0"/>
    <m/>
    <m/>
    <m/>
    <m/>
    <m/>
    <m/>
    <m/>
    <m/>
    <m/>
    <m/>
    <m/>
    <m/>
    <m/>
    <m/>
    <m/>
    <m/>
    <m/>
    <m/>
  </r>
  <r>
    <x v="9"/>
    <x v="37"/>
    <s v="06.B.009"/>
    <x v="3"/>
    <x v="11"/>
    <s v="Pendant Mounted"/>
    <n v="1"/>
    <m/>
    <s v="005042"/>
    <s v="FLEXIBLE MODULE SERVER"/>
    <s v="PHILIPS MEDICAL SYSTEMS AUSTRA"/>
    <s v="Flexible Module Server FMX-4"/>
    <s v="DE61617354"/>
    <s v="ICU FH"/>
    <n v="1"/>
    <n v="0"/>
    <s v="Philips"/>
    <x v="10"/>
    <n v="0"/>
    <n v="0"/>
    <n v="0"/>
    <n v="0"/>
    <m/>
    <m/>
    <m/>
    <m/>
    <m/>
    <m/>
    <m/>
    <m/>
    <m/>
    <m/>
    <m/>
    <m/>
    <m/>
    <m/>
    <m/>
    <m/>
    <m/>
    <m/>
  </r>
  <r>
    <x v="9"/>
    <x v="37"/>
    <s v="06.B.011"/>
    <x v="3"/>
    <x v="11"/>
    <s v="Pendant Mounted"/>
    <n v="1"/>
    <m/>
    <s v="005043"/>
    <s v="FLEXIBLE MODULE SERVER"/>
    <s v="PHILIPS MEDICAL SYSTEMS AUSTRA"/>
    <s v="Flexible Module Server FMX-4"/>
    <s v="DE61617355"/>
    <s v="ICU FH"/>
    <n v="1"/>
    <n v="0"/>
    <s v="Philips"/>
    <x v="10"/>
    <n v="0"/>
    <n v="0"/>
    <n v="0"/>
    <n v="0"/>
    <m/>
    <m/>
    <m/>
    <m/>
    <m/>
    <m/>
    <m/>
    <m/>
    <m/>
    <m/>
    <m/>
    <m/>
    <m/>
    <m/>
    <m/>
    <m/>
    <m/>
    <m/>
  </r>
  <r>
    <x v="9"/>
    <x v="37"/>
    <s v="06.B.013"/>
    <x v="3"/>
    <x v="11"/>
    <s v="Pendant Mounted"/>
    <n v="1"/>
    <m/>
    <s v="005044"/>
    <s v="FLEXIBLE MODULE SERVER"/>
    <s v="PHILIPS MEDICAL SYSTEMS AUSTRA"/>
    <s v="Flexible Module Server FMX-4"/>
    <s v="DE61617397"/>
    <s v="ICU FH"/>
    <n v="1"/>
    <n v="0"/>
    <s v="Philips"/>
    <x v="10"/>
    <n v="0"/>
    <n v="0"/>
    <n v="0"/>
    <n v="0"/>
    <m/>
    <m/>
    <m/>
    <m/>
    <m/>
    <m/>
    <m/>
    <m/>
    <m/>
    <m/>
    <m/>
    <m/>
    <m/>
    <m/>
    <m/>
    <m/>
    <m/>
    <m/>
  </r>
  <r>
    <x v="9"/>
    <x v="37"/>
    <s v="06.B.016"/>
    <x v="3"/>
    <x v="11"/>
    <s v="Pendant Mounted"/>
    <n v="1"/>
    <m/>
    <s v="005045"/>
    <s v="FLEXIBLE MODULE SERVER"/>
    <s v="PHILIPS MEDICAL SYSTEMS AUSTRA"/>
    <s v="Flexible Module Server FMX-4"/>
    <s v="DE61617353"/>
    <s v="ICU FH"/>
    <n v="1"/>
    <n v="0"/>
    <s v="Philips"/>
    <x v="10"/>
    <n v="0"/>
    <n v="0"/>
    <n v="0"/>
    <n v="0"/>
    <m/>
    <m/>
    <m/>
    <m/>
    <m/>
    <m/>
    <m/>
    <m/>
    <m/>
    <m/>
    <m/>
    <m/>
    <m/>
    <m/>
    <m/>
    <m/>
    <m/>
    <m/>
  </r>
  <r>
    <x v="9"/>
    <x v="38"/>
    <s v="06.B.017"/>
    <x v="3"/>
    <x v="11"/>
    <s v="Pendant Mounted"/>
    <n v="1"/>
    <m/>
    <s v="005046"/>
    <s v="FLEXIBLE MODULE SERVER"/>
    <s v="PHILIPS MEDICAL SYSTEMS AUSTRA"/>
    <s v="Flexible Module Server FMX-4"/>
    <s v="DE61617310"/>
    <s v="ICU FH"/>
    <n v="1"/>
    <n v="0"/>
    <s v="Philips"/>
    <x v="10"/>
    <n v="0"/>
    <n v="0"/>
    <n v="0"/>
    <n v="0"/>
    <m/>
    <m/>
    <m/>
    <m/>
    <m/>
    <m/>
    <m/>
    <m/>
    <m/>
    <m/>
    <m/>
    <m/>
    <m/>
    <m/>
    <m/>
    <m/>
    <m/>
    <m/>
  </r>
  <r>
    <x v="9"/>
    <x v="36"/>
    <s v="06.B.019"/>
    <x v="3"/>
    <x v="11"/>
    <s v="Pendant Mounted"/>
    <n v="1"/>
    <m/>
    <s v="005097"/>
    <s v="FLEXIBLE MODULE SERVER"/>
    <s v="PHILIPS MEDICAL SYSTEMS AUSTRA"/>
    <s v="Flexible Module Server FMX-4"/>
    <s v="DE61617391"/>
    <s v="ICU FH"/>
    <n v="1"/>
    <n v="0"/>
    <s v="Philips"/>
    <x v="10"/>
    <n v="0"/>
    <n v="0"/>
    <n v="0"/>
    <n v="0"/>
    <m/>
    <m/>
    <m/>
    <m/>
    <m/>
    <m/>
    <m/>
    <m/>
    <m/>
    <m/>
    <m/>
    <m/>
    <m/>
    <m/>
    <m/>
    <m/>
    <m/>
    <m/>
  </r>
  <r>
    <x v="9"/>
    <x v="36"/>
    <s v="06.B.020"/>
    <x v="3"/>
    <x v="11"/>
    <s v="Pendant Mounted"/>
    <n v="1"/>
    <m/>
    <s v="005048"/>
    <s v="FLEXIBLE MODULE SERVER"/>
    <s v="PHILIPS MEDICAL SYSTEMS AUSTRA"/>
    <s v="Flexible Module Server FMX-4"/>
    <s v="DE61617351"/>
    <s v="ICU FH"/>
    <n v="1"/>
    <n v="0"/>
    <s v="Philips"/>
    <x v="10"/>
    <n v="0"/>
    <n v="0"/>
    <n v="0"/>
    <n v="0"/>
    <m/>
    <m/>
    <m/>
    <m/>
    <m/>
    <m/>
    <m/>
    <m/>
    <m/>
    <m/>
    <m/>
    <m/>
    <m/>
    <m/>
    <m/>
    <m/>
    <m/>
    <m/>
  </r>
  <r>
    <x v="9"/>
    <x v="36"/>
    <s v="06.B.022"/>
    <x v="3"/>
    <x v="11"/>
    <s v="Pendant Mounted"/>
    <n v="1"/>
    <m/>
    <s v="005049"/>
    <s v="FLEXIBLE MODULE SERVER"/>
    <s v="PHILIPS MEDICAL SYSTEMS AUSTRA"/>
    <s v="Flexible Module Server FMX-4"/>
    <s v="DE61617352"/>
    <s v="ICU FH"/>
    <n v="1"/>
    <n v="0"/>
    <s v="Philips"/>
    <x v="10"/>
    <n v="0"/>
    <n v="0"/>
    <n v="0"/>
    <n v="0"/>
    <m/>
    <m/>
    <m/>
    <m/>
    <m/>
    <m/>
    <m/>
    <m/>
    <m/>
    <m/>
    <m/>
    <m/>
    <m/>
    <m/>
    <m/>
    <m/>
    <m/>
    <m/>
  </r>
  <r>
    <x v="9"/>
    <x v="39"/>
    <s v="06.B.100"/>
    <x v="3"/>
    <x v="11"/>
    <s v="Pendant Mounted"/>
    <n v="1"/>
    <m/>
    <s v="005050"/>
    <s v="FLEXIBLE MODULE SERVER"/>
    <s v="PHILIPS MEDICAL SYSTEMS AUSTRA"/>
    <s v="Flexible Module Server FMX-4"/>
    <s v="DE61617313"/>
    <s v="ICU FH"/>
    <n v="1"/>
    <n v="0"/>
    <s v="Philips"/>
    <x v="10"/>
    <n v="0"/>
    <n v="0"/>
    <n v="0"/>
    <n v="0"/>
    <m/>
    <m/>
    <m/>
    <m/>
    <m/>
    <m/>
    <m/>
    <m/>
    <m/>
    <m/>
    <m/>
    <m/>
    <m/>
    <m/>
    <m/>
    <m/>
    <m/>
    <m/>
  </r>
  <r>
    <x v="9"/>
    <x v="39"/>
    <s v="06.B.105"/>
    <x v="3"/>
    <x v="11"/>
    <s v="Pendant Mounted"/>
    <n v="1"/>
    <m/>
    <s v="005051"/>
    <s v="FLEXIBLE MODULE SERVER"/>
    <s v="PHILIPS MEDICAL SYSTEMS AUSTRA"/>
    <s v="Flexible Module Server FMX-4"/>
    <s v="DE61617323"/>
    <s v="ICU FH"/>
    <n v="1"/>
    <n v="0"/>
    <s v="Philips"/>
    <x v="10"/>
    <n v="0"/>
    <n v="0"/>
    <n v="0"/>
    <n v="0"/>
    <m/>
    <m/>
    <m/>
    <m/>
    <m/>
    <m/>
    <m/>
    <m/>
    <m/>
    <m/>
    <m/>
    <m/>
    <m/>
    <m/>
    <m/>
    <m/>
    <m/>
    <m/>
  </r>
  <r>
    <x v="9"/>
    <x v="36"/>
    <s v="06.B.107"/>
    <x v="3"/>
    <x v="11"/>
    <s v="Pendant Mounted"/>
    <n v="1"/>
    <m/>
    <s v="005809"/>
    <s v="MODULE RACK"/>
    <s v="PHILIPS MEDICAL SYSTEMS AUSTRA"/>
    <s v="IntelliVue FMX-4"/>
    <s v="DE61637308"/>
    <s v="ICU expansion"/>
    <n v="1"/>
    <n v="0"/>
    <s v="Philips"/>
    <x v="10"/>
    <n v="0"/>
    <n v="0"/>
    <n v="0"/>
    <n v="0"/>
    <m/>
    <m/>
    <m/>
    <m/>
    <m/>
    <m/>
    <m/>
    <m/>
    <m/>
    <m/>
    <m/>
    <m/>
    <m/>
    <m/>
    <m/>
    <m/>
    <m/>
    <m/>
  </r>
  <r>
    <x v="9"/>
    <x v="36"/>
    <s v="06.B.108"/>
    <x v="3"/>
    <x v="11"/>
    <s v="Pendant Mounted"/>
    <n v="1"/>
    <m/>
    <s v="005810"/>
    <s v="MODULE RACK"/>
    <s v="PHILIPS MEDICAL SYSTEMS AUSTRA"/>
    <s v="IntelliVue FMX-4"/>
    <s v="DE61637299"/>
    <s v="ICU expansion"/>
    <n v="1"/>
    <n v="0"/>
    <s v="Philips"/>
    <x v="10"/>
    <n v="0"/>
    <n v="0"/>
    <n v="0"/>
    <n v="0"/>
    <m/>
    <m/>
    <m/>
    <m/>
    <m/>
    <m/>
    <m/>
    <m/>
    <m/>
    <m/>
    <m/>
    <m/>
    <m/>
    <m/>
    <m/>
    <m/>
    <m/>
    <m/>
  </r>
  <r>
    <x v="9"/>
    <x v="36"/>
    <s v="06.B.109"/>
    <x v="3"/>
    <x v="11"/>
    <s v="Pendant Mounted"/>
    <n v="1"/>
    <m/>
    <s v="005811"/>
    <s v="MODULE RACK"/>
    <s v="PHILIPS MEDICAL SYSTEMS AUSTRA"/>
    <s v="IntelliVue FMX-4"/>
    <s v="DE61637305"/>
    <s v="ICU expansion"/>
    <n v="1"/>
    <n v="0"/>
    <s v="Philips"/>
    <x v="10"/>
    <n v="0"/>
    <n v="0"/>
    <n v="0"/>
    <n v="0"/>
    <m/>
    <m/>
    <m/>
    <m/>
    <m/>
    <m/>
    <m/>
    <m/>
    <m/>
    <m/>
    <m/>
    <m/>
    <m/>
    <m/>
    <m/>
    <m/>
    <m/>
    <m/>
  </r>
  <r>
    <x v="9"/>
    <x v="38"/>
    <s v="06.B.110"/>
    <x v="3"/>
    <x v="11"/>
    <s v="Pendant Mounted"/>
    <n v="1"/>
    <m/>
    <s v="005812"/>
    <s v="MODULE RACK"/>
    <s v="PHILIPS MEDICAL SYSTEMS AUSTRA"/>
    <s v="IntelliVue FMX-4"/>
    <s v="DE61637301"/>
    <s v="ICU expansion"/>
    <n v="1"/>
    <n v="0"/>
    <s v="Philips"/>
    <x v="10"/>
    <n v="0"/>
    <n v="0"/>
    <n v="0"/>
    <n v="0"/>
    <m/>
    <m/>
    <m/>
    <m/>
    <m/>
    <m/>
    <m/>
    <m/>
    <m/>
    <m/>
    <m/>
    <m/>
    <m/>
    <m/>
    <m/>
    <m/>
    <m/>
    <m/>
  </r>
  <r>
    <x v="9"/>
    <x v="36"/>
    <s v="06.B.111"/>
    <x v="3"/>
    <x v="11"/>
    <s v="Pendant Mounted"/>
    <n v="1"/>
    <m/>
    <s v="005813"/>
    <s v="MODULE RACK"/>
    <s v="PHILIPS MEDICAL SYSTEMS AUSTRA"/>
    <s v="IntelliVue FMX-4"/>
    <s v="DE61637307"/>
    <s v="ICU expansion"/>
    <n v="1"/>
    <n v="0"/>
    <s v="Philips"/>
    <x v="10"/>
    <n v="0"/>
    <n v="0"/>
    <n v="0"/>
    <n v="0"/>
    <m/>
    <m/>
    <m/>
    <m/>
    <m/>
    <m/>
    <m/>
    <m/>
    <m/>
    <m/>
    <m/>
    <m/>
    <m/>
    <m/>
    <m/>
    <m/>
    <m/>
    <m/>
  </r>
  <r>
    <x v="9"/>
    <x v="39"/>
    <s v="06.B.113"/>
    <x v="3"/>
    <x v="11"/>
    <s v="Pendant Mounted"/>
    <n v="1"/>
    <m/>
    <m/>
    <s v=""/>
    <s v=""/>
    <s v=""/>
    <s v=""/>
    <s v=""/>
    <m/>
    <n v="1"/>
    <s v="Philips"/>
    <x v="10"/>
    <n v="0"/>
    <n v="0"/>
    <n v="0"/>
    <n v="0"/>
    <m/>
    <m/>
    <m/>
    <m/>
    <m/>
    <m/>
    <m/>
    <m/>
    <m/>
    <m/>
    <m/>
    <m/>
    <m/>
    <m/>
    <m/>
    <m/>
    <m/>
    <m/>
  </r>
  <r>
    <x v="9"/>
    <x v="36"/>
    <s v="06.B.116"/>
    <x v="3"/>
    <x v="11"/>
    <s v="Pendant Mounted"/>
    <n v="1"/>
    <m/>
    <m/>
    <s v=""/>
    <s v=""/>
    <s v=""/>
    <s v=""/>
    <s v=""/>
    <m/>
    <n v="1"/>
    <s v="Philips"/>
    <x v="10"/>
    <n v="0"/>
    <n v="0"/>
    <n v="0"/>
    <n v="0"/>
    <m/>
    <m/>
    <m/>
    <m/>
    <m/>
    <m/>
    <m/>
    <m/>
    <m/>
    <m/>
    <m/>
    <m/>
    <m/>
    <m/>
    <m/>
    <m/>
    <m/>
    <m/>
  </r>
  <r>
    <x v="9"/>
    <x v="36"/>
    <s v="06.B.117"/>
    <x v="3"/>
    <x v="11"/>
    <s v="Pendant Mounted"/>
    <n v="1"/>
    <m/>
    <m/>
    <s v=""/>
    <s v=""/>
    <s v=""/>
    <s v=""/>
    <s v=""/>
    <m/>
    <n v="1"/>
    <s v="Philips"/>
    <x v="10"/>
    <n v="0"/>
    <n v="0"/>
    <n v="0"/>
    <n v="0"/>
    <m/>
    <m/>
    <m/>
    <m/>
    <m/>
    <m/>
    <m/>
    <m/>
    <m/>
    <m/>
    <m/>
    <m/>
    <m/>
    <m/>
    <m/>
    <m/>
    <m/>
    <m/>
  </r>
  <r>
    <x v="9"/>
    <x v="39"/>
    <s v="06.B.118"/>
    <x v="3"/>
    <x v="11"/>
    <s v="Pendant Mounted"/>
    <n v="1"/>
    <m/>
    <m/>
    <s v=""/>
    <s v=""/>
    <s v=""/>
    <s v=""/>
    <s v=""/>
    <m/>
    <n v="1"/>
    <s v="Philips"/>
    <x v="10"/>
    <n v="0"/>
    <n v="0"/>
    <n v="0"/>
    <n v="0"/>
    <m/>
    <m/>
    <m/>
    <m/>
    <m/>
    <m/>
    <m/>
    <m/>
    <m/>
    <m/>
    <m/>
    <m/>
    <m/>
    <m/>
    <m/>
    <m/>
    <m/>
    <m/>
  </r>
  <r>
    <x v="9"/>
    <x v="36"/>
    <s v="06.B.005"/>
    <x v="3"/>
    <x v="14"/>
    <s v="Module"/>
    <n v="1"/>
    <m/>
    <s v="005665"/>
    <s v="MODULE, DEVICE DRIVER"/>
    <s v="PHILIPS MEDICAL SYSTEMS AUSTRA"/>
    <s v="EC5 IntelliBridge Interface Module"/>
    <s v="DE411E8913"/>
    <s v="ICU"/>
    <n v="1"/>
    <n v="0"/>
    <s v="Philips"/>
    <x v="14"/>
    <n v="0"/>
    <n v="0"/>
    <n v="0"/>
    <n v="0"/>
    <m/>
    <m/>
    <m/>
    <m/>
    <m/>
    <m/>
    <m/>
    <m/>
    <m/>
    <m/>
    <m/>
    <m/>
    <m/>
    <m/>
    <m/>
    <m/>
    <m/>
    <m/>
  </r>
  <r>
    <x v="9"/>
    <x v="36"/>
    <s v="06.B.006"/>
    <x v="3"/>
    <x v="14"/>
    <s v="Module"/>
    <n v="1"/>
    <m/>
    <s v="005666"/>
    <s v="MODULE, DEVICE DRIVER"/>
    <s v="PHILIPS MEDICAL SYSTEMS AUSTRA"/>
    <s v="EC5 IntelliBridge Interface Module"/>
    <s v="DE411E8914"/>
    <s v="ICU"/>
    <n v="1"/>
    <n v="0"/>
    <s v="Philips"/>
    <x v="14"/>
    <n v="0"/>
    <n v="0"/>
    <n v="0"/>
    <n v="0"/>
    <m/>
    <m/>
    <m/>
    <m/>
    <m/>
    <m/>
    <m/>
    <m/>
    <m/>
    <m/>
    <m/>
    <m/>
    <m/>
    <m/>
    <m/>
    <m/>
    <m/>
    <m/>
  </r>
  <r>
    <x v="9"/>
    <x v="36"/>
    <s v="06.B.008"/>
    <x v="3"/>
    <x v="14"/>
    <s v="Module"/>
    <n v="1"/>
    <m/>
    <s v="005668"/>
    <s v="MODULE, DEVICE DRIVER"/>
    <s v="PHILIPS MEDICAL SYSTEMS AUSTRA"/>
    <s v="EC5 IntelliBridge Interface Module"/>
    <s v="DE411E8909"/>
    <s v="ICU"/>
    <n v="1"/>
    <n v="0"/>
    <s v="Philips"/>
    <x v="14"/>
    <n v="0"/>
    <n v="0"/>
    <n v="0"/>
    <n v="0"/>
    <m/>
    <m/>
    <m/>
    <m/>
    <m/>
    <m/>
    <m/>
    <m/>
    <m/>
    <m/>
    <m/>
    <m/>
    <m/>
    <m/>
    <m/>
    <m/>
    <m/>
    <m/>
  </r>
  <r>
    <x v="9"/>
    <x v="37"/>
    <s v="06.B.009"/>
    <x v="3"/>
    <x v="14"/>
    <s v="Module"/>
    <n v="1"/>
    <m/>
    <s v="005667"/>
    <s v="MODULE, DEVICE DRIVER"/>
    <s v="PHILIPS MEDICAL SYSTEMS AUSTRA"/>
    <s v="EC5 IntelliBridge Interface Module"/>
    <s v="DE411E8892"/>
    <s v="ICU"/>
    <n v="1"/>
    <n v="0"/>
    <s v="Philips"/>
    <x v="14"/>
    <n v="0"/>
    <n v="0"/>
    <n v="0"/>
    <n v="0"/>
    <m/>
    <m/>
    <m/>
    <m/>
    <m/>
    <m/>
    <m/>
    <m/>
    <m/>
    <m/>
    <m/>
    <m/>
    <m/>
    <m/>
    <m/>
    <m/>
    <m/>
    <m/>
  </r>
  <r>
    <x v="9"/>
    <x v="37"/>
    <s v="06.B.011"/>
    <x v="3"/>
    <x v="14"/>
    <s v="Module"/>
    <n v="1"/>
    <m/>
    <s v="005670"/>
    <s v="MODULE, DEVICE DRIVER"/>
    <s v="PHILIPS MEDICAL SYSTEMS AUSTRA"/>
    <s v="EC5 IntelliBridge Interface Module"/>
    <s v="DE411E8915"/>
    <s v="ICU"/>
    <n v="1"/>
    <n v="0"/>
    <s v="Philips"/>
    <x v="14"/>
    <n v="0"/>
    <n v="0"/>
    <n v="0"/>
    <n v="0"/>
    <m/>
    <m/>
    <m/>
    <m/>
    <m/>
    <m/>
    <m/>
    <m/>
    <m/>
    <m/>
    <m/>
    <m/>
    <m/>
    <m/>
    <m/>
    <m/>
    <m/>
    <m/>
  </r>
  <r>
    <x v="9"/>
    <x v="37"/>
    <s v="06.B.013"/>
    <x v="3"/>
    <x v="14"/>
    <s v="Module"/>
    <n v="1"/>
    <m/>
    <s v="005669"/>
    <s v="MODULE, DEVICE DRIVER"/>
    <s v="PHILIPS MEDICAL SYSTEMS AUSTRA"/>
    <s v="EC5 IntelliBridge Interface Module"/>
    <s v="DE411E8910"/>
    <s v="ICU"/>
    <n v="1"/>
    <n v="0"/>
    <s v="Philips"/>
    <x v="14"/>
    <n v="0"/>
    <n v="0"/>
    <n v="0"/>
    <n v="0"/>
    <m/>
    <m/>
    <m/>
    <m/>
    <m/>
    <m/>
    <m/>
    <m/>
    <m/>
    <m/>
    <m/>
    <m/>
    <m/>
    <m/>
    <m/>
    <m/>
    <m/>
    <m/>
  </r>
  <r>
    <x v="9"/>
    <x v="37"/>
    <s v="06.B.016"/>
    <x v="3"/>
    <x v="14"/>
    <s v="Module"/>
    <n v="1"/>
    <m/>
    <s v="005671"/>
    <s v="MODULE, DEVICE DRIVER"/>
    <s v="PHILIPS MEDICAL SYSTEMS AUSTRA"/>
    <s v="EC5 IntelliBridge Interface Module"/>
    <s v="DE411E8905"/>
    <s v="ICU"/>
    <n v="1"/>
    <n v="0"/>
    <s v="Philips"/>
    <x v="14"/>
    <n v="0"/>
    <n v="0"/>
    <n v="0"/>
    <n v="0"/>
    <m/>
    <m/>
    <m/>
    <m/>
    <m/>
    <m/>
    <m/>
    <m/>
    <m/>
    <m/>
    <m/>
    <m/>
    <m/>
    <m/>
    <m/>
    <m/>
    <m/>
    <m/>
  </r>
  <r>
    <x v="9"/>
    <x v="38"/>
    <s v="06.B.017"/>
    <x v="3"/>
    <x v="14"/>
    <s v="Module"/>
    <n v="1"/>
    <m/>
    <s v="005700"/>
    <s v="MODULE, DEVICE DRIVER"/>
    <s v="PHILIPS MEDICAL SYSTEMS AUSTRA"/>
    <s v="EC5 IntelliBridge Interface Module"/>
    <s v="DE411E8906"/>
    <s v="ICU"/>
    <n v="1"/>
    <n v="0"/>
    <s v="Philips"/>
    <x v="14"/>
    <n v="0"/>
    <n v="0"/>
    <n v="0"/>
    <n v="0"/>
    <m/>
    <m/>
    <m/>
    <m/>
    <m/>
    <m/>
    <m/>
    <m/>
    <m/>
    <m/>
    <m/>
    <m/>
    <m/>
    <m/>
    <m/>
    <m/>
    <m/>
    <m/>
  </r>
  <r>
    <x v="9"/>
    <x v="36"/>
    <s v="06.B.019"/>
    <x v="3"/>
    <x v="14"/>
    <s v="Module"/>
    <n v="1"/>
    <m/>
    <s v="005699"/>
    <s v="MODULE, DEVICE DRIVER"/>
    <s v="PHILIPS MEDICAL SYSTEMS AUSTRA"/>
    <s v="EC5 IntelliBridge Interface Module"/>
    <s v="DE411E8898"/>
    <s v="ICU"/>
    <n v="1"/>
    <n v="0"/>
    <s v="Philips"/>
    <x v="14"/>
    <n v="0"/>
    <n v="0"/>
    <n v="0"/>
    <n v="0"/>
    <m/>
    <m/>
    <m/>
    <m/>
    <m/>
    <m/>
    <m/>
    <m/>
    <m/>
    <m/>
    <m/>
    <m/>
    <m/>
    <m/>
    <m/>
    <m/>
    <m/>
    <m/>
  </r>
  <r>
    <x v="9"/>
    <x v="36"/>
    <s v="06.B.020"/>
    <x v="3"/>
    <x v="14"/>
    <s v="Module"/>
    <n v="1"/>
    <m/>
    <s v="005681"/>
    <s v="MODULE, DEVICE DRIVER"/>
    <s v="PHILIPS MEDICAL SYSTEMS AUSTRA"/>
    <s v="EC5 IntelliBridge Interface Module"/>
    <s v="DE411E8900"/>
    <s v="ICU"/>
    <n v="1"/>
    <n v="0"/>
    <s v="Philips"/>
    <x v="14"/>
    <n v="0"/>
    <n v="0"/>
    <n v="0"/>
    <n v="0"/>
    <m/>
    <m/>
    <m/>
    <m/>
    <m/>
    <m/>
    <m/>
    <m/>
    <m/>
    <m/>
    <m/>
    <m/>
    <m/>
    <m/>
    <m/>
    <m/>
    <m/>
    <m/>
  </r>
  <r>
    <x v="9"/>
    <x v="36"/>
    <s v="06.B.022"/>
    <x v="3"/>
    <x v="14"/>
    <s v="Module"/>
    <n v="1"/>
    <m/>
    <s v="005682"/>
    <s v="MODULE, DEVICE DRIVER"/>
    <s v="PHILIPS MEDICAL SYSTEMS AUSTRA"/>
    <s v="EC5 IntelliBridge Interface Module"/>
    <s v="DE411E8897"/>
    <s v="ICU"/>
    <n v="1"/>
    <n v="0"/>
    <s v="Philips"/>
    <x v="14"/>
    <n v="0"/>
    <n v="0"/>
    <n v="0"/>
    <n v="0"/>
    <m/>
    <m/>
    <m/>
    <m/>
    <m/>
    <m/>
    <m/>
    <m/>
    <m/>
    <m/>
    <m/>
    <m/>
    <m/>
    <m/>
    <m/>
    <m/>
    <m/>
    <m/>
  </r>
  <r>
    <x v="9"/>
    <x v="39"/>
    <s v="06.B.100"/>
    <x v="3"/>
    <x v="14"/>
    <s v="Module"/>
    <n v="1"/>
    <m/>
    <s v="005684"/>
    <s v="MODULE, DEVICE DRIVER"/>
    <s v="PHILIPS MEDICAL SYSTEMS AUSTRA"/>
    <s v="EC5 IntelliBridge Interface Module"/>
    <s v="DE411E8895"/>
    <s v="ICU"/>
    <n v="1"/>
    <n v="0"/>
    <s v="Philips"/>
    <x v="14"/>
    <n v="0"/>
    <n v="0"/>
    <n v="0"/>
    <n v="0"/>
    <m/>
    <m/>
    <m/>
    <m/>
    <m/>
    <m/>
    <m/>
    <m/>
    <m/>
    <m/>
    <m/>
    <m/>
    <m/>
    <m/>
    <m/>
    <m/>
    <m/>
    <m/>
  </r>
  <r>
    <x v="9"/>
    <x v="39"/>
    <s v="06.B.105"/>
    <x v="3"/>
    <x v="14"/>
    <s v="Module"/>
    <n v="1"/>
    <m/>
    <s v="005683"/>
    <s v="MODULE, DEVICE DRIVER"/>
    <s v="PHILIPS MEDICAL SYSTEMS AUSTRA"/>
    <s v="EC5 IntelliBridge Interface Module"/>
    <s v="DE411E8901"/>
    <s v="ICU"/>
    <n v="1"/>
    <n v="0"/>
    <s v="Philips"/>
    <x v="14"/>
    <n v="0"/>
    <n v="0"/>
    <n v="0"/>
    <n v="0"/>
    <m/>
    <m/>
    <m/>
    <m/>
    <m/>
    <m/>
    <m/>
    <m/>
    <m/>
    <m/>
    <m/>
    <m/>
    <m/>
    <m/>
    <m/>
    <m/>
    <m/>
    <m/>
  </r>
  <r>
    <x v="9"/>
    <x v="36"/>
    <s v="06.B.107"/>
    <x v="3"/>
    <x v="14"/>
    <s v="Module"/>
    <n v="1"/>
    <m/>
    <s v="005663"/>
    <s v="MODULE, DEVICE DRIVER"/>
    <s v="PHILIPS MEDICAL SYSTEMS AUSTRA"/>
    <s v="EC5 IntelliBridge Interface Module"/>
    <s v="DE411E8907"/>
    <s v="ICU"/>
    <n v="1"/>
    <n v="0"/>
    <s v="Philips"/>
    <x v="14"/>
    <n v="0"/>
    <n v="0"/>
    <n v="0"/>
    <n v="0"/>
    <m/>
    <m/>
    <m/>
    <m/>
    <m/>
    <m/>
    <m/>
    <m/>
    <m/>
    <m/>
    <m/>
    <m/>
    <m/>
    <m/>
    <m/>
    <m/>
    <m/>
    <m/>
  </r>
  <r>
    <x v="9"/>
    <x v="36"/>
    <s v="06.B.108"/>
    <x v="3"/>
    <x v="14"/>
    <s v="Module"/>
    <n v="1"/>
    <m/>
    <m/>
    <s v=""/>
    <s v=""/>
    <s v=""/>
    <s v=""/>
    <s v=""/>
    <m/>
    <n v="1"/>
    <s v="Philips"/>
    <x v="14"/>
    <n v="0"/>
    <n v="0"/>
    <n v="0"/>
    <n v="0"/>
    <m/>
    <m/>
    <m/>
    <m/>
    <m/>
    <m/>
    <m/>
    <m/>
    <m/>
    <m/>
    <m/>
    <m/>
    <m/>
    <m/>
    <m/>
    <m/>
    <m/>
    <m/>
  </r>
  <r>
    <x v="9"/>
    <x v="36"/>
    <s v="06.B.109"/>
    <x v="3"/>
    <x v="14"/>
    <s v="Module"/>
    <n v="1"/>
    <m/>
    <m/>
    <s v=""/>
    <s v=""/>
    <s v=""/>
    <s v=""/>
    <s v=""/>
    <m/>
    <n v="1"/>
    <s v="Philips"/>
    <x v="14"/>
    <n v="0"/>
    <n v="0"/>
    <n v="0"/>
    <n v="0"/>
    <m/>
    <m/>
    <m/>
    <m/>
    <m/>
    <m/>
    <m/>
    <m/>
    <m/>
    <m/>
    <m/>
    <m/>
    <m/>
    <m/>
    <m/>
    <m/>
    <m/>
    <m/>
  </r>
  <r>
    <x v="9"/>
    <x v="38"/>
    <s v="06.B.110"/>
    <x v="3"/>
    <x v="14"/>
    <s v="Module"/>
    <n v="1"/>
    <m/>
    <m/>
    <s v=""/>
    <s v=""/>
    <s v=""/>
    <s v=""/>
    <s v=""/>
    <m/>
    <n v="1"/>
    <s v="Philips"/>
    <x v="14"/>
    <n v="0"/>
    <n v="0"/>
    <n v="0"/>
    <n v="0"/>
    <m/>
    <m/>
    <m/>
    <m/>
    <m/>
    <m/>
    <m/>
    <m/>
    <m/>
    <m/>
    <m/>
    <m/>
    <m/>
    <m/>
    <m/>
    <m/>
    <m/>
    <m/>
  </r>
  <r>
    <x v="9"/>
    <x v="36"/>
    <s v="06.B.111"/>
    <x v="3"/>
    <x v="14"/>
    <s v="Module"/>
    <n v="1"/>
    <m/>
    <m/>
    <s v=""/>
    <s v=""/>
    <s v=""/>
    <s v=""/>
    <s v=""/>
    <m/>
    <n v="1"/>
    <s v="Philips"/>
    <x v="14"/>
    <n v="0"/>
    <n v="0"/>
    <n v="0"/>
    <n v="0"/>
    <m/>
    <m/>
    <m/>
    <m/>
    <m/>
    <m/>
    <m/>
    <m/>
    <m/>
    <m/>
    <m/>
    <m/>
    <m/>
    <m/>
    <m/>
    <m/>
    <m/>
    <m/>
  </r>
  <r>
    <x v="9"/>
    <x v="39"/>
    <s v="06.B.113"/>
    <x v="3"/>
    <x v="14"/>
    <s v="Module"/>
    <n v="1"/>
    <m/>
    <m/>
    <s v=""/>
    <s v=""/>
    <s v=""/>
    <s v=""/>
    <s v=""/>
    <m/>
    <n v="1"/>
    <s v="Philips"/>
    <x v="14"/>
    <n v="0"/>
    <n v="0"/>
    <n v="0"/>
    <n v="0"/>
    <m/>
    <m/>
    <m/>
    <m/>
    <m/>
    <m/>
    <m/>
    <m/>
    <m/>
    <m/>
    <m/>
    <m/>
    <m/>
    <m/>
    <m/>
    <m/>
    <m/>
    <m/>
  </r>
  <r>
    <x v="9"/>
    <x v="36"/>
    <s v="06.B.116"/>
    <x v="3"/>
    <x v="14"/>
    <s v="Module"/>
    <n v="1"/>
    <m/>
    <m/>
    <s v=""/>
    <s v=""/>
    <s v=""/>
    <s v=""/>
    <s v=""/>
    <m/>
    <n v="1"/>
    <s v="Philips"/>
    <x v="14"/>
    <n v="0"/>
    <n v="0"/>
    <n v="0"/>
    <n v="0"/>
    <m/>
    <m/>
    <m/>
    <m/>
    <m/>
    <m/>
    <m/>
    <m/>
    <m/>
    <m/>
    <m/>
    <m/>
    <m/>
    <m/>
    <m/>
    <m/>
    <m/>
    <m/>
  </r>
  <r>
    <x v="9"/>
    <x v="36"/>
    <s v="06.B.117"/>
    <x v="3"/>
    <x v="14"/>
    <s v="Module"/>
    <n v="1"/>
    <m/>
    <m/>
    <s v=""/>
    <s v=""/>
    <s v=""/>
    <s v=""/>
    <s v=""/>
    <m/>
    <n v="1"/>
    <s v="Philips"/>
    <x v="14"/>
    <n v="0"/>
    <n v="0"/>
    <n v="0"/>
    <n v="0"/>
    <m/>
    <m/>
    <m/>
    <m/>
    <m/>
    <m/>
    <m/>
    <m/>
    <m/>
    <m/>
    <m/>
    <m/>
    <m/>
    <m/>
    <m/>
    <m/>
    <m/>
    <m/>
  </r>
  <r>
    <x v="9"/>
    <x v="39"/>
    <s v="06.B.118"/>
    <x v="3"/>
    <x v="14"/>
    <s v="Module"/>
    <n v="1"/>
    <m/>
    <m/>
    <s v=""/>
    <s v=""/>
    <s v=""/>
    <s v=""/>
    <s v=""/>
    <m/>
    <n v="1"/>
    <s v="Philips"/>
    <x v="14"/>
    <n v="0"/>
    <n v="0"/>
    <n v="0"/>
    <n v="0"/>
    <m/>
    <m/>
    <m/>
    <m/>
    <m/>
    <m/>
    <m/>
    <m/>
    <m/>
    <m/>
    <m/>
    <m/>
    <m/>
    <m/>
    <m/>
    <m/>
    <m/>
    <m/>
  </r>
  <r>
    <x v="9"/>
    <x v="36"/>
    <s v="06.B.005"/>
    <x v="3"/>
    <x v="15"/>
    <s v="Module"/>
    <n v="1"/>
    <m/>
    <s v="005689"/>
    <s v="MODULE, INTERFACE"/>
    <s v="PHILIPS MEDICAL SYSTEMS AUSTRA"/>
    <s v="Intellibridge EC10"/>
    <s v="DE73785558"/>
    <s v="ICU"/>
    <n v="1"/>
    <n v="0"/>
    <s v="Philips"/>
    <x v="15"/>
    <n v="1472"/>
    <n v="0"/>
    <n v="0"/>
    <n v="0"/>
    <m/>
    <m/>
    <m/>
    <m/>
    <m/>
    <m/>
    <m/>
    <m/>
    <m/>
    <m/>
    <m/>
    <m/>
    <m/>
    <m/>
    <m/>
    <m/>
    <m/>
    <m/>
  </r>
  <r>
    <x v="9"/>
    <x v="36"/>
    <s v="06.B.006"/>
    <x v="3"/>
    <x v="15"/>
    <s v="Module"/>
    <n v="1"/>
    <m/>
    <s v="005694"/>
    <s v="MODULE, INTERFACE"/>
    <s v="PHILIPS MEDICAL SYSTEMS AUSTRA"/>
    <s v="Intellibridge EC10"/>
    <s v="DE73785516"/>
    <s v="ICU"/>
    <n v="1"/>
    <n v="0"/>
    <s v="Philips"/>
    <x v="15"/>
    <n v="1472"/>
    <n v="0"/>
    <n v="0"/>
    <n v="0"/>
    <m/>
    <m/>
    <m/>
    <m/>
    <m/>
    <m/>
    <m/>
    <m/>
    <m/>
    <m/>
    <m/>
    <m/>
    <m/>
    <m/>
    <m/>
    <m/>
    <m/>
    <m/>
  </r>
  <r>
    <x v="9"/>
    <x v="36"/>
    <s v="06.B.008"/>
    <x v="3"/>
    <x v="15"/>
    <s v="Module"/>
    <n v="1"/>
    <m/>
    <s v="005688"/>
    <s v="MODULE, INTERFACE"/>
    <s v="PHILIPS MEDICAL SYSTEMS AUSTRA"/>
    <s v="Intellibridge EC10"/>
    <s v="DE73785561"/>
    <s v="ICU"/>
    <n v="1"/>
    <n v="0"/>
    <s v="Philips"/>
    <x v="15"/>
    <n v="1472"/>
    <n v="0"/>
    <n v="0"/>
    <n v="0"/>
    <m/>
    <m/>
    <m/>
    <m/>
    <m/>
    <m/>
    <m/>
    <m/>
    <m/>
    <m/>
    <m/>
    <m/>
    <m/>
    <m/>
    <m/>
    <m/>
    <m/>
    <m/>
  </r>
  <r>
    <x v="9"/>
    <x v="37"/>
    <s v="06.B.009"/>
    <x v="3"/>
    <x v="15"/>
    <s v="Module"/>
    <n v="1"/>
    <m/>
    <s v="005691"/>
    <s v="MODULE, INTERFACE"/>
    <s v="PHILIPS MEDICAL SYSTEMS AUSTRA"/>
    <s v="Intellibridge EC10"/>
    <s v="DE73785592"/>
    <s v="ICU"/>
    <n v="1"/>
    <n v="0"/>
    <s v="Philips"/>
    <x v="15"/>
    <n v="1472"/>
    <n v="0"/>
    <n v="0"/>
    <n v="0"/>
    <m/>
    <m/>
    <m/>
    <m/>
    <m/>
    <m/>
    <m/>
    <m/>
    <m/>
    <m/>
    <m/>
    <m/>
    <m/>
    <m/>
    <m/>
    <m/>
    <m/>
    <m/>
  </r>
  <r>
    <x v="9"/>
    <x v="37"/>
    <s v="06.B.011"/>
    <x v="3"/>
    <x v="15"/>
    <s v="Module"/>
    <n v="1"/>
    <m/>
    <s v="005687"/>
    <s v="MODULE, INTERFACE"/>
    <s v="PHILIPS MEDICAL SYSTEMS AUSTRA"/>
    <s v="Intellibridge EC10"/>
    <s v="DE73785560"/>
    <s v="ICU"/>
    <n v="1"/>
    <n v="0"/>
    <s v="Philips"/>
    <x v="15"/>
    <n v="1472"/>
    <n v="0"/>
    <n v="0"/>
    <n v="0"/>
    <m/>
    <m/>
    <m/>
    <m/>
    <m/>
    <m/>
    <m/>
    <m/>
    <m/>
    <m/>
    <m/>
    <m/>
    <m/>
    <m/>
    <m/>
    <m/>
    <m/>
    <m/>
  </r>
  <r>
    <x v="9"/>
    <x v="37"/>
    <s v="06.B.013"/>
    <x v="3"/>
    <x v="15"/>
    <s v="Module"/>
    <n v="1"/>
    <m/>
    <s v="005690"/>
    <s v="MODULE, INTERFACE"/>
    <s v="PHILIPS MEDICAL SYSTEMS AUSTRA"/>
    <s v="Intellibridge EC10"/>
    <s v="DE73785595"/>
    <s v="ICU"/>
    <n v="1"/>
    <n v="0"/>
    <s v="Philips"/>
    <x v="15"/>
    <n v="1472"/>
    <n v="0"/>
    <n v="0"/>
    <n v="0"/>
    <m/>
    <m/>
    <m/>
    <m/>
    <m/>
    <m/>
    <m/>
    <m/>
    <m/>
    <m/>
    <m/>
    <m/>
    <m/>
    <m/>
    <m/>
    <m/>
    <m/>
    <m/>
  </r>
  <r>
    <x v="9"/>
    <x v="37"/>
    <s v="06.B.016"/>
    <x v="3"/>
    <x v="15"/>
    <s v="Module"/>
    <n v="1"/>
    <m/>
    <s v="005686"/>
    <s v="MODULE, INTERFACE"/>
    <s v="PHILIPS MEDICAL SYSTEMS AUSTRA"/>
    <s v="Intellibridge EC10"/>
    <s v="DE73785554"/>
    <s v="ICU"/>
    <n v="1"/>
    <n v="0"/>
    <s v="Philips"/>
    <x v="15"/>
    <n v="1472"/>
    <n v="0"/>
    <n v="0"/>
    <n v="0"/>
    <m/>
    <m/>
    <m/>
    <m/>
    <m/>
    <m/>
    <m/>
    <m/>
    <m/>
    <m/>
    <m/>
    <m/>
    <m/>
    <m/>
    <m/>
    <m/>
    <m/>
    <m/>
  </r>
  <r>
    <x v="9"/>
    <x v="38"/>
    <s v="06.B.017"/>
    <x v="3"/>
    <x v="15"/>
    <s v="Module"/>
    <n v="1"/>
    <m/>
    <s v="005696"/>
    <s v="MODULE, INTERFACE"/>
    <s v="PHILIPS MEDICAL SYSTEMS AUSTRA"/>
    <s v="Intellibridge EC10"/>
    <s v="DE73785536"/>
    <s v="ICU"/>
    <n v="1"/>
    <n v="0"/>
    <s v="Philips"/>
    <x v="15"/>
    <n v="1472"/>
    <n v="0"/>
    <n v="0"/>
    <n v="0"/>
    <m/>
    <m/>
    <m/>
    <m/>
    <m/>
    <m/>
    <m/>
    <m/>
    <m/>
    <m/>
    <m/>
    <m/>
    <m/>
    <m/>
    <m/>
    <m/>
    <m/>
    <m/>
  </r>
  <r>
    <x v="9"/>
    <x v="36"/>
    <s v="06.B.019"/>
    <x v="3"/>
    <x v="15"/>
    <s v="Module"/>
    <n v="1"/>
    <m/>
    <s v="005695"/>
    <s v="MODULE, INTERFACE"/>
    <s v="PHILIPS MEDICAL SYSTEMS AUSTRA"/>
    <s v="Intellibridge EC10"/>
    <s v="DE73785587"/>
    <s v="ICU"/>
    <n v="1"/>
    <n v="0"/>
    <s v="Philips"/>
    <x v="15"/>
    <n v="1472"/>
    <n v="0"/>
    <n v="0"/>
    <n v="0"/>
    <m/>
    <m/>
    <m/>
    <m/>
    <m/>
    <m/>
    <m/>
    <m/>
    <m/>
    <m/>
    <m/>
    <m/>
    <m/>
    <m/>
    <m/>
    <m/>
    <m/>
    <m/>
  </r>
  <r>
    <x v="9"/>
    <x v="36"/>
    <s v="06.B.020"/>
    <x v="3"/>
    <x v="15"/>
    <s v="Module"/>
    <n v="1"/>
    <m/>
    <s v="005698"/>
    <s v="MODULE, INTERFACE"/>
    <s v="PHILIPS MEDICAL SYSTEMS AUSTRA"/>
    <s v="Intellibridge EC10"/>
    <s v="DE73785523"/>
    <s v="ICU"/>
    <n v="1"/>
    <n v="0"/>
    <s v="Philips"/>
    <x v="15"/>
    <n v="1472"/>
    <n v="0"/>
    <n v="0"/>
    <n v="0"/>
    <m/>
    <m/>
    <m/>
    <m/>
    <m/>
    <m/>
    <m/>
    <m/>
    <m/>
    <m/>
    <m/>
    <m/>
    <m/>
    <m/>
    <m/>
    <m/>
    <m/>
    <m/>
  </r>
  <r>
    <x v="9"/>
    <x v="36"/>
    <s v="06.B.022"/>
    <x v="3"/>
    <x v="15"/>
    <s v="Module"/>
    <n v="1"/>
    <m/>
    <s v="005693"/>
    <s v="MODULE, INTERFACE"/>
    <s v="PHILIPS MEDICAL SYSTEMS AUSTRA"/>
    <s v="Intellibridge EC10"/>
    <s v="DE73785556"/>
    <s v="ICU"/>
    <n v="1"/>
    <n v="0"/>
    <s v="Philips"/>
    <x v="15"/>
    <n v="1472"/>
    <n v="0"/>
    <n v="0"/>
    <n v="0"/>
    <m/>
    <m/>
    <m/>
    <m/>
    <m/>
    <m/>
    <m/>
    <m/>
    <m/>
    <m/>
    <m/>
    <m/>
    <m/>
    <m/>
    <m/>
    <m/>
    <m/>
    <m/>
  </r>
  <r>
    <x v="9"/>
    <x v="39"/>
    <s v="06.B.100"/>
    <x v="3"/>
    <x v="15"/>
    <s v="Module"/>
    <n v="1"/>
    <m/>
    <s v="005685"/>
    <s v="MODULE, INTERFACE"/>
    <s v="PHILIPS MEDICAL SYSTEMS AUSTRA"/>
    <s v="Intellibridge EC10"/>
    <s v="DE73785562"/>
    <s v="ICU"/>
    <n v="1"/>
    <n v="0"/>
    <s v="Philips"/>
    <x v="15"/>
    <n v="1472"/>
    <n v="0"/>
    <n v="0"/>
    <n v="0"/>
    <m/>
    <m/>
    <m/>
    <m/>
    <m/>
    <m/>
    <m/>
    <m/>
    <m/>
    <m/>
    <m/>
    <m/>
    <m/>
    <m/>
    <m/>
    <m/>
    <m/>
    <m/>
  </r>
  <r>
    <x v="9"/>
    <x v="39"/>
    <s v="06.B.105"/>
    <x v="3"/>
    <x v="15"/>
    <s v="Module"/>
    <n v="1"/>
    <m/>
    <s v="005692"/>
    <s v="MODULE, INTERFACE"/>
    <s v="PHILIPS MEDICAL SYSTEMS AUSTRA"/>
    <s v="Intellibridge EC10"/>
    <s v="DE73785557"/>
    <s v="ICU"/>
    <n v="1"/>
    <n v="0"/>
    <s v="Philips"/>
    <x v="15"/>
    <n v="1472"/>
    <n v="0"/>
    <n v="0"/>
    <n v="0"/>
    <m/>
    <m/>
    <m/>
    <m/>
    <m/>
    <m/>
    <m/>
    <m/>
    <m/>
    <m/>
    <m/>
    <m/>
    <m/>
    <m/>
    <m/>
    <m/>
    <m/>
    <m/>
  </r>
  <r>
    <x v="9"/>
    <x v="36"/>
    <s v="06.B.107"/>
    <x v="3"/>
    <x v="15"/>
    <s v="Module"/>
    <n v="1"/>
    <m/>
    <m/>
    <s v=""/>
    <s v=""/>
    <s v=""/>
    <s v=""/>
    <s v=""/>
    <m/>
    <n v="1"/>
    <s v="Philips"/>
    <x v="15"/>
    <n v="1472"/>
    <n v="0"/>
    <n v="0"/>
    <n v="1472"/>
    <m/>
    <m/>
    <m/>
    <m/>
    <m/>
    <m/>
    <m/>
    <m/>
    <m/>
    <m/>
    <m/>
    <m/>
    <m/>
    <m/>
    <m/>
    <m/>
    <m/>
    <m/>
  </r>
  <r>
    <x v="9"/>
    <x v="36"/>
    <s v="06.B.108"/>
    <x v="3"/>
    <x v="15"/>
    <s v="Module"/>
    <n v="1"/>
    <m/>
    <m/>
    <s v=""/>
    <s v=""/>
    <s v=""/>
    <s v=""/>
    <s v=""/>
    <m/>
    <n v="1"/>
    <s v="Philips"/>
    <x v="15"/>
    <n v="1472"/>
    <n v="0"/>
    <n v="0"/>
    <n v="1472"/>
    <m/>
    <m/>
    <m/>
    <m/>
    <m/>
    <m/>
    <m/>
    <m/>
    <m/>
    <m/>
    <m/>
    <m/>
    <m/>
    <m/>
    <m/>
    <m/>
    <m/>
    <m/>
  </r>
  <r>
    <x v="9"/>
    <x v="36"/>
    <s v="06.B.109"/>
    <x v="3"/>
    <x v="15"/>
    <s v="Module"/>
    <n v="1"/>
    <m/>
    <m/>
    <s v=""/>
    <s v=""/>
    <s v=""/>
    <s v=""/>
    <s v=""/>
    <m/>
    <n v="1"/>
    <s v="Philips"/>
    <x v="15"/>
    <n v="1472"/>
    <n v="0"/>
    <n v="0"/>
    <n v="1472"/>
    <m/>
    <m/>
    <m/>
    <m/>
    <m/>
    <m/>
    <m/>
    <m/>
    <m/>
    <m/>
    <m/>
    <m/>
    <m/>
    <m/>
    <m/>
    <m/>
    <m/>
    <m/>
  </r>
  <r>
    <x v="9"/>
    <x v="38"/>
    <s v="06.B.110"/>
    <x v="3"/>
    <x v="15"/>
    <s v="Module"/>
    <n v="1"/>
    <m/>
    <m/>
    <s v=""/>
    <s v=""/>
    <s v=""/>
    <s v=""/>
    <s v=""/>
    <m/>
    <n v="1"/>
    <s v="Philips"/>
    <x v="15"/>
    <n v="1472"/>
    <n v="0"/>
    <n v="0"/>
    <n v="1472"/>
    <m/>
    <m/>
    <m/>
    <m/>
    <m/>
    <m/>
    <m/>
    <m/>
    <m/>
    <m/>
    <m/>
    <m/>
    <m/>
    <m/>
    <m/>
    <m/>
    <m/>
    <m/>
  </r>
  <r>
    <x v="9"/>
    <x v="36"/>
    <s v="06.B.111"/>
    <x v="3"/>
    <x v="15"/>
    <s v="Module"/>
    <n v="1"/>
    <m/>
    <m/>
    <s v=""/>
    <s v=""/>
    <s v=""/>
    <s v=""/>
    <s v=""/>
    <m/>
    <n v="1"/>
    <s v="Philips"/>
    <x v="15"/>
    <n v="1472"/>
    <n v="0"/>
    <n v="0"/>
    <n v="1472"/>
    <m/>
    <m/>
    <m/>
    <m/>
    <m/>
    <m/>
    <m/>
    <m/>
    <m/>
    <m/>
    <m/>
    <m/>
    <m/>
    <m/>
    <m/>
    <m/>
    <m/>
    <m/>
  </r>
  <r>
    <x v="9"/>
    <x v="39"/>
    <s v="06.B.113"/>
    <x v="3"/>
    <x v="15"/>
    <s v="Module"/>
    <n v="1"/>
    <m/>
    <m/>
    <s v=""/>
    <s v=""/>
    <s v=""/>
    <s v=""/>
    <s v=""/>
    <m/>
    <n v="1"/>
    <s v="Philips"/>
    <x v="15"/>
    <n v="1472"/>
    <n v="0"/>
    <n v="0"/>
    <n v="1472"/>
    <m/>
    <m/>
    <m/>
    <m/>
    <m/>
    <m/>
    <m/>
    <m/>
    <m/>
    <m/>
    <m/>
    <m/>
    <m/>
    <m/>
    <m/>
    <m/>
    <m/>
    <m/>
  </r>
  <r>
    <x v="9"/>
    <x v="36"/>
    <s v="06.B.116"/>
    <x v="3"/>
    <x v="15"/>
    <s v="Module"/>
    <n v="1"/>
    <m/>
    <m/>
    <s v=""/>
    <s v=""/>
    <s v=""/>
    <s v=""/>
    <s v=""/>
    <m/>
    <n v="1"/>
    <s v="Philips"/>
    <x v="15"/>
    <n v="1472"/>
    <n v="0"/>
    <n v="0"/>
    <n v="1472"/>
    <m/>
    <m/>
    <m/>
    <m/>
    <m/>
    <m/>
    <m/>
    <m/>
    <m/>
    <m/>
    <m/>
    <m/>
    <m/>
    <m/>
    <m/>
    <m/>
    <m/>
    <m/>
  </r>
  <r>
    <x v="9"/>
    <x v="36"/>
    <s v="06.B.117"/>
    <x v="3"/>
    <x v="15"/>
    <s v="Module"/>
    <n v="1"/>
    <m/>
    <m/>
    <s v=""/>
    <s v=""/>
    <s v=""/>
    <s v=""/>
    <s v=""/>
    <m/>
    <n v="1"/>
    <s v="Philips"/>
    <x v="15"/>
    <n v="1472"/>
    <n v="0"/>
    <n v="0"/>
    <n v="1472"/>
    <m/>
    <m/>
    <m/>
    <m/>
    <m/>
    <m/>
    <m/>
    <m/>
    <m/>
    <m/>
    <m/>
    <m/>
    <m/>
    <m/>
    <m/>
    <m/>
    <m/>
    <m/>
  </r>
  <r>
    <x v="9"/>
    <x v="39"/>
    <s v="06.B.118"/>
    <x v="3"/>
    <x v="15"/>
    <s v="Module"/>
    <n v="1"/>
    <m/>
    <m/>
    <s v=""/>
    <s v=""/>
    <s v=""/>
    <s v=""/>
    <s v=""/>
    <m/>
    <n v="1"/>
    <s v="Philips"/>
    <x v="15"/>
    <n v="1472"/>
    <n v="0"/>
    <n v="0"/>
    <n v="1472"/>
    <m/>
    <m/>
    <m/>
    <m/>
    <m/>
    <m/>
    <m/>
    <m/>
    <m/>
    <m/>
    <m/>
    <m/>
    <m/>
    <m/>
    <m/>
    <m/>
    <m/>
    <m/>
  </r>
  <r>
    <x v="9"/>
    <x v="6"/>
    <s v="06.B.027"/>
    <x v="2"/>
    <x v="6"/>
    <s v="Wall Mounted"/>
    <n v="1"/>
    <m/>
    <m/>
    <s v=""/>
    <s v=""/>
    <s v=""/>
    <s v=""/>
    <s v=""/>
    <m/>
    <n v="1"/>
    <s v="Philips"/>
    <x v="3"/>
    <n v="0"/>
    <n v="0"/>
    <n v="0"/>
    <n v="0"/>
    <m/>
    <m/>
    <m/>
    <m/>
    <m/>
    <m/>
    <m/>
    <m/>
    <m/>
    <m/>
    <m/>
    <m/>
    <m/>
    <m/>
    <m/>
    <m/>
    <m/>
    <m/>
  </r>
  <r>
    <x v="9"/>
    <x v="7"/>
    <s v="06.B.033"/>
    <x v="2"/>
    <x v="6"/>
    <s v="Desktop Mounted"/>
    <n v="1"/>
    <m/>
    <m/>
    <s v=""/>
    <s v=""/>
    <s v=""/>
    <s v=""/>
    <s v=""/>
    <m/>
    <n v="1"/>
    <s v="Philips"/>
    <x v="6"/>
    <n v="0"/>
    <n v="0"/>
    <n v="0"/>
    <n v="0"/>
    <m/>
    <m/>
    <s v="16x Beds per Screen"/>
    <s v=""/>
    <s v=""/>
    <s v=""/>
    <s v=""/>
    <s v=""/>
    <s v=""/>
    <s v=""/>
    <s v=""/>
    <s v=""/>
    <s v=""/>
    <s v=""/>
    <s v=""/>
    <s v=""/>
    <s v=""/>
    <s v="Yes"/>
  </r>
  <r>
    <x v="9"/>
    <x v="7"/>
    <s v="06.B.033"/>
    <x v="2"/>
    <x v="6"/>
    <s v="Desktop Mounted"/>
    <n v="1"/>
    <m/>
    <m/>
    <s v=""/>
    <s v=""/>
    <s v=""/>
    <s v=""/>
    <s v=""/>
    <m/>
    <n v="1"/>
    <s v="Philips"/>
    <x v="6"/>
    <n v="0"/>
    <n v="0"/>
    <n v="0"/>
    <n v="0"/>
    <m/>
    <m/>
    <s v="16x Beds per Screen"/>
    <s v=""/>
    <s v=""/>
    <s v=""/>
    <s v=""/>
    <s v=""/>
    <s v=""/>
    <s v=""/>
    <s v=""/>
    <s v=""/>
    <s v=""/>
    <s v=""/>
    <s v=""/>
    <s v=""/>
    <s v=""/>
    <s v="Yes"/>
  </r>
  <r>
    <x v="9"/>
    <x v="6"/>
    <s v="06.B.129"/>
    <x v="2"/>
    <x v="6"/>
    <s v="Wall Mounted"/>
    <n v="1"/>
    <m/>
    <m/>
    <s v=""/>
    <s v=""/>
    <s v=""/>
    <s v=""/>
    <s v=""/>
    <m/>
    <n v="1"/>
    <s v="Philips"/>
    <x v="3"/>
    <n v="0"/>
    <n v="0"/>
    <n v="0"/>
    <n v="0"/>
    <m/>
    <m/>
    <m/>
    <m/>
    <m/>
    <m/>
    <m/>
    <m/>
    <m/>
    <m/>
    <m/>
    <m/>
    <m/>
    <m/>
    <m/>
    <m/>
    <m/>
    <m/>
  </r>
  <r>
    <x v="9"/>
    <x v="36"/>
    <s v="06.B.005"/>
    <x v="3"/>
    <x v="1"/>
    <s v="Fixed (Pendant)"/>
    <n v="1"/>
    <m/>
    <m/>
    <s v=""/>
    <s v=""/>
    <s v=""/>
    <s v=""/>
    <s v=""/>
    <m/>
    <n v="1"/>
    <s v="Philips"/>
    <x v="7"/>
    <n v="22622"/>
    <n v="1127"/>
    <n v="1127"/>
    <n v="24876"/>
    <m/>
    <m/>
    <s v="Compact &amp; large screen"/>
    <s v="3, 5 &amp; 12 Leads"/>
    <s v="Adult"/>
    <s v="Finger, Forehead, Ear, Reusable &amp; Disposable"/>
    <s v="Nellcor"/>
    <s v=""/>
    <s v=""/>
    <s v=""/>
    <s v=""/>
    <s v="4x IBP"/>
    <s v=""/>
    <s v=""/>
    <s v="A4 Network"/>
    <s v="Provsion only"/>
    <s v="Yes slave high acuity to medical imaging control rooms only"/>
    <s v="Yes"/>
  </r>
  <r>
    <x v="9"/>
    <x v="36"/>
    <s v="06.B.006"/>
    <x v="3"/>
    <x v="1"/>
    <s v="Fixed (Pendant)"/>
    <n v="1"/>
    <m/>
    <m/>
    <s v=""/>
    <s v=""/>
    <s v=""/>
    <s v=""/>
    <s v=""/>
    <m/>
    <n v="1"/>
    <s v="Philips"/>
    <x v="7"/>
    <n v="22622"/>
    <n v="1127"/>
    <n v="1127"/>
    <n v="24876"/>
    <m/>
    <m/>
    <s v="Compact &amp; large screen"/>
    <s v="3, 5 &amp; 12 Leads"/>
    <s v="Adult"/>
    <s v="Finger, Forehead, Ear, Reusable &amp; Disposable"/>
    <s v="Nellcor"/>
    <s v=""/>
    <s v=""/>
    <s v=""/>
    <s v=""/>
    <s v="4x IBP"/>
    <s v=""/>
    <s v=""/>
    <s v="A4 Network"/>
    <s v="Provsion only"/>
    <s v="Yes slave high acuity to medical imaging control rooms only"/>
    <s v="Yes"/>
  </r>
  <r>
    <x v="9"/>
    <x v="36"/>
    <s v="06.B.008"/>
    <x v="3"/>
    <x v="1"/>
    <s v="Fixed (Pendant)"/>
    <n v="1"/>
    <m/>
    <s v="005079"/>
    <s v="MONITORING SYSTEMS, PHYSIOLOGIC"/>
    <s v="PHILIPS MEDICAL SYSTEMS AUSTRA"/>
    <s v="IntelliVue MX750"/>
    <s v="DE71317303"/>
    <s v="ICU FH"/>
    <n v="1"/>
    <n v="0"/>
    <s v="Philips"/>
    <x v="7"/>
    <n v="22622"/>
    <n v="1127"/>
    <n v="1127"/>
    <n v="2254"/>
    <m/>
    <m/>
    <s v="Compact &amp; large screen"/>
    <s v="3, 5 &amp; 12 Leads"/>
    <s v="Adult"/>
    <s v="Finger, Forehead, Ear, Reusable &amp; Disposable"/>
    <s v="Nellcor"/>
    <s v=""/>
    <s v=""/>
    <s v=""/>
    <s v=""/>
    <s v="4x IBP"/>
    <s v=""/>
    <s v=""/>
    <s v="A4 Network"/>
    <s v="Provsion only"/>
    <s v="Yes slave high acuity to medical imaging control rooms only"/>
    <s v="Yes"/>
  </r>
  <r>
    <x v="9"/>
    <x v="37"/>
    <s v="06.B.009"/>
    <x v="3"/>
    <x v="1"/>
    <s v="Fixed (Pendant)"/>
    <n v="1"/>
    <m/>
    <s v="005080"/>
    <s v="MONITORING SYSTEMS, PHYSIOLOGIC"/>
    <s v="PHILIPS MEDICAL SYSTEMS AUSTRA"/>
    <s v="IntelliVue MX750"/>
    <s v="DE71317286"/>
    <s v="ICU FH"/>
    <n v="1"/>
    <n v="0"/>
    <s v="Philips"/>
    <x v="7"/>
    <n v="22622"/>
    <n v="1127"/>
    <n v="1127"/>
    <n v="2254"/>
    <m/>
    <m/>
    <s v="Compact &amp; large screen"/>
    <s v="3, 5 &amp; 12 Leads"/>
    <s v="Adult"/>
    <s v="Finger, Forehead, Ear, Reusable &amp; Disposable"/>
    <s v="Nellcor"/>
    <s v=""/>
    <s v=""/>
    <s v=""/>
    <s v=""/>
    <s v="4x IBP"/>
    <s v=""/>
    <s v=""/>
    <s v="A4 Network"/>
    <s v="Provsion only"/>
    <s v="Yes slave high acuity to medical imaging control rooms only"/>
    <s v="Yes"/>
  </r>
  <r>
    <x v="9"/>
    <x v="37"/>
    <s v="06.B.011"/>
    <x v="3"/>
    <x v="1"/>
    <s v="Fixed (Pendant)"/>
    <n v="1"/>
    <m/>
    <s v="005006"/>
    <s v="MONITORING SYSTEMS, PHYSIOLOGIC"/>
    <s v="PHILIPS MEDICAL SYSTEMS AUSTRA"/>
    <s v="IntelliVue MX750"/>
    <s v="DE71317297"/>
    <s v="ICU FH"/>
    <n v="1"/>
    <n v="0"/>
    <s v="Philips"/>
    <x v="7"/>
    <n v="22622"/>
    <n v="1127"/>
    <n v="1127"/>
    <n v="2254"/>
    <m/>
    <m/>
    <s v="Compact &amp; large screen"/>
    <s v="3, 5 &amp; 12 Leads"/>
    <s v="Adult"/>
    <s v="Finger, Forehead, Ear, Reusable &amp; Disposable"/>
    <s v="Nellcor"/>
    <s v=""/>
    <s v=""/>
    <s v=""/>
    <s v=""/>
    <s v="4x IBP"/>
    <s v=""/>
    <s v=""/>
    <s v="A4 Network"/>
    <s v="Provsion only"/>
    <s v="Yes slave high acuity to medical imaging control rooms only"/>
    <s v="Yes"/>
  </r>
  <r>
    <x v="9"/>
    <x v="37"/>
    <s v="06.B.013"/>
    <x v="3"/>
    <x v="1"/>
    <s v="Fixed (Pendant)"/>
    <n v="1"/>
    <m/>
    <s v="005054"/>
    <s v="MONITORING SYSTEMS, PHYSIOLOGIC"/>
    <s v="PHILIPS MEDICAL SYSTEMS AUSTRA"/>
    <s v="IntelliVue MX750"/>
    <s v="DE71317294"/>
    <s v="ICU FH"/>
    <n v="1"/>
    <n v="0"/>
    <s v="Philips"/>
    <x v="7"/>
    <n v="22622"/>
    <n v="1127"/>
    <n v="1127"/>
    <n v="2254"/>
    <m/>
    <m/>
    <s v="Compact &amp; large screen"/>
    <s v="3, 5 &amp; 12 Leads"/>
    <s v="Adult"/>
    <s v="Finger, Forehead, Ear, Reusable &amp; Disposable"/>
    <s v="Nellcor"/>
    <s v=""/>
    <s v=""/>
    <s v=""/>
    <s v=""/>
    <s v="4x IBP"/>
    <s v=""/>
    <s v=""/>
    <s v="A4 Network"/>
    <s v="Provsion only"/>
    <s v="Yes slave high acuity to medical imaging control rooms only"/>
    <s v="Yes"/>
  </r>
  <r>
    <x v="9"/>
    <x v="37"/>
    <s v="06.B.016"/>
    <x v="3"/>
    <x v="1"/>
    <s v="Fixed (Pendant)"/>
    <n v="1"/>
    <m/>
    <s v="005056"/>
    <s v="MONITORING SYSTEMS, PHYSIOLOGIC"/>
    <s v="PHILIPS MEDICAL SYSTEMS AUSTRA"/>
    <s v="IntelliVue MX750"/>
    <s v="DE71317298"/>
    <s v="ICU FH"/>
    <n v="1"/>
    <n v="0"/>
    <s v="Philips"/>
    <x v="7"/>
    <n v="22622"/>
    <n v="1127"/>
    <n v="1127"/>
    <n v="2254"/>
    <m/>
    <m/>
    <s v="Compact &amp; large screen"/>
    <s v="3, 5 &amp; 12 Leads"/>
    <s v="Adult"/>
    <s v="Finger, Forehead, Ear, Reusable &amp; Disposable"/>
    <s v="Nellcor"/>
    <s v=""/>
    <s v=""/>
    <s v=""/>
    <s v=""/>
    <s v="4x IBP"/>
    <s v=""/>
    <s v=""/>
    <s v="A4 Network"/>
    <s v="Provsion only"/>
    <s v="Yes slave high acuity to medical imaging control rooms only"/>
    <s v="Yes"/>
  </r>
  <r>
    <x v="9"/>
    <x v="38"/>
    <s v="06.B.017"/>
    <x v="3"/>
    <x v="1"/>
    <s v="Fixed (Pendant)"/>
    <n v="1"/>
    <m/>
    <s v="005052"/>
    <s v="MONITORING SYSTEMS, PHYSIOLOGIC"/>
    <s v="PHILIPS MEDICAL SYSTEMS AUSTRA"/>
    <s v="IntelliVue MX750"/>
    <s v="DE71317305"/>
    <s v="ICU FH"/>
    <n v="1"/>
    <n v="0"/>
    <s v="Philips"/>
    <x v="7"/>
    <n v="22622"/>
    <n v="1127"/>
    <n v="1127"/>
    <n v="2254"/>
    <m/>
    <m/>
    <s v="Compact &amp; large screen"/>
    <s v="3, 5 &amp; 12 Leads"/>
    <s v="Adult"/>
    <s v="Finger, Forehead, Ear, Reusable &amp; Disposable"/>
    <s v="Nellcor"/>
    <s v=""/>
    <s v=""/>
    <s v=""/>
    <s v=""/>
    <s v="4x IBP"/>
    <s v=""/>
    <s v=""/>
    <s v="A4 Network"/>
    <s v="Provsion only"/>
    <s v="Yes slave high acuity to medical imaging control rooms only"/>
    <s v="Yes"/>
  </r>
  <r>
    <x v="9"/>
    <x v="36"/>
    <s v="06.B.019"/>
    <x v="3"/>
    <x v="1"/>
    <s v="Fixed (Pendant)"/>
    <n v="1"/>
    <m/>
    <s v="005053"/>
    <s v="MONITORING SYSTEMS, PHYSIOLOGIC"/>
    <s v="PHILIPS MEDICAL SYSTEMS AUSTRA"/>
    <s v="IntelliVue MX750"/>
    <s v="DE71317299"/>
    <s v="ICU FH"/>
    <n v="1"/>
    <n v="0"/>
    <s v="Philips"/>
    <x v="7"/>
    <n v="22622"/>
    <n v="1127"/>
    <n v="1127"/>
    <n v="2254"/>
    <m/>
    <m/>
    <s v="Compact &amp; large screen"/>
    <s v="3, 5 &amp; 12 Leads"/>
    <s v="Adult"/>
    <s v="Finger, Forehead, Ear, Reusable &amp; Disposable"/>
    <s v="Nellcor"/>
    <s v=""/>
    <s v=""/>
    <s v=""/>
    <s v=""/>
    <s v="4x IBP"/>
    <s v=""/>
    <s v=""/>
    <s v="A4 Network"/>
    <s v="Provsion only"/>
    <s v="Yes slave high acuity to medical imaging control rooms only"/>
    <s v="Yes"/>
  </r>
  <r>
    <x v="9"/>
    <x v="36"/>
    <s v="06.B.020"/>
    <x v="3"/>
    <x v="1"/>
    <s v="Fixed (Pendant)"/>
    <n v="1"/>
    <m/>
    <s v="005059"/>
    <s v="MONITORING SYSTEMS, PHYSIOLOGIC"/>
    <s v="PHILIPS MEDICAL SYSTEMS AUSTRA"/>
    <s v="IntelliVue MX750"/>
    <s v="DE71317290"/>
    <s v="ICU FH"/>
    <n v="1"/>
    <n v="0"/>
    <s v="Philips"/>
    <x v="7"/>
    <n v="22622"/>
    <n v="1127"/>
    <n v="1127"/>
    <n v="2254"/>
    <m/>
    <m/>
    <s v="Compact &amp; large screen"/>
    <s v="3, 5 &amp; 12 Leads"/>
    <s v="Adult"/>
    <s v="Finger, Forehead, Ear, Reusable &amp; Disposable"/>
    <s v="Nellcor"/>
    <s v=""/>
    <s v=""/>
    <s v=""/>
    <s v=""/>
    <s v="4x IBP"/>
    <s v=""/>
    <s v=""/>
    <s v="A4 Network"/>
    <s v="Provsion only"/>
    <s v="Yes slave high acuity to medical imaging control rooms only"/>
    <s v="Yes"/>
  </r>
  <r>
    <x v="9"/>
    <x v="36"/>
    <s v="06.B.022"/>
    <x v="3"/>
    <x v="1"/>
    <s v="Fixed (Pendant)"/>
    <n v="1"/>
    <m/>
    <s v="005077"/>
    <s v="MONITORING SYSTEMS, PHYSIOLOGIC"/>
    <s v="PHILIPS MEDICAL SYSTEMS AUSTRA"/>
    <s v="IntelliVue MX750"/>
    <s v="DE71317333"/>
    <s v="ICU FH"/>
    <n v="1"/>
    <n v="0"/>
    <s v="Philips"/>
    <x v="7"/>
    <n v="22622"/>
    <n v="1127"/>
    <n v="1127"/>
    <n v="2254"/>
    <m/>
    <m/>
    <s v="Compact &amp; large screen"/>
    <s v="3, 5 &amp; 12 Leads"/>
    <s v="Adult"/>
    <s v="Finger, Forehead, Ear, Reusable &amp; Disposable"/>
    <s v="Nellcor"/>
    <s v=""/>
    <s v=""/>
    <s v=""/>
    <s v=""/>
    <s v="4x IBP"/>
    <s v=""/>
    <s v=""/>
    <s v="A4 Network"/>
    <s v="Provsion only"/>
    <s v="Yes slave high acuity to medical imaging control rooms only"/>
    <s v="Yes"/>
  </r>
  <r>
    <x v="9"/>
    <x v="39"/>
    <s v="06.B.100"/>
    <x v="3"/>
    <x v="1"/>
    <s v="Fixed (Pendant)"/>
    <n v="1"/>
    <m/>
    <s v="005055"/>
    <s v="MONITORING SYSTEMS, PHYSIOLOGIC"/>
    <s v="PHILIPS MEDICAL SYSTEMS AUSTRA"/>
    <s v="IntelliVue MX750"/>
    <s v="DE71317295"/>
    <s v="ICU FH"/>
    <n v="1"/>
    <n v="0"/>
    <s v="Philips"/>
    <x v="7"/>
    <n v="22622"/>
    <n v="1127"/>
    <n v="1127"/>
    <n v="2254"/>
    <m/>
    <m/>
    <s v="Compact &amp; large screen"/>
    <s v="3, 5 &amp; 12 Leads"/>
    <s v="Adult"/>
    <s v="Finger, Forehead, Ear, Reusable &amp; Disposable"/>
    <s v="Nellcor"/>
    <s v=""/>
    <s v=""/>
    <s v=""/>
    <s v=""/>
    <s v="4x IBP"/>
    <s v=""/>
    <s v=""/>
    <s v="A4 Network"/>
    <s v="Provsion only"/>
    <s v="Yes slave high acuity to medical imaging control rooms only"/>
    <s v="Yes"/>
  </r>
  <r>
    <x v="9"/>
    <x v="39"/>
    <s v="06.B.105"/>
    <x v="3"/>
    <x v="1"/>
    <s v="Fixed (Pendant)"/>
    <n v="1"/>
    <m/>
    <s v="005057"/>
    <s v="MONITORING SYSTEMS, PHYSIOLOGIC"/>
    <s v="PHILIPS MEDICAL SYSTEMS AUSTRA"/>
    <s v="IntelliVue MX750"/>
    <s v="DE71317293"/>
    <s v="ICU FH"/>
    <n v="1"/>
    <n v="0"/>
    <s v="Philips"/>
    <x v="7"/>
    <n v="22622"/>
    <n v="1127"/>
    <n v="1127"/>
    <n v="2254"/>
    <m/>
    <m/>
    <s v="Compact &amp; large screen"/>
    <s v="3, 5 &amp; 12 Leads"/>
    <s v="Adult"/>
    <s v="Finger, Forehead, Ear, Reusable &amp; Disposable"/>
    <s v="Nellcor"/>
    <s v=""/>
    <s v=""/>
    <s v=""/>
    <s v=""/>
    <s v="4x IBP"/>
    <s v=""/>
    <s v=""/>
    <s v="A4 Network"/>
    <s v="Provsion only"/>
    <s v="Yes slave high acuity to medical imaging control rooms only"/>
    <s v="Yes"/>
  </r>
  <r>
    <x v="9"/>
    <x v="36"/>
    <s v="06.B.107"/>
    <x v="3"/>
    <x v="1"/>
    <s v="Fixed (Pendant)"/>
    <n v="1"/>
    <m/>
    <s v="005058"/>
    <s v="MONITORING SYSTEMS, PHYSIOLOGIC"/>
    <s v="PHILIPS MEDICAL SYSTEMS AUSTRA"/>
    <s v="IntelliVue MX750"/>
    <s v="DE71317337"/>
    <s v="ICU FH"/>
    <n v="1"/>
    <n v="0"/>
    <s v="Philips"/>
    <x v="7"/>
    <n v="22622"/>
    <n v="1127"/>
    <n v="1127"/>
    <n v="2254"/>
    <m/>
    <m/>
    <s v="Compact &amp; large screen"/>
    <s v="3, 5 &amp; 12 Leads"/>
    <s v="Adult"/>
    <s v="Finger, Forehead, Ear, Reusable &amp; Disposable"/>
    <s v="Nellcor"/>
    <s v=""/>
    <s v=""/>
    <s v=""/>
    <s v=""/>
    <s v="4x IBP"/>
    <s v=""/>
    <s v=""/>
    <s v="A4 Network"/>
    <s v="Provsion only"/>
    <s v="Yes slave high acuity to medical imaging control rooms only"/>
    <s v="Yes"/>
  </r>
  <r>
    <x v="9"/>
    <x v="36"/>
    <s v="06.B.108"/>
    <x v="3"/>
    <x v="1"/>
    <s v="Fixed (Pendant)"/>
    <n v="1"/>
    <m/>
    <s v="005078"/>
    <s v="MONITORING SYSTEMS, PHYSIOLOGIC"/>
    <s v="PHILIPS MEDICAL SYSTEMS AUSTRA"/>
    <s v="IntelliVue MX750"/>
    <s v="DE71317296"/>
    <s v="ICU FH"/>
    <n v="1"/>
    <n v="0"/>
    <s v="Philips"/>
    <x v="7"/>
    <n v="22622"/>
    <n v="1127"/>
    <n v="1127"/>
    <n v="2254"/>
    <m/>
    <m/>
    <s v="Compact &amp; large screen"/>
    <s v="3, 5 &amp; 12 Leads"/>
    <s v="Adult"/>
    <s v="Finger, Forehead, Ear, Reusable &amp; Disposable"/>
    <s v="Nellcor"/>
    <s v=""/>
    <s v=""/>
    <s v=""/>
    <s v=""/>
    <s v="4x IBP"/>
    <s v=""/>
    <s v=""/>
    <s v="A4 Network"/>
    <s v="Provsion only"/>
    <s v="Yes slave high acuity to medical imaging control rooms only"/>
    <s v="Yes"/>
  </r>
  <r>
    <x v="9"/>
    <x v="36"/>
    <s v="06.B.109"/>
    <x v="3"/>
    <x v="1"/>
    <s v="Fixed (Pendant)"/>
    <n v="1"/>
    <m/>
    <s v="005060"/>
    <s v="MONITORING SYSTEMS, PHYSIOLOGIC"/>
    <s v="PHILIPS MEDICAL SYSTEMS AUSTRA"/>
    <s v="IntelliVue MX750"/>
    <s v="DE71317302"/>
    <s v="ICU FH"/>
    <n v="1"/>
    <n v="0"/>
    <s v="Philips"/>
    <x v="7"/>
    <n v="22622"/>
    <n v="1127"/>
    <n v="1127"/>
    <n v="2254"/>
    <m/>
    <m/>
    <s v="Compact &amp; large screen"/>
    <s v="3, 5 &amp; 12 Leads"/>
    <s v="Adult"/>
    <s v="Finger, Forehead, Ear, Reusable &amp; Disposable"/>
    <s v="Nellcor"/>
    <s v=""/>
    <s v=""/>
    <s v=""/>
    <s v=""/>
    <s v="4x IBP"/>
    <s v=""/>
    <s v=""/>
    <s v="A4 Network"/>
    <s v="Provsion only"/>
    <s v="Yes slave high acuity to medical imaging control rooms only"/>
    <s v="Yes"/>
  </r>
  <r>
    <x v="9"/>
    <x v="38"/>
    <s v="06.B.110"/>
    <x v="3"/>
    <x v="1"/>
    <s v="Fixed (Pendant)"/>
    <n v="1"/>
    <m/>
    <s v="005803"/>
    <s v="MONITORING SYSTEMS, PHYSIOLOGIC"/>
    <s v="PHILIPS MEDICAL SYSTEMS AUSTRA"/>
    <s v="IntelliVue MX750"/>
    <s v="DE71334249"/>
    <s v="ICU expansion"/>
    <n v="1"/>
    <n v="0"/>
    <s v="Philips"/>
    <x v="7"/>
    <n v="22622"/>
    <n v="1127"/>
    <n v="1127"/>
    <n v="2254"/>
    <m/>
    <m/>
    <s v="Compact &amp; large screen"/>
    <s v="3, 5 &amp; 12 Leads"/>
    <s v="Adult"/>
    <s v="Finger, Forehead, Ear, Reusable &amp; Disposable"/>
    <s v="Nellcor"/>
    <s v=""/>
    <s v=""/>
    <s v=""/>
    <s v=""/>
    <s v="4x IBP"/>
    <s v=""/>
    <s v=""/>
    <s v="A4 Network"/>
    <s v="Provsion only"/>
    <s v="Yes slave high acuity to medical imaging control rooms only"/>
    <s v="Yes"/>
  </r>
  <r>
    <x v="9"/>
    <x v="36"/>
    <s v="06.B.111"/>
    <x v="3"/>
    <x v="1"/>
    <s v="Fixed (Pendant)"/>
    <n v="1"/>
    <m/>
    <s v="005804"/>
    <s v="MONITORING SYSTEMS, PHYSIOLOGIC"/>
    <s v="PHILIPS MEDICAL SYSTEMS AUSTRA"/>
    <s v="IntelliVue MX750"/>
    <s v="DE71334254"/>
    <s v="ICU expansion"/>
    <n v="1"/>
    <n v="0"/>
    <s v="Philips"/>
    <x v="7"/>
    <n v="22622"/>
    <n v="1127"/>
    <n v="1127"/>
    <n v="2254"/>
    <m/>
    <m/>
    <s v="Compact &amp; large screen"/>
    <s v="3, 5 &amp; 12 Leads"/>
    <s v="Adult"/>
    <s v="Finger, Forehead, Ear, Reusable &amp; Disposable"/>
    <s v="Nellcor"/>
    <s v=""/>
    <s v=""/>
    <s v=""/>
    <s v=""/>
    <s v="4x IBP"/>
    <s v=""/>
    <s v=""/>
    <s v="A4 Network"/>
    <s v="Provsion only"/>
    <s v="Yes slave high acuity to medical imaging control rooms only"/>
    <s v="Yes"/>
  </r>
  <r>
    <x v="9"/>
    <x v="39"/>
    <s v="06.B.113"/>
    <x v="3"/>
    <x v="1"/>
    <s v="Fixed (Pendant)"/>
    <n v="1"/>
    <m/>
    <s v="005805"/>
    <s v="MONITORING SYSTEMS, PHYSIOLOGIC"/>
    <s v="PHILIPS MEDICAL SYSTEMS AUSTRA"/>
    <s v="IntelliVue MX750"/>
    <s v="DE71334247"/>
    <s v="ICU expansion"/>
    <n v="1"/>
    <n v="0"/>
    <s v="Philips"/>
    <x v="7"/>
    <n v="22622"/>
    <n v="1127"/>
    <n v="1127"/>
    <n v="2254"/>
    <m/>
    <m/>
    <s v="Compact &amp; large screen"/>
    <s v="3, 5 &amp; 12 Leads"/>
    <s v="Adult"/>
    <s v="Finger, Forehead, Ear, Reusable &amp; Disposable"/>
    <s v="Nellcor"/>
    <s v=""/>
    <s v=""/>
    <s v=""/>
    <s v=""/>
    <s v="4x IBP"/>
    <s v=""/>
    <s v=""/>
    <s v="A4 Network"/>
    <s v="Provsion only"/>
    <s v="Yes slave high acuity to medical imaging control rooms only"/>
    <s v="Yes"/>
  </r>
  <r>
    <x v="9"/>
    <x v="36"/>
    <s v="06.B.116"/>
    <x v="3"/>
    <x v="1"/>
    <s v="Fixed (Pendant)"/>
    <n v="1"/>
    <m/>
    <s v="005806"/>
    <s v="MONITORING SYSTEMS, PHYSIOLOGIC"/>
    <s v="PHILIPS MEDICAL SYSTEMS AUSTRA"/>
    <s v="IntelliVue MX750"/>
    <s v="DE71334245"/>
    <s v="ICU expansion"/>
    <n v="1"/>
    <n v="0"/>
    <s v="Philips"/>
    <x v="7"/>
    <n v="22622"/>
    <n v="1127"/>
    <n v="1127"/>
    <n v="2254"/>
    <m/>
    <m/>
    <s v="Compact &amp; large screen"/>
    <s v="3, 5 &amp; 12 Leads"/>
    <s v="Adult"/>
    <s v="Finger, Forehead, Ear, Reusable &amp; Disposable"/>
    <s v="Nellcor"/>
    <s v=""/>
    <s v=""/>
    <s v=""/>
    <s v=""/>
    <s v="4x IBP"/>
    <s v=""/>
    <s v=""/>
    <s v="A4 Network"/>
    <s v="Provsion only"/>
    <s v="Yes slave high acuity to medical imaging control rooms only"/>
    <s v="Yes"/>
  </r>
  <r>
    <x v="9"/>
    <x v="36"/>
    <s v="06.B.117"/>
    <x v="3"/>
    <x v="1"/>
    <s v="Fixed (Pendant)"/>
    <n v="1"/>
    <m/>
    <s v="005807"/>
    <s v="MONITORING SYSTEMS, PHYSIOLOGIC"/>
    <s v="PHILIPS MEDICAL SYSTEMS AUSTRA"/>
    <s v="IntelliVue MX750"/>
    <s v="DE71334250"/>
    <s v="ICU expansion"/>
    <n v="1"/>
    <n v="0"/>
    <s v="Philips"/>
    <x v="7"/>
    <n v="22622"/>
    <n v="1127"/>
    <n v="1127"/>
    <n v="2254"/>
    <m/>
    <m/>
    <s v="Compact &amp; large screen"/>
    <s v="3, 5 &amp; 12 Leads"/>
    <s v="Adult"/>
    <s v="Finger, Forehead, Ear, Reusable &amp; Disposable"/>
    <s v="Nellcor"/>
    <s v=""/>
    <s v=""/>
    <s v=""/>
    <s v=""/>
    <s v="4x IBP"/>
    <s v=""/>
    <s v=""/>
    <s v="A4 Network"/>
    <s v="Provsion only"/>
    <s v="Yes slave high acuity to medical imaging control rooms only"/>
    <s v="Yes"/>
  </r>
  <r>
    <x v="9"/>
    <x v="39"/>
    <s v="06.B.118"/>
    <x v="3"/>
    <x v="1"/>
    <s v="Fixed (Pendant)"/>
    <n v="1"/>
    <m/>
    <s v="005808"/>
    <s v="MONITORING SYSTEMS, PHYSIOLOGIC"/>
    <s v="PHILIPS MEDICAL SYSTEMS AUSTRA"/>
    <s v="IntelliVue MX750"/>
    <s v="DE71334253"/>
    <s v="ICU expansion"/>
    <n v="1"/>
    <n v="0"/>
    <s v="Philips"/>
    <x v="7"/>
    <n v="22622"/>
    <n v="1127"/>
    <n v="1127"/>
    <n v="2254"/>
    <m/>
    <m/>
    <s v="Compact &amp; large screen"/>
    <s v="3, 5 &amp; 12 Leads"/>
    <s v="Adult"/>
    <s v="Finger, Forehead, Ear, Reusable &amp; Disposable"/>
    <s v="Nellcor"/>
    <s v=""/>
    <s v=""/>
    <s v=""/>
    <s v=""/>
    <s v="4x IBP"/>
    <s v=""/>
    <s v=""/>
    <s v="A4 Network"/>
    <s v="Provsion only"/>
    <s v="Yes slave high acuity to medical imaging control rooms only"/>
    <s v="Yes"/>
  </r>
  <r>
    <x v="9"/>
    <x v="0"/>
    <s v="06.B.145"/>
    <x v="1"/>
    <x v="13"/>
    <s v="Transport (freestanding, docking or rail hook)"/>
    <n v="1"/>
    <m/>
    <s v="005036"/>
    <s v="MULTI-PARAMETERS MODULE, PHYSIOLOGICAL"/>
    <s v="PHILIPS MEDICAL SYSTEMS AUSTRA"/>
    <s v="IntelliVue X3"/>
    <s v="DE694H5724"/>
    <s v="ICU FH"/>
    <n v="1"/>
    <n v="0"/>
    <s v="Philips"/>
    <x v="2"/>
    <n v="0"/>
    <n v="0"/>
    <n v="0"/>
    <n v="0"/>
    <m/>
    <m/>
    <s v="Compact &amp; medium screen"/>
    <s v="3, 5 &amp; 12 Leads"/>
    <s v="Adult"/>
    <s v="Finger, Forehead, Ear, Reusable &amp; Disposable"/>
    <s v="Nellcor"/>
    <s v=""/>
    <s v=""/>
    <s v=""/>
    <s v=""/>
    <s v="2x IBP channel provision only"/>
    <s v=""/>
    <s v=""/>
    <s v="A4 Network"/>
    <s v="Provsion only"/>
    <s v=""/>
    <s v="Yes"/>
  </r>
  <r>
    <x v="9"/>
    <x v="0"/>
    <s v="06.B.145"/>
    <x v="1"/>
    <x v="13"/>
    <s v="Transport (freestanding, docking or rail hook)"/>
    <n v="1"/>
    <m/>
    <s v="005037"/>
    <s v="MULTI-PARAMETERS MODULE, PHYSIOLOGICAL"/>
    <s v="PHILIPS MEDICAL SYSTEMS AUSTRA"/>
    <s v="IntelliVue X3"/>
    <s v="DE694H5708"/>
    <s v="ICU FH"/>
    <n v="1"/>
    <n v="0"/>
    <s v="Philips"/>
    <x v="2"/>
    <n v="0"/>
    <n v="0"/>
    <n v="0"/>
    <n v="0"/>
    <m/>
    <m/>
    <s v="Compact &amp; medium screen"/>
    <s v="3, 5 &amp; 12 Leads"/>
    <s v="Adult"/>
    <s v="Finger, Forehead, Ear, Reusable &amp; Disposable"/>
    <s v="Nellcor"/>
    <s v=""/>
    <s v=""/>
    <s v=""/>
    <s v=""/>
    <s v="2x IBP channel provision only"/>
    <s v=""/>
    <s v=""/>
    <s v="A4 Network"/>
    <s v="Provsion only"/>
    <s v=""/>
    <s v="Yes"/>
  </r>
  <r>
    <x v="9"/>
    <x v="0"/>
    <s v="06.B.145"/>
    <x v="1"/>
    <x v="13"/>
    <s v="Transport (freestanding, docking or rail hook)"/>
    <n v="1"/>
    <m/>
    <s v="005038"/>
    <s v="MULTI-PARAMETERS MODULE, PHYSIOLOGICAL"/>
    <s v="PHILIPS MEDICAL SYSTEMS AUSTRA"/>
    <s v="IntelliVue X3"/>
    <s v="DE694H5710"/>
    <s v="ICU FH"/>
    <n v="1"/>
    <n v="0"/>
    <s v="Philips"/>
    <x v="2"/>
    <n v="0"/>
    <n v="0"/>
    <n v="0"/>
    <n v="0"/>
    <m/>
    <m/>
    <s v="Compact &amp; medium screen"/>
    <s v="3, 5 &amp; 12 Leads"/>
    <s v="Adult"/>
    <s v="Finger, Forehead, Ear, Reusable &amp; Disposable"/>
    <s v="Nellcor"/>
    <s v=""/>
    <s v=""/>
    <s v=""/>
    <s v=""/>
    <s v="2x IBP channel provision only"/>
    <s v=""/>
    <s v=""/>
    <s v="A4 Network"/>
    <s v="Provsion only"/>
    <s v=""/>
    <s v="Yes"/>
  </r>
  <r>
    <x v="9"/>
    <x v="0"/>
    <s v="06.B.145"/>
    <x v="1"/>
    <x v="13"/>
    <s v="Transport (freestanding, docking or rail hook)"/>
    <n v="1"/>
    <m/>
    <s v="005039"/>
    <s v="MULTI-PARAMETERS MODULE, PHYSIOLOGICAL"/>
    <s v="PHILIPS MEDICAL SYSTEMS AUSTRA"/>
    <s v="IntelliVue X3"/>
    <s v="DE694H5783"/>
    <s v="ICU FH"/>
    <n v="1"/>
    <n v="0"/>
    <s v="Philips"/>
    <x v="2"/>
    <n v="0"/>
    <n v="0"/>
    <n v="0"/>
    <n v="0"/>
    <m/>
    <m/>
    <s v="Compact &amp; medium screen"/>
    <s v="3, 5 &amp; 12 Leads"/>
    <s v="Adult"/>
    <s v="Finger, Forehead, Ear, Reusable &amp; Disposable"/>
    <s v="Nellcor"/>
    <s v=""/>
    <s v=""/>
    <s v=""/>
    <s v=""/>
    <s v="2x IBP channel provision only"/>
    <s v=""/>
    <s v=""/>
    <s v="A4 Network"/>
    <s v="Provsion only"/>
    <s v=""/>
    <s v="Yes"/>
  </r>
  <r>
    <x v="9"/>
    <x v="0"/>
    <s v="06.B.145"/>
    <x v="5"/>
    <x v="16"/>
    <s v="Machine Mounted - ANAESTHETIC"/>
    <n v="1"/>
    <m/>
    <m/>
    <s v=""/>
    <s v=""/>
    <s v=""/>
    <s v=""/>
    <s v=""/>
    <m/>
    <n v="1"/>
    <s v="NA"/>
    <x v="16"/>
    <s v="0"/>
    <s v="0"/>
    <s v="0"/>
    <n v="0"/>
    <m/>
    <m/>
    <s v="Compact &amp; large screen"/>
    <s v="3, 5 &amp; 12 Leads"/>
    <s v="Adult"/>
    <s v="Finger, Forehead, Ear, Reusable &amp; Disposable"/>
    <s v="Nellcor"/>
    <s v="Yes"/>
    <s v="Bilateral BIS, NM &amp; TOF"/>
    <s v="side/microstream"/>
    <s v=""/>
    <s v="4x IBP"/>
    <s v=""/>
    <s v=""/>
    <s v="A4 Network"/>
    <s v=""/>
    <s v="yes slave high acuity to induction room with Airway parameters"/>
    <s v="Yes"/>
  </r>
  <r>
    <x v="9"/>
    <x v="0"/>
    <s v="06.B.145"/>
    <x v="3"/>
    <x v="17"/>
    <s v="Module"/>
    <n v="1"/>
    <m/>
    <s v="006404"/>
    <s v="CCO/CO MODULE, PHYSIOLOGICAL"/>
    <s v="PHILIPS MEDICAL SYSTEMS AUSTRA"/>
    <s v="Philips M1012A Cardiac Output Module"/>
    <s v="3805G33698"/>
    <s v="ICU WESTERN HOSPITAL"/>
    <s v="1"/>
    <n v="0"/>
    <s v="Philips"/>
    <x v="17"/>
    <n v="3784"/>
    <n v="0"/>
    <n v="0"/>
    <n v="0"/>
    <m/>
    <m/>
    <m/>
    <m/>
    <m/>
    <m/>
    <m/>
    <m/>
    <m/>
    <m/>
    <m/>
    <m/>
    <m/>
    <m/>
    <m/>
    <m/>
    <m/>
    <m/>
  </r>
  <r>
    <x v="9"/>
    <x v="0"/>
    <s v="06.B.145"/>
    <x v="3"/>
    <x v="17"/>
    <s v="Module"/>
    <n v="1"/>
    <m/>
    <s v="000220"/>
    <s v="CCO/CO MODULE, PHYSIOLOGICAL"/>
    <s v="PHILIPS MEDICAL SYSTEMS AUSTRA"/>
    <s v="Philips M1012A Cardiac Output Module"/>
    <s v="3805G33699"/>
    <s v="ICU WESTERN HOSPITAL"/>
    <s v="1"/>
    <n v="0"/>
    <s v="Philips"/>
    <x v="17"/>
    <n v="3784"/>
    <n v="0"/>
    <n v="0"/>
    <n v="0"/>
    <m/>
    <m/>
    <m/>
    <m/>
    <m/>
    <m/>
    <m/>
    <m/>
    <m/>
    <m/>
    <m/>
    <m/>
    <m/>
    <m/>
    <m/>
    <m/>
    <m/>
    <m/>
  </r>
  <r>
    <x v="9"/>
    <x v="0"/>
    <s v="06.B.145"/>
    <x v="3"/>
    <x v="17"/>
    <s v="Module"/>
    <n v="1"/>
    <m/>
    <s v="000217"/>
    <s v="CCO/CO MODULE, PHYSIOLOGICAL"/>
    <s v="PHILIPS MEDICAL SYSTEMS AUSTRA"/>
    <s v="Philips M1012A Cardiac Output Module"/>
    <s v="3805G33702"/>
    <s v="ICU WESTERN HOSPITAL"/>
    <s v="1"/>
    <n v="0"/>
    <s v="Philips"/>
    <x v="17"/>
    <n v="3784"/>
    <n v="0"/>
    <n v="0"/>
    <n v="0"/>
    <m/>
    <m/>
    <m/>
    <m/>
    <m/>
    <m/>
    <m/>
    <m/>
    <m/>
    <m/>
    <m/>
    <m/>
    <m/>
    <m/>
    <m/>
    <m/>
    <m/>
    <m/>
  </r>
  <r>
    <x v="9"/>
    <x v="0"/>
    <s v="06.B.145"/>
    <x v="3"/>
    <x v="17"/>
    <s v="Module"/>
    <n v="1"/>
    <m/>
    <s v="000222"/>
    <s v="CCO/CO MODULE, PHYSIOLOGICAL"/>
    <s v="PHILIPS MEDICAL SYSTEMS AUSTRA"/>
    <s v="Philips M1012A Cardiac Output Module"/>
    <s v="3805G33704"/>
    <s v="ICU WESTERN HOSPITAL"/>
    <s v="1"/>
    <n v="0"/>
    <s v="Philips"/>
    <x v="17"/>
    <n v="3784"/>
    <n v="0"/>
    <n v="0"/>
    <n v="0"/>
    <m/>
    <m/>
    <m/>
    <m/>
    <m/>
    <m/>
    <m/>
    <m/>
    <m/>
    <m/>
    <m/>
    <m/>
    <m/>
    <m/>
    <m/>
    <m/>
    <m/>
    <m/>
  </r>
  <r>
    <x v="9"/>
    <x v="0"/>
    <s v="06.B.145"/>
    <x v="3"/>
    <x v="17"/>
    <s v="Module"/>
    <n v="1"/>
    <m/>
    <s v="000289"/>
    <s v="CCO/CO MODULE, PHYSIOLOGICAL"/>
    <s v="PHILIPS MEDICAL SYSTEMS AUSTRA"/>
    <s v="Philips M1012A Cardiac Output Module"/>
    <s v="3805G33707"/>
    <s v="ICU WESTERN HOSPITAL"/>
    <s v="1"/>
    <n v="0"/>
    <s v="Philips"/>
    <x v="17"/>
    <n v="3784"/>
    <n v="0"/>
    <n v="0"/>
    <n v="0"/>
    <m/>
    <m/>
    <m/>
    <m/>
    <m/>
    <m/>
    <m/>
    <m/>
    <m/>
    <m/>
    <m/>
    <m/>
    <m/>
    <m/>
    <m/>
    <m/>
    <m/>
    <m/>
  </r>
  <r>
    <x v="9"/>
    <x v="0"/>
    <s v="06.B.145"/>
    <x v="3"/>
    <x v="17"/>
    <s v="Module"/>
    <n v="1"/>
    <m/>
    <s v="000224"/>
    <s v="CCO/CO MODULE, PHYSIOLOGICAL"/>
    <s v="PHILIPS MEDICAL SYSTEMS AUSTRA"/>
    <s v="Philips M1012A Cardiac Output Module"/>
    <s v="3805G33708"/>
    <s v="ICU WESTERN HOSPITAL"/>
    <s v="1"/>
    <n v="0"/>
    <s v="Philips"/>
    <x v="17"/>
    <n v="3784"/>
    <n v="0"/>
    <n v="0"/>
    <n v="0"/>
    <m/>
    <m/>
    <m/>
    <m/>
    <m/>
    <m/>
    <m/>
    <m/>
    <m/>
    <m/>
    <m/>
    <m/>
    <m/>
    <m/>
    <m/>
    <m/>
    <m/>
    <m/>
  </r>
  <r>
    <x v="9"/>
    <x v="0"/>
    <s v="06.B.145"/>
    <x v="3"/>
    <x v="17"/>
    <s v="Module"/>
    <n v="1"/>
    <m/>
    <s v="000219"/>
    <s v="CCO/CO MODULE, PHYSIOLOGICAL"/>
    <s v="PHILIPS MEDICAL SYSTEMS AUSTRA"/>
    <s v="Philips M1012A Cardiac Output Module"/>
    <s v="3805G33714"/>
    <s v="ICU WESTERN HOSPITAL"/>
    <s v="1"/>
    <n v="0"/>
    <s v="Philips"/>
    <x v="17"/>
    <n v="3784"/>
    <n v="0"/>
    <n v="0"/>
    <n v="0"/>
    <m/>
    <m/>
    <m/>
    <m/>
    <m/>
    <m/>
    <m/>
    <m/>
    <m/>
    <m/>
    <m/>
    <m/>
    <m/>
    <m/>
    <m/>
    <m/>
    <m/>
    <m/>
  </r>
  <r>
    <x v="9"/>
    <x v="36"/>
    <s v="06.B.005"/>
    <x v="3"/>
    <x v="18"/>
    <s v="Module"/>
    <n v="1"/>
    <m/>
    <s v="004837"/>
    <s v="MODULE, CO2"/>
    <s v="PHILIPS MEDICAL SYSTEMS AUSTRA"/>
    <s v="Capnography Extension"/>
    <s v="DE69739805"/>
    <s v="FH ICU"/>
    <n v="1"/>
    <n v="0"/>
    <s v="Philips"/>
    <x v="18"/>
    <n v="0"/>
    <n v="0"/>
    <n v="0"/>
    <n v="0"/>
    <m/>
    <m/>
    <m/>
    <m/>
    <m/>
    <m/>
    <m/>
    <m/>
    <m/>
    <m/>
    <m/>
    <m/>
    <m/>
    <m/>
    <m/>
    <m/>
    <m/>
    <m/>
  </r>
  <r>
    <x v="9"/>
    <x v="36"/>
    <s v="06.B.006"/>
    <x v="3"/>
    <x v="18"/>
    <s v="Module"/>
    <n v="1"/>
    <m/>
    <s v="006037"/>
    <s v="MODULE, CO2"/>
    <s v="PHILIPS MEDICAL SYSTEMS AUSTRA"/>
    <s v="Capnography Extension"/>
    <s v="DE69757434"/>
    <s v="FH ICU"/>
    <n v="1"/>
    <n v="0"/>
    <s v="Philips"/>
    <x v="18"/>
    <n v="0"/>
    <n v="0"/>
    <n v="0"/>
    <n v="0"/>
    <m/>
    <m/>
    <m/>
    <m/>
    <m/>
    <m/>
    <m/>
    <m/>
    <m/>
    <m/>
    <m/>
    <m/>
    <m/>
    <m/>
    <m/>
    <m/>
    <m/>
    <m/>
  </r>
  <r>
    <x v="9"/>
    <x v="36"/>
    <s v="06.B.008"/>
    <x v="3"/>
    <x v="18"/>
    <s v="Module"/>
    <n v="1"/>
    <m/>
    <s v="006038"/>
    <s v="MODULE, CO2"/>
    <s v="PHILIPS MEDICAL SYSTEMS AUSTRA"/>
    <s v="Capnography Extension"/>
    <s v="DE69757379"/>
    <s v="FH ICU"/>
    <n v="1"/>
    <n v="0"/>
    <s v="Philips"/>
    <x v="18"/>
    <n v="0"/>
    <n v="0"/>
    <n v="0"/>
    <n v="0"/>
    <m/>
    <m/>
    <m/>
    <m/>
    <m/>
    <m/>
    <m/>
    <m/>
    <m/>
    <m/>
    <m/>
    <m/>
    <m/>
    <m/>
    <m/>
    <m/>
    <m/>
    <m/>
  </r>
  <r>
    <x v="9"/>
    <x v="37"/>
    <s v="06.B.009"/>
    <x v="3"/>
    <x v="18"/>
    <s v="Module"/>
    <n v="1"/>
    <m/>
    <s v="006101"/>
    <s v="MODULE, CO2"/>
    <s v="PHILIPS MEDICAL SYSTEMS AUSTRA"/>
    <s v="Microstream CO₂ Extension"/>
    <s v="DE69765811"/>
    <s v="ICU FH"/>
    <n v="1"/>
    <n v="0"/>
    <s v="Philips"/>
    <x v="18"/>
    <n v="0"/>
    <n v="0"/>
    <n v="0"/>
    <n v="0"/>
    <m/>
    <m/>
    <m/>
    <m/>
    <m/>
    <m/>
    <m/>
    <m/>
    <m/>
    <m/>
    <m/>
    <m/>
    <m/>
    <m/>
    <m/>
    <m/>
    <m/>
    <m/>
  </r>
  <r>
    <x v="9"/>
    <x v="37"/>
    <s v="06.B.011"/>
    <x v="3"/>
    <x v="18"/>
    <s v="Module"/>
    <n v="1"/>
    <m/>
    <s v="006103"/>
    <s v="MODULE, CO2"/>
    <s v="PHILIPS MEDICAL SYSTEMS AUSTRA"/>
    <s v="Microstream CO₂ Extension"/>
    <s v="DE69765747"/>
    <s v="ICU FH"/>
    <n v="1"/>
    <n v="0"/>
    <s v="Philips"/>
    <x v="18"/>
    <n v="0"/>
    <n v="0"/>
    <n v="0"/>
    <n v="0"/>
    <m/>
    <m/>
    <m/>
    <m/>
    <m/>
    <m/>
    <m/>
    <m/>
    <m/>
    <m/>
    <m/>
    <m/>
    <m/>
    <m/>
    <m/>
    <m/>
    <m/>
    <m/>
  </r>
  <r>
    <x v="9"/>
    <x v="37"/>
    <s v="06.B.013"/>
    <x v="3"/>
    <x v="18"/>
    <s v="Module"/>
    <n v="1"/>
    <m/>
    <s v="006104"/>
    <s v="MODULE, CO2"/>
    <s v="PHILIPS MEDICAL SYSTEMS AUSTRA"/>
    <s v="Microstream CO₂ Extension"/>
    <s v="DE69765814"/>
    <s v="ICU FH"/>
    <n v="1"/>
    <n v="0"/>
    <s v="Philips"/>
    <x v="18"/>
    <n v="0"/>
    <n v="0"/>
    <n v="0"/>
    <n v="0"/>
    <m/>
    <m/>
    <m/>
    <m/>
    <m/>
    <m/>
    <m/>
    <m/>
    <m/>
    <m/>
    <m/>
    <m/>
    <m/>
    <m/>
    <m/>
    <m/>
    <m/>
    <m/>
  </r>
  <r>
    <x v="9"/>
    <x v="37"/>
    <s v="06.B.016"/>
    <x v="3"/>
    <x v="18"/>
    <s v="Module"/>
    <n v="1"/>
    <m/>
    <s v="006106"/>
    <s v="MODULE, CO2"/>
    <s v="PHILIPS MEDICAL SYSTEMS AUSTRA"/>
    <s v="Microstream CO₂ Extension"/>
    <s v="DE69765857"/>
    <s v="ICU FH"/>
    <n v="1"/>
    <n v="0"/>
    <s v="Philips"/>
    <x v="18"/>
    <n v="0"/>
    <n v="0"/>
    <n v="0"/>
    <n v="0"/>
    <m/>
    <m/>
    <m/>
    <m/>
    <m/>
    <m/>
    <m/>
    <m/>
    <m/>
    <m/>
    <m/>
    <m/>
    <m/>
    <m/>
    <m/>
    <m/>
    <m/>
    <m/>
  </r>
  <r>
    <x v="9"/>
    <x v="38"/>
    <s v="06.B.017"/>
    <x v="3"/>
    <x v="18"/>
    <s v="Module"/>
    <n v="1"/>
    <m/>
    <s v="006116"/>
    <s v="MODULE, CO2"/>
    <s v="PHILIPS MEDICAL SYSTEMS AUSTRA"/>
    <s v="Capnography Extension"/>
    <s v="DE69757444"/>
    <s v="FH ICU"/>
    <n v="1"/>
    <n v="0"/>
    <s v="Philips"/>
    <x v="18"/>
    <n v="0"/>
    <n v="0"/>
    <n v="0"/>
    <n v="0"/>
    <m/>
    <m/>
    <m/>
    <m/>
    <m/>
    <m/>
    <m/>
    <m/>
    <m/>
    <m/>
    <m/>
    <m/>
    <m/>
    <m/>
    <m/>
    <m/>
    <m/>
    <m/>
  </r>
  <r>
    <x v="9"/>
    <x v="36"/>
    <s v="06.B.019"/>
    <x v="3"/>
    <x v="18"/>
    <s v="Module"/>
    <n v="1"/>
    <m/>
    <s v="006117"/>
    <s v="MODULE, CO2"/>
    <s v="PHILIPS MEDICAL SYSTEMS AUSTRA"/>
    <s v="Capnography Extension"/>
    <s v="DE69757460"/>
    <s v="FH ICU"/>
    <n v="1"/>
    <n v="0"/>
    <s v="Philips"/>
    <x v="18"/>
    <n v="0"/>
    <n v="0"/>
    <n v="0"/>
    <n v="0"/>
    <m/>
    <m/>
    <m/>
    <m/>
    <m/>
    <m/>
    <m/>
    <m/>
    <m/>
    <m/>
    <m/>
    <m/>
    <m/>
    <m/>
    <m/>
    <m/>
    <m/>
    <m/>
  </r>
  <r>
    <x v="9"/>
    <x v="36"/>
    <s v="06.B.020"/>
    <x v="3"/>
    <x v="18"/>
    <s v="Module"/>
    <n v="1"/>
    <m/>
    <s v="006118"/>
    <s v="MODULE, CO2"/>
    <s v="PHILIPS MEDICAL SYSTEMS AUSTRA"/>
    <s v="Capnography Extension"/>
    <s v="DE69757428"/>
    <s v="FH ICU"/>
    <n v="1"/>
    <n v="0"/>
    <s v="Philips"/>
    <x v="18"/>
    <n v="0"/>
    <n v="0"/>
    <n v="0"/>
    <n v="0"/>
    <m/>
    <m/>
    <m/>
    <m/>
    <m/>
    <m/>
    <m/>
    <m/>
    <m/>
    <m/>
    <m/>
    <m/>
    <m/>
    <m/>
    <m/>
    <m/>
    <m/>
    <m/>
  </r>
  <r>
    <x v="9"/>
    <x v="36"/>
    <s v="06.B.022"/>
    <x v="3"/>
    <x v="18"/>
    <s v="Module"/>
    <n v="1"/>
    <m/>
    <s v="006119"/>
    <s v="MODULE, CO2"/>
    <s v="PHILIPS MEDICAL SYSTEMS AUSTRA"/>
    <s v="Capnography Extension"/>
    <s v="DE69757403"/>
    <s v="FH ICU"/>
    <n v="1"/>
    <n v="0"/>
    <s v="Philips"/>
    <x v="18"/>
    <n v="0"/>
    <n v="0"/>
    <n v="0"/>
    <n v="0"/>
    <m/>
    <m/>
    <m/>
    <m/>
    <m/>
    <m/>
    <m/>
    <m/>
    <m/>
    <m/>
    <m/>
    <m/>
    <m/>
    <m/>
    <m/>
    <m/>
    <m/>
    <m/>
  </r>
  <r>
    <x v="9"/>
    <x v="39"/>
    <s v="06.B.100"/>
    <x v="3"/>
    <x v="18"/>
    <s v="Module"/>
    <n v="1"/>
    <m/>
    <s v="006120"/>
    <s v="MODULE, CO2"/>
    <s v="PHILIPS MEDICAL SYSTEMS AUSTRA"/>
    <s v="Capnography Extension"/>
    <s v="DE69757384"/>
    <s v="FH ICU"/>
    <n v="1"/>
    <n v="0"/>
    <s v="Philips"/>
    <x v="18"/>
    <n v="0"/>
    <n v="0"/>
    <n v="0"/>
    <n v="0"/>
    <m/>
    <m/>
    <m/>
    <m/>
    <m/>
    <m/>
    <m/>
    <m/>
    <m/>
    <m/>
    <m/>
    <m/>
    <m/>
    <m/>
    <m/>
    <m/>
    <m/>
    <m/>
  </r>
  <r>
    <x v="9"/>
    <x v="39"/>
    <s v="06.B.105"/>
    <x v="3"/>
    <x v="18"/>
    <s v="Module"/>
    <n v="1"/>
    <m/>
    <s v="006515"/>
    <s v="MODULE, CO2"/>
    <s v="PHILIPS MEDICAL SYSTEMS AUSTRA"/>
    <s v="Capnography Extension"/>
    <s v="DE69743920"/>
    <s v="FH ICU"/>
    <n v="1"/>
    <n v="0"/>
    <s v="Philips"/>
    <x v="18"/>
    <n v="0"/>
    <n v="0"/>
    <n v="0"/>
    <n v="0"/>
    <m/>
    <m/>
    <m/>
    <m/>
    <m/>
    <m/>
    <m/>
    <m/>
    <m/>
    <m/>
    <m/>
    <m/>
    <m/>
    <m/>
    <m/>
    <m/>
    <m/>
    <m/>
  </r>
  <r>
    <x v="9"/>
    <x v="36"/>
    <s v="06.B.107"/>
    <x v="3"/>
    <x v="18"/>
    <s v="Module"/>
    <n v="1"/>
    <m/>
    <s v="006537"/>
    <s v="MODULE, CO2"/>
    <s v="PHILIPS MEDICAL SYSTEMS AUSTRA"/>
    <s v="Capnography Extension"/>
    <s v="DE69743948"/>
    <s v="FICU"/>
    <n v="1"/>
    <n v="0"/>
    <s v="Philips"/>
    <x v="18"/>
    <n v="0"/>
    <n v="0"/>
    <n v="0"/>
    <n v="0"/>
    <m/>
    <m/>
    <m/>
    <m/>
    <m/>
    <m/>
    <m/>
    <m/>
    <m/>
    <m/>
    <m/>
    <m/>
    <m/>
    <m/>
    <m/>
    <m/>
    <m/>
    <m/>
  </r>
  <r>
    <x v="9"/>
    <x v="36"/>
    <s v="06.B.108"/>
    <x v="3"/>
    <x v="18"/>
    <s v="Module"/>
    <n v="1"/>
    <m/>
    <s v="006540"/>
    <s v="MODULE, CO2"/>
    <s v="PHILIPS MEDICAL SYSTEMS AUSTRA"/>
    <s v="Capnography Extension"/>
    <s v="DE69744030"/>
    <s v="FH ICU"/>
    <n v="1"/>
    <n v="0"/>
    <s v="Philips"/>
    <x v="18"/>
    <n v="0"/>
    <n v="0"/>
    <n v="0"/>
    <n v="0"/>
    <m/>
    <m/>
    <m/>
    <m/>
    <m/>
    <m/>
    <m/>
    <m/>
    <m/>
    <m/>
    <m/>
    <m/>
    <m/>
    <m/>
    <m/>
    <m/>
    <m/>
    <m/>
  </r>
  <r>
    <x v="9"/>
    <x v="36"/>
    <s v="06.B.109"/>
    <x v="3"/>
    <x v="18"/>
    <s v="Module"/>
    <n v="1"/>
    <m/>
    <s v="5233"/>
    <s v="MODULE, CO2"/>
    <s v="PHILIPS MEDICAL SYSTEMS AUSTRA"/>
    <s v="Capnography Extension"/>
    <s v="DE69748224"/>
    <s v="ICU - FH"/>
    <n v="1"/>
    <n v="0"/>
    <s v="Philips"/>
    <x v="18"/>
    <n v="0"/>
    <n v="0"/>
    <n v="0"/>
    <n v="0"/>
    <m/>
    <m/>
    <m/>
    <m/>
    <m/>
    <m/>
    <m/>
    <m/>
    <m/>
    <m/>
    <m/>
    <m/>
    <m/>
    <m/>
    <m/>
    <m/>
    <m/>
    <m/>
  </r>
  <r>
    <x v="9"/>
    <x v="38"/>
    <s v="06.B.110"/>
    <x v="3"/>
    <x v="18"/>
    <s v="Module"/>
    <n v="1"/>
    <m/>
    <s v="5263"/>
    <s v="MODULE, CO2"/>
    <s v="PHILIPS MEDICAL SYSTEMS AUSTRA"/>
    <s v="Capnography Extension"/>
    <n v="0"/>
    <s v="ICU FH"/>
    <n v="1"/>
    <n v="0"/>
    <s v="Philips"/>
    <x v="18"/>
    <n v="0"/>
    <n v="0"/>
    <n v="0"/>
    <n v="0"/>
    <m/>
    <m/>
    <m/>
    <m/>
    <m/>
    <m/>
    <m/>
    <m/>
    <m/>
    <m/>
    <m/>
    <m/>
    <m/>
    <m/>
    <m/>
    <m/>
    <m/>
    <m/>
  </r>
  <r>
    <x v="9"/>
    <x v="36"/>
    <s v="06.B.111"/>
    <x v="3"/>
    <x v="18"/>
    <s v="Module"/>
    <n v="1"/>
    <m/>
    <s v="5264"/>
    <s v="MODULE, CO2"/>
    <s v="PHILIPS MEDICAL SYSTEMS AUSTRA"/>
    <s v="Capnography Extension"/>
    <n v="0"/>
    <s v="ICU FH"/>
    <n v="1"/>
    <n v="0"/>
    <s v="Philips"/>
    <x v="18"/>
    <n v="0"/>
    <n v="0"/>
    <n v="0"/>
    <n v="0"/>
    <m/>
    <m/>
    <m/>
    <m/>
    <m/>
    <m/>
    <m/>
    <m/>
    <m/>
    <m/>
    <m/>
    <m/>
    <m/>
    <m/>
    <m/>
    <m/>
    <m/>
    <m/>
  </r>
  <r>
    <x v="9"/>
    <x v="39"/>
    <s v="06.B.113"/>
    <x v="3"/>
    <x v="18"/>
    <s v="Module"/>
    <n v="1"/>
    <m/>
    <s v="5265"/>
    <s v="MODULE, CO2"/>
    <s v="PHILIPS MEDICAL SYSTEMS AUSTRA"/>
    <s v="Capnography Extension"/>
    <n v="0"/>
    <s v="ICU FH"/>
    <n v="1"/>
    <n v="0"/>
    <s v="Philips"/>
    <x v="18"/>
    <n v="0"/>
    <n v="0"/>
    <n v="0"/>
    <n v="0"/>
    <m/>
    <m/>
    <m/>
    <m/>
    <m/>
    <m/>
    <m/>
    <m/>
    <m/>
    <m/>
    <m/>
    <m/>
    <m/>
    <m/>
    <m/>
    <m/>
    <m/>
    <m/>
  </r>
  <r>
    <x v="9"/>
    <x v="36"/>
    <s v="06.B.116"/>
    <x v="3"/>
    <x v="18"/>
    <s v="Module"/>
    <n v="1"/>
    <m/>
    <s v="5266"/>
    <s v="MODULE, CO2"/>
    <s v="PHILIPS MEDICAL SYSTEMS AUSTRA"/>
    <s v="Capnography Extension"/>
    <n v="0"/>
    <s v="ICU FH"/>
    <n v="1"/>
    <n v="0"/>
    <s v="Philips"/>
    <x v="18"/>
    <n v="0"/>
    <n v="0"/>
    <n v="0"/>
    <n v="0"/>
    <m/>
    <m/>
    <m/>
    <m/>
    <m/>
    <m/>
    <m/>
    <m/>
    <m/>
    <m/>
    <m/>
    <m/>
    <m/>
    <m/>
    <m/>
    <m/>
    <m/>
    <m/>
  </r>
  <r>
    <x v="9"/>
    <x v="36"/>
    <s v="06.B.117"/>
    <x v="3"/>
    <x v="18"/>
    <s v="Module"/>
    <n v="1"/>
    <m/>
    <s v="5267"/>
    <s v="MODULE, CO2"/>
    <s v="PHILIPS MEDICAL SYSTEMS AUSTRA"/>
    <s v="Capnography Extension"/>
    <n v="0"/>
    <s v="ICU FH"/>
    <n v="1"/>
    <n v="0"/>
    <s v="Philips"/>
    <x v="18"/>
    <n v="0"/>
    <n v="0"/>
    <n v="0"/>
    <n v="0"/>
    <m/>
    <m/>
    <m/>
    <m/>
    <m/>
    <m/>
    <m/>
    <m/>
    <m/>
    <m/>
    <m/>
    <m/>
    <m/>
    <m/>
    <m/>
    <m/>
    <m/>
    <m/>
  </r>
  <r>
    <x v="9"/>
    <x v="39"/>
    <s v="06.B.118"/>
    <x v="3"/>
    <x v="18"/>
    <s v="Module"/>
    <n v="1"/>
    <m/>
    <s v="Temp003"/>
    <s v="MODULE, CO2"/>
    <s v="PHILIPS MEDICAL SYSTEMS AUSTRA"/>
    <s v="Capnography Extension"/>
    <s v="DE69739695"/>
    <s v="ICU FH"/>
    <n v="1"/>
    <n v="0"/>
    <s v="Philips"/>
    <x v="18"/>
    <n v="0"/>
    <n v="0"/>
    <n v="0"/>
    <n v="0"/>
    <m/>
    <m/>
    <m/>
    <m/>
    <m/>
    <m/>
    <m/>
    <m/>
    <m/>
    <m/>
    <m/>
    <m/>
    <m/>
    <m/>
    <m/>
    <m/>
    <m/>
    <m/>
  </r>
  <r>
    <x v="9"/>
    <x v="36"/>
    <s v="06.B.005"/>
    <x v="3"/>
    <x v="2"/>
    <s v="Docked to Host Monitor"/>
    <n v="1"/>
    <m/>
    <s v="005822"/>
    <s v="MODULE RACK"/>
    <s v="PHILIPS MEDICAL SYSTEMS AUSTRA"/>
    <s v="IntelliVue FMX-4"/>
    <s v="DE61637297"/>
    <s v="ICU expansion"/>
    <n v="1"/>
    <n v="0"/>
    <s v="Philips"/>
    <x v="2"/>
    <n v="0"/>
    <n v="0"/>
    <n v="0"/>
    <n v="0"/>
    <m/>
    <m/>
    <m/>
    <m/>
    <m/>
    <m/>
    <m/>
    <m/>
    <m/>
    <m/>
    <m/>
    <m/>
    <m/>
    <m/>
    <m/>
    <m/>
    <m/>
    <m/>
  </r>
  <r>
    <x v="9"/>
    <x v="36"/>
    <s v="06.B.006"/>
    <x v="3"/>
    <x v="2"/>
    <s v="Docked to Host Monitor"/>
    <n v="1"/>
    <m/>
    <s v="005815"/>
    <s v="MULTIPARAMETER MODULE"/>
    <s v="PHILIPS MEDICAL SYSTEMS AUSTRA"/>
    <s v="IntelliVue X3"/>
    <s v="DE752N8577"/>
    <s v="ICU expansion"/>
    <n v="1"/>
    <n v="0"/>
    <s v="Philips"/>
    <x v="2"/>
    <n v="0"/>
    <n v="0"/>
    <n v="0"/>
    <n v="0"/>
    <m/>
    <m/>
    <m/>
    <m/>
    <m/>
    <m/>
    <m/>
    <m/>
    <m/>
    <m/>
    <m/>
    <m/>
    <m/>
    <m/>
    <m/>
    <m/>
    <m/>
    <m/>
  </r>
  <r>
    <x v="9"/>
    <x v="36"/>
    <s v="06.B.008"/>
    <x v="3"/>
    <x v="2"/>
    <s v="Docked to Host Monitor"/>
    <n v="1"/>
    <m/>
    <s v="005035"/>
    <s v="MULTI-PARAMETERS MODULE, PHYSIOLOGICAL"/>
    <s v="PHILIPS MEDICAL SYSTEMS AUSTRA"/>
    <s v="IntelliVue X3"/>
    <s v="DE694H5822"/>
    <s v="ICU FH"/>
    <n v="1"/>
    <n v="0"/>
    <s v="Philips"/>
    <x v="2"/>
    <n v="0"/>
    <n v="0"/>
    <n v="0"/>
    <n v="0"/>
    <m/>
    <m/>
    <m/>
    <m/>
    <m/>
    <m/>
    <m/>
    <m/>
    <m/>
    <m/>
    <m/>
    <m/>
    <m/>
    <m/>
    <m/>
    <m/>
    <m/>
    <m/>
  </r>
  <r>
    <x v="9"/>
    <x v="37"/>
    <s v="06.B.009"/>
    <x v="3"/>
    <x v="2"/>
    <s v="Docked to Host Monitor"/>
    <n v="1"/>
    <m/>
    <s v="005816"/>
    <s v="MULTIPARAMETER MODULE"/>
    <s v="PHILIPS MEDICAL SYSTEMS AUSTRA"/>
    <s v="IntelliVue X3"/>
    <s v="DE752N8613"/>
    <s v="ICU expansion"/>
    <n v="1"/>
    <n v="0"/>
    <s v="Philips"/>
    <x v="2"/>
    <n v="0"/>
    <n v="0"/>
    <n v="0"/>
    <n v="0"/>
    <m/>
    <m/>
    <m/>
    <m/>
    <m/>
    <m/>
    <m/>
    <m/>
    <m/>
    <m/>
    <m/>
    <m/>
    <m/>
    <m/>
    <m/>
    <m/>
    <m/>
    <m/>
  </r>
  <r>
    <x v="9"/>
    <x v="37"/>
    <s v="06.B.011"/>
    <x v="3"/>
    <x v="2"/>
    <s v="Docked to Host Monitor"/>
    <n v="1"/>
    <m/>
    <s v="005818"/>
    <s v="MULTIPARAMETER MODULE"/>
    <s v="PHILIPS MEDICAL SYSTEMS AUSTRA"/>
    <s v="IntelliVue X3"/>
    <s v="DE752N8629"/>
    <s v="ICU expansion"/>
    <n v="1"/>
    <n v="0"/>
    <s v="Philips"/>
    <x v="2"/>
    <n v="0"/>
    <n v="0"/>
    <n v="0"/>
    <n v="0"/>
    <m/>
    <m/>
    <m/>
    <m/>
    <m/>
    <m/>
    <m/>
    <m/>
    <m/>
    <m/>
    <m/>
    <m/>
    <m/>
    <m/>
    <m/>
    <m/>
    <m/>
    <m/>
  </r>
  <r>
    <x v="9"/>
    <x v="37"/>
    <s v="06.B.013"/>
    <x v="3"/>
    <x v="2"/>
    <s v="Docked to Host Monitor"/>
    <n v="1"/>
    <m/>
    <s v="005821"/>
    <s v="MULTIPARAMETER MODULE"/>
    <s v="PHILIPS MEDICAL SYSTEMS AUSTRA"/>
    <s v="IntelliVue X3"/>
    <s v="DE752N8570"/>
    <s v="ICU expansion"/>
    <n v="1"/>
    <n v="0"/>
    <s v="Philips"/>
    <x v="2"/>
    <n v="0"/>
    <n v="0"/>
    <n v="0"/>
    <n v="0"/>
    <m/>
    <m/>
    <m/>
    <m/>
    <m/>
    <m/>
    <m/>
    <m/>
    <m/>
    <m/>
    <m/>
    <m/>
    <m/>
    <m/>
    <m/>
    <m/>
    <m/>
    <m/>
  </r>
  <r>
    <x v="9"/>
    <x v="37"/>
    <s v="06.B.016"/>
    <x v="3"/>
    <x v="2"/>
    <s v="Docked to Host Monitor"/>
    <n v="1"/>
    <m/>
    <s v="004829"/>
    <s v="MULTI-PARAMETERS MODULE, PHYSIOLOGICAL"/>
    <s v="PHILIPS MEDICAL SYSTEMS AUSTRA"/>
    <s v="IntelliVue X3"/>
    <s v="DE694B0025"/>
    <s v="ICU FH"/>
    <n v="1"/>
    <n v="0"/>
    <s v="Philips"/>
    <x v="2"/>
    <n v="0"/>
    <n v="0"/>
    <n v="0"/>
    <n v="0"/>
    <m/>
    <m/>
    <m/>
    <m/>
    <m/>
    <m/>
    <m/>
    <m/>
    <m/>
    <m/>
    <m/>
    <m/>
    <m/>
    <m/>
    <m/>
    <m/>
    <m/>
    <m/>
  </r>
  <r>
    <x v="9"/>
    <x v="38"/>
    <s v="06.B.017"/>
    <x v="3"/>
    <x v="2"/>
    <s v="Docked to Host Monitor"/>
    <n v="1"/>
    <m/>
    <s v="004832"/>
    <s v="MULTI-PARAMETERS MODULE, PHYSIOLOGICAL"/>
    <s v="PHILIPS MEDICAL SYSTEMS AUSTRA"/>
    <s v="IntelliVue X3"/>
    <s v="DE694B0037"/>
    <s v="ICU FH"/>
    <n v="1"/>
    <n v="0"/>
    <s v="Philips"/>
    <x v="2"/>
    <n v="0"/>
    <n v="0"/>
    <n v="0"/>
    <n v="0"/>
    <m/>
    <m/>
    <m/>
    <m/>
    <m/>
    <m/>
    <m/>
    <m/>
    <m/>
    <m/>
    <m/>
    <m/>
    <m/>
    <m/>
    <m/>
    <m/>
    <m/>
    <m/>
  </r>
  <r>
    <x v="9"/>
    <x v="36"/>
    <s v="06.B.019"/>
    <x v="3"/>
    <x v="2"/>
    <s v="Docked to Host Monitor"/>
    <n v="1"/>
    <m/>
    <s v="004833"/>
    <s v="MULTI-PARAMETERS MODULE, PHYSIOLOGICAL"/>
    <s v="PHILIPS MEDICAL SYSTEMS AUSTRA"/>
    <s v="IntelliVue X3"/>
    <s v="DE694B0036"/>
    <s v="ICU FH"/>
    <n v="1"/>
    <n v="0"/>
    <s v="Philips"/>
    <x v="2"/>
    <n v="0"/>
    <n v="0"/>
    <n v="0"/>
    <n v="0"/>
    <m/>
    <m/>
    <m/>
    <m/>
    <m/>
    <m/>
    <m/>
    <m/>
    <m/>
    <m/>
    <m/>
    <m/>
    <m/>
    <m/>
    <m/>
    <m/>
    <m/>
    <m/>
  </r>
  <r>
    <x v="9"/>
    <x v="36"/>
    <s v="06.B.020"/>
    <x v="3"/>
    <x v="2"/>
    <s v="Docked to Host Monitor"/>
    <n v="1"/>
    <m/>
    <s v="004835"/>
    <s v="MULTI-PARAMETERS MODULE, PHYSIOLOGICAL"/>
    <s v="PHILIPS MEDICAL SYSTEMS AUSTRA"/>
    <s v="IntelliVue X3"/>
    <s v="DE694B0191"/>
    <s v="ICU FH"/>
    <n v="1"/>
    <n v="0"/>
    <s v="Philips"/>
    <x v="2"/>
    <n v="0"/>
    <n v="0"/>
    <n v="0"/>
    <n v="0"/>
    <m/>
    <m/>
    <m/>
    <m/>
    <m/>
    <m/>
    <m/>
    <m/>
    <m/>
    <m/>
    <m/>
    <m/>
    <m/>
    <m/>
    <m/>
    <m/>
    <m/>
    <m/>
  </r>
  <r>
    <x v="9"/>
    <x v="36"/>
    <s v="06.B.022"/>
    <x v="3"/>
    <x v="2"/>
    <s v="Docked to Host Monitor"/>
    <n v="1"/>
    <m/>
    <s v="004836"/>
    <s v="MULTI-PARAMETERS MODULE, PHYSIOLOGICAL"/>
    <s v="PHILIPS MEDICAL SYSTEMS AUSTRA"/>
    <s v="IntelliVue X3"/>
    <s v="DE694A9955"/>
    <s v="ICU FH"/>
    <n v="1"/>
    <n v="0"/>
    <s v="Philips"/>
    <x v="2"/>
    <n v="0"/>
    <n v="0"/>
    <n v="0"/>
    <n v="0"/>
    <m/>
    <m/>
    <m/>
    <m/>
    <m/>
    <m/>
    <m/>
    <m/>
    <m/>
    <m/>
    <m/>
    <m/>
    <m/>
    <m/>
    <m/>
    <m/>
    <m/>
    <m/>
  </r>
  <r>
    <x v="9"/>
    <x v="39"/>
    <s v="06.B.100"/>
    <x v="3"/>
    <x v="2"/>
    <s v="Docked to Host Monitor"/>
    <n v="1"/>
    <m/>
    <s v="004799"/>
    <s v="MULTI-PARAMETERS MODULE, PHYSIOLOGICAL"/>
    <s v="PHILIPS MEDICAL SYSTEMS AUSTRA"/>
    <s v="IntelliVue X3"/>
    <s v="DE694B0059"/>
    <s v="ICU FH"/>
    <n v="1"/>
    <n v="0"/>
    <s v="Philips"/>
    <x v="2"/>
    <n v="0"/>
    <n v="0"/>
    <n v="0"/>
    <n v="0"/>
    <m/>
    <m/>
    <m/>
    <m/>
    <m/>
    <m/>
    <m/>
    <m/>
    <m/>
    <m/>
    <m/>
    <m/>
    <m/>
    <m/>
    <m/>
    <m/>
    <m/>
    <m/>
  </r>
  <r>
    <x v="9"/>
    <x v="39"/>
    <s v="06.B.105"/>
    <x v="3"/>
    <x v="2"/>
    <s v="Docked to Host Monitor"/>
    <n v="1"/>
    <m/>
    <s v="Temp002"/>
    <s v="MULTI-PARAMETERS MODULE, PHYSIOLOGICAL"/>
    <s v="PHILIPS MEDICAL SYSTEMS AUSTRA"/>
    <s v="IntelliVue X3"/>
    <s v="DE694B0210"/>
    <s v="ICU FH"/>
    <n v="1"/>
    <n v="0"/>
    <s v="Philips"/>
    <x v="2"/>
    <n v="0"/>
    <n v="0"/>
    <n v="0"/>
    <n v="0"/>
    <m/>
    <m/>
    <m/>
    <m/>
    <m/>
    <m/>
    <m/>
    <m/>
    <m/>
    <m/>
    <m/>
    <m/>
    <m/>
    <m/>
    <m/>
    <m/>
    <m/>
    <m/>
  </r>
  <r>
    <x v="9"/>
    <x v="36"/>
    <s v="06.B.107"/>
    <x v="3"/>
    <x v="2"/>
    <s v="Docked to Host Monitor"/>
    <n v="1"/>
    <m/>
    <s v="004734"/>
    <s v="MULTI-PARAMETERS MODULE, PHYSIOLOGICAL"/>
    <s v="PHILIPS MEDICAL SYSTEMS AUSTRA"/>
    <s v="IntelliVue X3"/>
    <s v="DE694B1557"/>
    <s v="ICU FH"/>
    <n v="1"/>
    <n v="0"/>
    <s v="Philips"/>
    <x v="2"/>
    <n v="0"/>
    <n v="0"/>
    <n v="0"/>
    <n v="0"/>
    <m/>
    <m/>
    <m/>
    <m/>
    <m/>
    <m/>
    <m/>
    <m/>
    <m/>
    <m/>
    <m/>
    <m/>
    <m/>
    <m/>
    <m/>
    <m/>
    <m/>
    <m/>
  </r>
  <r>
    <x v="9"/>
    <x v="36"/>
    <s v="06.B.108"/>
    <x v="3"/>
    <x v="2"/>
    <s v="Docked to Host Monitor"/>
    <n v="1"/>
    <m/>
    <s v="005027"/>
    <s v="MULTI-PARAMETERS MODULE, PHYSIOLOGICAL"/>
    <s v="PHILIPS MEDICAL SYSTEMS AUSTRA"/>
    <s v="IntelliVue X3"/>
    <s v="DE694H5787"/>
    <s v="ICU FH"/>
    <n v="1"/>
    <n v="0"/>
    <s v="Philips"/>
    <x v="2"/>
    <n v="0"/>
    <n v="0"/>
    <n v="0"/>
    <n v="0"/>
    <m/>
    <m/>
    <m/>
    <m/>
    <m/>
    <m/>
    <m/>
    <m/>
    <m/>
    <m/>
    <m/>
    <m/>
    <m/>
    <m/>
    <m/>
    <m/>
    <m/>
    <m/>
  </r>
  <r>
    <x v="9"/>
    <x v="36"/>
    <s v="06.B.109"/>
    <x v="3"/>
    <x v="2"/>
    <s v="Docked to Host Monitor"/>
    <n v="1"/>
    <m/>
    <s v="005028"/>
    <s v="MULTI-PARAMETERS MODULE, PHYSIOLOGICAL"/>
    <s v="PHILIPS MEDICAL SYSTEMS AUSTRA"/>
    <s v="IntelliVue X3"/>
    <s v="DE694H5621"/>
    <s v="ICU FH"/>
    <n v="1"/>
    <n v="0"/>
    <s v="Philips"/>
    <x v="2"/>
    <n v="0"/>
    <n v="0"/>
    <n v="0"/>
    <n v="0"/>
    <m/>
    <m/>
    <m/>
    <m/>
    <m/>
    <m/>
    <m/>
    <m/>
    <m/>
    <m/>
    <m/>
    <m/>
    <m/>
    <m/>
    <m/>
    <m/>
    <m/>
    <m/>
  </r>
  <r>
    <x v="9"/>
    <x v="38"/>
    <s v="06.B.110"/>
    <x v="3"/>
    <x v="2"/>
    <s v="Docked to Host Monitor"/>
    <n v="1"/>
    <m/>
    <s v="005029"/>
    <s v="MULTI-PARAMETERS MODULE, PHYSIOLOGICAL"/>
    <s v="PHILIPS MEDICAL SYSTEMS AUSTRA"/>
    <s v="IntelliVue X3"/>
    <s v="DE694H5784"/>
    <s v="ICU FH"/>
    <n v="1"/>
    <n v="0"/>
    <s v="Philips"/>
    <x v="2"/>
    <n v="0"/>
    <n v="0"/>
    <n v="0"/>
    <n v="0"/>
    <m/>
    <m/>
    <m/>
    <m/>
    <m/>
    <m/>
    <m/>
    <m/>
    <m/>
    <m/>
    <m/>
    <m/>
    <m/>
    <m/>
    <m/>
    <m/>
    <m/>
    <m/>
  </r>
  <r>
    <x v="9"/>
    <x v="36"/>
    <s v="06.B.111"/>
    <x v="3"/>
    <x v="2"/>
    <s v="Docked to Host Monitor"/>
    <n v="1"/>
    <m/>
    <s v="005030"/>
    <s v="MULTI-PARAMETERS MODULE, PHYSIOLOGICAL"/>
    <s v="PHILIPS MEDICAL SYSTEMS AUSTRA"/>
    <s v="IntelliVue X3"/>
    <s v="DE694H5628"/>
    <s v="ICU FH"/>
    <n v="1"/>
    <n v="0"/>
    <s v="Philips"/>
    <x v="2"/>
    <n v="0"/>
    <n v="0"/>
    <n v="0"/>
    <n v="0"/>
    <m/>
    <m/>
    <m/>
    <m/>
    <m/>
    <m/>
    <m/>
    <m/>
    <m/>
    <m/>
    <m/>
    <m/>
    <m/>
    <m/>
    <m/>
    <m/>
    <m/>
    <m/>
  </r>
  <r>
    <x v="9"/>
    <x v="39"/>
    <s v="06.B.113"/>
    <x v="3"/>
    <x v="2"/>
    <s v="Docked to Host Monitor"/>
    <n v="1"/>
    <m/>
    <s v="005031"/>
    <s v="MULTI-PARAMETERS MODULE, PHYSIOLOGICAL"/>
    <s v="PHILIPS MEDICAL SYSTEMS AUSTRA"/>
    <s v="IntelliVue X3"/>
    <s v="DE694H5816"/>
    <s v="ICU FH"/>
    <n v="1"/>
    <n v="0"/>
    <s v="Philips"/>
    <x v="2"/>
    <n v="0"/>
    <n v="0"/>
    <n v="0"/>
    <n v="0"/>
    <m/>
    <m/>
    <m/>
    <m/>
    <m/>
    <m/>
    <m/>
    <m/>
    <m/>
    <m/>
    <m/>
    <m/>
    <m/>
    <m/>
    <m/>
    <m/>
    <m/>
    <m/>
  </r>
  <r>
    <x v="9"/>
    <x v="36"/>
    <s v="06.B.116"/>
    <x v="3"/>
    <x v="2"/>
    <s v="Docked to Host Monitor"/>
    <n v="1"/>
    <m/>
    <s v="005032"/>
    <s v="MULTI-PARAMETERS MODULE, PHYSIOLOGICAL"/>
    <s v="PHILIPS MEDICAL SYSTEMS AUSTRA"/>
    <s v="IntelliVue X3"/>
    <s v="DE694H5617"/>
    <s v="ICU FH"/>
    <n v="1"/>
    <n v="0"/>
    <s v="Philips"/>
    <x v="2"/>
    <n v="0"/>
    <n v="0"/>
    <n v="0"/>
    <n v="0"/>
    <m/>
    <m/>
    <m/>
    <m/>
    <m/>
    <m/>
    <m/>
    <m/>
    <m/>
    <m/>
    <m/>
    <m/>
    <m/>
    <m/>
    <m/>
    <m/>
    <m/>
    <m/>
  </r>
  <r>
    <x v="9"/>
    <x v="36"/>
    <s v="06.B.117"/>
    <x v="3"/>
    <x v="2"/>
    <s v="Docked to Host Monitor"/>
    <n v="1"/>
    <m/>
    <s v="005033"/>
    <s v="MULTI-PARAMETERS MODULE, PHYSIOLOGICAL"/>
    <s v="PHILIPS MEDICAL SYSTEMS AUSTRA"/>
    <s v="IntelliVue X3"/>
    <s v="DE694H5714"/>
    <s v="ICU FH"/>
    <n v="1"/>
    <n v="0"/>
    <s v="Philips"/>
    <x v="2"/>
    <n v="0"/>
    <n v="0"/>
    <n v="0"/>
    <n v="0"/>
    <m/>
    <m/>
    <m/>
    <m/>
    <m/>
    <m/>
    <m/>
    <m/>
    <m/>
    <m/>
    <m/>
    <m/>
    <m/>
    <m/>
    <m/>
    <m/>
    <m/>
    <m/>
  </r>
  <r>
    <x v="9"/>
    <x v="39"/>
    <s v="06.B.118"/>
    <x v="3"/>
    <x v="2"/>
    <s v="Docked to Host Monitor"/>
    <n v="1"/>
    <m/>
    <s v="005034"/>
    <s v="MULTI-PARAMETERS MODULE, PHYSIOLOGICAL"/>
    <s v="PHILIPS MEDICAL SYSTEMS AUSTRA"/>
    <s v="IntelliVue X3"/>
    <s v="DE694H5873"/>
    <s v="ICU FH"/>
    <n v="1"/>
    <n v="0"/>
    <s v="Philips"/>
    <x v="2"/>
    <n v="0"/>
    <n v="0"/>
    <n v="0"/>
    <n v="0"/>
    <m/>
    <m/>
    <m/>
    <m/>
    <m/>
    <m/>
    <m/>
    <m/>
    <m/>
    <m/>
    <m/>
    <m/>
    <m/>
    <m/>
    <m/>
    <m/>
    <m/>
    <m/>
  </r>
  <r>
    <x v="10"/>
    <x v="40"/>
    <s v="04.B.247"/>
    <x v="0"/>
    <x v="0"/>
    <s v="Mobile (trolley mounted)"/>
    <n v="1"/>
    <m/>
    <s v="001738"/>
    <s v="MONITOR: LOW ACUITY - Mobile"/>
    <s v="WELCH ALLYN"/>
    <s v="42N0B"/>
    <n v="201408224"/>
    <s v="Outpatients"/>
    <n v="1"/>
    <n v="0"/>
    <s v="Philips"/>
    <x v="0"/>
    <n v="0"/>
    <n v="0"/>
    <n v="0"/>
    <n v="0"/>
    <m/>
    <m/>
    <s v="Compact"/>
    <s v=""/>
    <s v="Adult"/>
    <s v="Finger, Forehead, Ear, Reusable &amp; Disposable"/>
    <s v="Nellcor"/>
    <s v=""/>
    <s v=""/>
    <s v=""/>
    <s v=""/>
    <s v=""/>
    <s v=""/>
    <s v=""/>
    <s v=""/>
    <s v=""/>
    <s v=""/>
    <s v=""/>
  </r>
  <r>
    <x v="10"/>
    <x v="40"/>
    <s v="04.B.260"/>
    <x v="0"/>
    <x v="0"/>
    <s v="Mobile (trolley mounted)"/>
    <n v="1"/>
    <m/>
    <s v="000794"/>
    <s v="MONITOR: LOW ACUITY - Mobile"/>
    <s v="WELCH ALLYN"/>
    <s v="42N0B"/>
    <n v="201501307"/>
    <s v="Emergency Department "/>
    <n v="1"/>
    <n v="0"/>
    <s v="Philips"/>
    <x v="0"/>
    <n v="0"/>
    <n v="0"/>
    <n v="0"/>
    <n v="0"/>
    <m/>
    <m/>
    <s v="Compact"/>
    <s v=""/>
    <s v="Adult"/>
    <s v="Finger, Forehead, Ear, Reusable &amp; Disposable"/>
    <s v="Nellcor"/>
    <s v=""/>
    <s v=""/>
    <s v=""/>
    <s v=""/>
    <s v=""/>
    <s v=""/>
    <s v=""/>
    <s v=""/>
    <s v=""/>
    <s v=""/>
    <s v=""/>
  </r>
  <r>
    <x v="10"/>
    <x v="40"/>
    <s v="04.B.370"/>
    <x v="0"/>
    <x v="0"/>
    <s v="Mobile (trolley mounted)"/>
    <n v="1"/>
    <m/>
    <s v="000830"/>
    <s v="MONITOR: LOW ACUITY - Mobile"/>
    <s v="WELCH ALLYN"/>
    <s v="42NOB"/>
    <n v="201406739"/>
    <s v="Outpatients"/>
    <n v="1"/>
    <n v="0"/>
    <s v="Philips"/>
    <x v="0"/>
    <n v="0"/>
    <n v="0"/>
    <n v="0"/>
    <n v="0"/>
    <m/>
    <m/>
    <s v="Compact"/>
    <s v=""/>
    <s v="Adult"/>
    <s v="Finger, Forehead, Ear, Reusable &amp; Disposable"/>
    <s v="Nellcor"/>
    <s v=""/>
    <s v=""/>
    <s v=""/>
    <s v=""/>
    <s v=""/>
    <s v=""/>
    <s v=""/>
    <s v=""/>
    <s v=""/>
    <s v=""/>
    <s v=""/>
  </r>
  <r>
    <x v="10"/>
    <x v="3"/>
    <s v="04.B.262"/>
    <x v="0"/>
    <x v="0"/>
    <s v="Mobile (trolley mounted)"/>
    <n v="1"/>
    <m/>
    <s v="000434"/>
    <s v="MONITOR: LOW ACUITY - Mobile"/>
    <s v="WELCH ALLYN"/>
    <s v="42N0B"/>
    <n v="201302221"/>
    <s v="Emergency Department "/>
    <n v="1"/>
    <n v="0"/>
    <s v="Philips"/>
    <x v="0"/>
    <n v="0"/>
    <n v="0"/>
    <n v="0"/>
    <n v="0"/>
    <m/>
    <m/>
    <s v="Compact"/>
    <s v=""/>
    <s v="Adult"/>
    <s v="Finger, Forehead, Ear, Reusable &amp; Disposable"/>
    <s v="Nellcor"/>
    <s v=""/>
    <s v=""/>
    <s v=""/>
    <s v=""/>
    <s v=""/>
    <s v=""/>
    <s v=""/>
    <s v=""/>
    <s v=""/>
    <s v=""/>
    <s v=""/>
  </r>
  <r>
    <x v="11"/>
    <x v="34"/>
    <s v="07.B.044"/>
    <x v="1"/>
    <x v="1"/>
    <s v="Fixed (wall)"/>
    <n v="1"/>
    <m/>
    <s v="000902"/>
    <s v="MONITOR: MEDIUM ACUITY"/>
    <s v="PHILIPS HEALTHCARE"/>
    <s v="M8002A MP30"/>
    <s v="DE72866641"/>
    <s v="Emergency Department "/>
    <n v="1"/>
    <n v="0"/>
    <s v="Philips"/>
    <x v="12"/>
    <n v="0"/>
    <n v="1127"/>
    <n v="1127"/>
    <n v="2254"/>
    <m/>
    <m/>
    <s v="Compact &amp; medium screen"/>
    <s v="3, 5 &amp; 12 Leads"/>
    <s v="Adult"/>
    <s v="Finger, Forehead, Ear, Reusable &amp; Disposable"/>
    <s v="Nellcor"/>
    <s v=""/>
    <s v=""/>
    <s v=""/>
    <s v=""/>
    <s v="2x IBP channel provision only"/>
    <s v=""/>
    <s v=""/>
    <s v="A4 Network"/>
    <s v="Provsion only"/>
    <s v=""/>
    <s v="Yes"/>
  </r>
  <r>
    <x v="11"/>
    <x v="34"/>
    <s v="07.B.044"/>
    <x v="1"/>
    <x v="2"/>
    <s v="Docked to Host Monitor"/>
    <n v="1"/>
    <m/>
    <m/>
    <s v=""/>
    <s v=""/>
    <s v=""/>
    <s v=""/>
    <s v=""/>
    <m/>
    <n v="1"/>
    <s v="Philips"/>
    <x v="2"/>
    <n v="0"/>
    <n v="0"/>
    <n v="0"/>
    <n v="0"/>
    <m/>
    <m/>
    <m/>
    <m/>
    <m/>
    <m/>
    <m/>
    <m/>
    <m/>
    <m/>
    <m/>
    <m/>
    <m/>
    <m/>
    <m/>
    <m/>
    <m/>
    <m/>
  </r>
  <r>
    <x v="12"/>
    <x v="3"/>
    <s v="02.A.223"/>
    <x v="0"/>
    <x v="0"/>
    <s v="Mobile (trolley mounted)"/>
    <n v="1"/>
    <m/>
    <s v="000496"/>
    <s v="MONITOR: LOW ACUITY - Mobile"/>
    <s v="WELCH ALLYN"/>
    <s v="42N0B"/>
    <n v="201503374"/>
    <s v="Emergency Department "/>
    <n v="1"/>
    <n v="0"/>
    <s v="Philips"/>
    <x v="0"/>
    <n v="0"/>
    <n v="0"/>
    <n v="0"/>
    <n v="0"/>
    <m/>
    <m/>
    <s v="Compact"/>
    <s v=""/>
    <s v="Adult"/>
    <s v="Finger, Forehead, Ear, Reusable &amp; Disposable"/>
    <s v="Nellcor"/>
    <s v=""/>
    <s v=""/>
    <s v=""/>
    <s v=""/>
    <s v=""/>
    <s v=""/>
    <s v=""/>
    <s v=""/>
    <s v=""/>
    <s v=""/>
    <s v=""/>
  </r>
  <r>
    <x v="12"/>
    <x v="3"/>
    <s v="02.A.230"/>
    <x v="0"/>
    <x v="0"/>
    <s v="Mobile (trolley mounted)"/>
    <n v="1"/>
    <m/>
    <s v="000403"/>
    <s v="MONITOR: LOW ACUITY - Mobile"/>
    <s v="WELCH ALLYN"/>
    <s v="42N0B"/>
    <n v="201513281"/>
    <s v="Emergency Department "/>
    <n v="1"/>
    <n v="0"/>
    <s v="Philips"/>
    <x v="0"/>
    <n v="0"/>
    <n v="0"/>
    <n v="0"/>
    <n v="0"/>
    <m/>
    <m/>
    <s v="Compact"/>
    <s v=""/>
    <s v="Adult"/>
    <s v="Finger, Forehead, Ear, Reusable &amp; Disposable"/>
    <s v="Nellcor"/>
    <s v=""/>
    <s v=""/>
    <s v=""/>
    <s v=""/>
    <s v=""/>
    <s v=""/>
    <s v=""/>
    <s v=""/>
    <s v=""/>
    <s v=""/>
    <s v=""/>
  </r>
  <r>
    <x v="12"/>
    <x v="41"/>
    <s v="02.A.190"/>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12"/>
    <x v="3"/>
    <s v="02.A.231"/>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2"/>
    <x v="41"/>
    <s v="02.A.190"/>
    <x v="1"/>
    <x v="2"/>
    <s v="Docked to Host Monitor"/>
    <n v="1"/>
    <m/>
    <m/>
    <s v=""/>
    <s v=""/>
    <s v=""/>
    <s v=""/>
    <s v=""/>
    <m/>
    <n v="1"/>
    <s v="Philips"/>
    <x v="2"/>
    <n v="0"/>
    <n v="0"/>
    <n v="0"/>
    <n v="0"/>
    <m/>
    <m/>
    <m/>
    <m/>
    <m/>
    <m/>
    <m/>
    <m/>
    <m/>
    <m/>
    <m/>
    <m/>
    <m/>
    <m/>
    <m/>
    <m/>
    <m/>
    <m/>
  </r>
  <r>
    <x v="12"/>
    <x v="3"/>
    <s v="02.A.231"/>
    <x v="1"/>
    <x v="2"/>
    <s v="Docked to Host Monitor"/>
    <n v="1"/>
    <m/>
    <m/>
    <s v=""/>
    <s v=""/>
    <s v=""/>
    <s v=""/>
    <s v=""/>
    <m/>
    <n v="1"/>
    <s v="Philips"/>
    <x v="2"/>
    <n v="0"/>
    <n v="0"/>
    <n v="0"/>
    <n v="0"/>
    <m/>
    <m/>
    <m/>
    <m/>
    <m/>
    <m/>
    <m/>
    <m/>
    <m/>
    <m/>
    <m/>
    <m/>
    <m/>
    <m/>
    <m/>
    <m/>
    <m/>
    <m/>
  </r>
  <r>
    <x v="13"/>
    <x v="42"/>
    <s v="GF.B.234"/>
    <x v="1"/>
    <x v="12"/>
    <s v="Desktop"/>
    <n v="1"/>
    <m/>
    <m/>
    <s v=""/>
    <s v=""/>
    <s v=""/>
    <s v=""/>
    <s v=""/>
    <m/>
    <n v="1"/>
    <s v="Philips"/>
    <x v="11"/>
    <n v="3488"/>
    <n v="0"/>
    <n v="0"/>
    <n v="3488"/>
    <m/>
    <m/>
    <s v="16x Beds per Screen ( option for 32x beds for large format)"/>
    <s v=""/>
    <s v=""/>
    <s v=""/>
    <s v=""/>
    <s v=""/>
    <s v=""/>
    <s v=""/>
    <s v=""/>
    <s v=""/>
    <s v=""/>
    <s v=""/>
    <s v=""/>
    <s v=""/>
    <s v=""/>
    <s v="Yes"/>
  </r>
  <r>
    <x v="13"/>
    <x v="42"/>
    <s v="GF.B.234"/>
    <x v="1"/>
    <x v="12"/>
    <s v="Ceiling mounted"/>
    <n v="1"/>
    <m/>
    <m/>
    <s v=""/>
    <s v=""/>
    <s v=""/>
    <s v=""/>
    <s v=""/>
    <m/>
    <n v="1"/>
    <s v="Philips"/>
    <x v="11"/>
    <n v="3488"/>
    <n v="0"/>
    <n v="0"/>
    <n v="3488"/>
    <m/>
    <m/>
    <s v="16x Beds per Screen ( option for 32x beds for large format)"/>
    <s v=""/>
    <s v=""/>
    <s v=""/>
    <s v=""/>
    <s v=""/>
    <s v=""/>
    <s v=""/>
    <s v=""/>
    <s v=""/>
    <s v=""/>
    <s v=""/>
    <s v=""/>
    <s v=""/>
    <s v=""/>
    <s v="Yes"/>
  </r>
  <r>
    <x v="13"/>
    <x v="43"/>
    <s v="GF.B.237"/>
    <x v="1"/>
    <x v="12"/>
    <s v="Desktop"/>
    <n v="1"/>
    <m/>
    <m/>
    <s v=""/>
    <s v=""/>
    <s v=""/>
    <s v=""/>
    <s v=""/>
    <m/>
    <n v="1"/>
    <s v="Philips"/>
    <x v="11"/>
    <n v="3488"/>
    <n v="0"/>
    <n v="0"/>
    <n v="3488"/>
    <m/>
    <m/>
    <s v="16x Beds per Screen ( option for 32x beds for large format)"/>
    <s v=""/>
    <s v=""/>
    <s v=""/>
    <s v=""/>
    <s v=""/>
    <s v=""/>
    <s v=""/>
    <s v=""/>
    <s v=""/>
    <s v=""/>
    <s v=""/>
    <s v=""/>
    <s v=""/>
    <s v=""/>
    <s v="Yes"/>
  </r>
  <r>
    <x v="13"/>
    <x v="44"/>
    <s v="GF.B.281"/>
    <x v="1"/>
    <x v="12"/>
    <s v="Desktop"/>
    <n v="1"/>
    <m/>
    <m/>
    <s v=""/>
    <s v=""/>
    <s v=""/>
    <s v=""/>
    <s v=""/>
    <m/>
    <n v="1"/>
    <s v="Philips"/>
    <x v="11"/>
    <n v="3488"/>
    <n v="0"/>
    <n v="0"/>
    <n v="3488"/>
    <m/>
    <m/>
    <s v="16x Beds per Screen ( option for 32x beds for large format)"/>
    <s v=""/>
    <s v=""/>
    <s v=""/>
    <s v=""/>
    <s v=""/>
    <s v=""/>
    <s v=""/>
    <s v=""/>
    <s v=""/>
    <s v=""/>
    <s v=""/>
    <s v=""/>
    <s v=""/>
    <s v=""/>
    <s v="Yes"/>
  </r>
  <r>
    <x v="13"/>
    <x v="45"/>
    <s v="GF.B.345"/>
    <x v="1"/>
    <x v="12"/>
    <s v="Desktop"/>
    <n v="1"/>
    <m/>
    <m/>
    <s v=""/>
    <s v=""/>
    <s v=""/>
    <s v=""/>
    <s v=""/>
    <m/>
    <n v="1"/>
    <s v="Philips"/>
    <x v="11"/>
    <n v="3488"/>
    <n v="0"/>
    <n v="0"/>
    <n v="3488"/>
    <m/>
    <m/>
    <s v="16x Beds per Screen ( option for 32x beds for large format)"/>
    <s v=""/>
    <s v=""/>
    <s v=""/>
    <s v=""/>
    <s v=""/>
    <s v=""/>
    <s v=""/>
    <s v=""/>
    <s v=""/>
    <s v=""/>
    <s v=""/>
    <s v=""/>
    <s v=""/>
    <s v=""/>
    <s v="Yes"/>
  </r>
  <r>
    <x v="13"/>
    <x v="45"/>
    <s v="GF.B.350"/>
    <x v="1"/>
    <x v="12"/>
    <s v="Desktop"/>
    <n v="1"/>
    <m/>
    <m/>
    <s v=""/>
    <s v=""/>
    <s v=""/>
    <s v=""/>
    <s v=""/>
    <m/>
    <n v="1"/>
    <s v="Philips"/>
    <x v="11"/>
    <n v="3488"/>
    <n v="0"/>
    <n v="0"/>
    <n v="3488"/>
    <m/>
    <m/>
    <s v="16x Beds per Screen ( option for 32x beds for large format)"/>
    <s v=""/>
    <s v=""/>
    <s v=""/>
    <s v=""/>
    <s v=""/>
    <s v=""/>
    <s v=""/>
    <s v=""/>
    <s v=""/>
    <s v=""/>
    <s v=""/>
    <s v=""/>
    <s v=""/>
    <s v=""/>
    <s v="Yes"/>
  </r>
  <r>
    <x v="13"/>
    <x v="46"/>
    <s v="GF.B.354"/>
    <x v="5"/>
    <x v="12"/>
    <s v="Desktop"/>
    <n v="1"/>
    <m/>
    <m/>
    <s v=""/>
    <s v=""/>
    <s v=""/>
    <s v=""/>
    <s v=""/>
    <m/>
    <n v="1"/>
    <s v="NA"/>
    <x v="16"/>
    <s v="0"/>
    <s v="0"/>
    <s v="0"/>
    <n v="0"/>
    <m/>
    <m/>
    <s v="16x Beds per Screen ( option for 32x beds for large format)"/>
    <s v=""/>
    <s v=""/>
    <s v=""/>
    <s v=""/>
    <s v=""/>
    <s v=""/>
    <s v=""/>
    <s v=""/>
    <s v=""/>
    <s v=""/>
    <s v=""/>
    <s v=""/>
    <s v=""/>
    <s v=""/>
    <s v="Yes"/>
  </r>
  <r>
    <x v="13"/>
    <x v="46"/>
    <s v="GF.B.357"/>
    <x v="5"/>
    <x v="12"/>
    <s v="Desktop"/>
    <n v="1"/>
    <m/>
    <m/>
    <s v=""/>
    <s v=""/>
    <s v=""/>
    <s v=""/>
    <s v=""/>
    <m/>
    <n v="1"/>
    <s v="NA"/>
    <x v="16"/>
    <s v="0"/>
    <s v="0"/>
    <s v="0"/>
    <n v="0"/>
    <m/>
    <m/>
    <s v="16x Beds per Screen ( option for 32x beds for large format)"/>
    <s v=""/>
    <s v=""/>
    <s v=""/>
    <s v=""/>
    <s v=""/>
    <s v=""/>
    <s v=""/>
    <s v=""/>
    <s v=""/>
    <s v=""/>
    <s v=""/>
    <s v=""/>
    <s v=""/>
    <s v=""/>
    <s v="Yes"/>
  </r>
  <r>
    <x v="13"/>
    <x v="46"/>
    <s v="GF.B.369"/>
    <x v="5"/>
    <x v="12"/>
    <s v="Desktop"/>
    <n v="1"/>
    <m/>
    <m/>
    <s v=""/>
    <s v=""/>
    <s v=""/>
    <s v=""/>
    <s v=""/>
    <m/>
    <n v="1"/>
    <s v="NA"/>
    <x v="16"/>
    <s v="0"/>
    <s v="0"/>
    <s v="0"/>
    <n v="0"/>
    <m/>
    <m/>
    <s v="16x Beds per Screen ( option for 32x beds for large format)"/>
    <s v=""/>
    <s v=""/>
    <s v=""/>
    <s v=""/>
    <s v=""/>
    <s v=""/>
    <s v=""/>
    <s v=""/>
    <s v=""/>
    <s v=""/>
    <s v=""/>
    <s v=""/>
    <s v=""/>
    <s v=""/>
    <s v="Yes"/>
  </r>
  <r>
    <x v="13"/>
    <x v="47"/>
    <s v="GF.B.226"/>
    <x v="0"/>
    <x v="0"/>
    <s v="Mobile (trolley mounted)"/>
    <n v="1"/>
    <m/>
    <s v="003294"/>
    <s v="MONITOR: LOW ACUITY - Mobile"/>
    <s v="WELCH ALLYN"/>
    <s v="75CT"/>
    <n v="100008112117"/>
    <s v=" Ward 2 East "/>
    <n v="1"/>
    <n v="0"/>
    <s v="Philips"/>
    <x v="0"/>
    <n v="0"/>
    <n v="0"/>
    <n v="0"/>
    <n v="0"/>
    <m/>
    <m/>
    <s v="Compact"/>
    <s v=""/>
    <s v="Adult"/>
    <s v="Finger, Forehead, Ear, Reusable &amp; Disposable"/>
    <s v="Nellcor"/>
    <s v=""/>
    <s v=""/>
    <s v=""/>
    <s v=""/>
    <s v=""/>
    <s v=""/>
    <s v=""/>
    <s v=""/>
    <s v=""/>
    <s v=""/>
    <s v=""/>
  </r>
  <r>
    <x v="13"/>
    <x v="48"/>
    <s v="GF.B.246"/>
    <x v="0"/>
    <x v="0"/>
    <s v="Mobile (trolley mounted)"/>
    <n v="1"/>
    <m/>
    <s v="004239"/>
    <s v="MONITOR: LOW ACUITY - Mobile"/>
    <s v="WELCH ALLYN"/>
    <s v="75CT"/>
    <n v="100011252117"/>
    <s v="Ward 1 West "/>
    <n v="1"/>
    <n v="0"/>
    <s v="Philips"/>
    <x v="0"/>
    <n v="0"/>
    <n v="0"/>
    <n v="0"/>
    <n v="0"/>
    <m/>
    <m/>
    <s v="Compact"/>
    <s v=""/>
    <s v="Adult"/>
    <s v="Finger, Forehead, Ear, Reusable &amp; Disposable"/>
    <s v="Nellcor"/>
    <s v=""/>
    <s v=""/>
    <s v=""/>
    <s v=""/>
    <s v=""/>
    <s v=""/>
    <s v=""/>
    <s v=""/>
    <s v=""/>
    <s v=""/>
    <s v=""/>
  </r>
  <r>
    <x v="13"/>
    <x v="48"/>
    <s v="GF.B.248"/>
    <x v="0"/>
    <x v="0"/>
    <s v="Mobile (trolley mounted)"/>
    <n v="1"/>
    <m/>
    <s v="002987"/>
    <s v="MONITOR: LOW ACUITY - Mobile"/>
    <s v="WELCH ALLYN"/>
    <s v="75CT"/>
    <n v="100014202217"/>
    <s v="Ward 1 West "/>
    <n v="1"/>
    <n v="0"/>
    <s v="Philips"/>
    <x v="0"/>
    <n v="0"/>
    <n v="0"/>
    <n v="0"/>
    <n v="0"/>
    <m/>
    <m/>
    <s v="Compact"/>
    <s v=""/>
    <s v="Adult"/>
    <s v="Finger, Forehead, Ear, Reusable &amp; Disposable"/>
    <s v="Nellcor"/>
    <s v=""/>
    <s v=""/>
    <s v=""/>
    <s v=""/>
    <s v=""/>
    <s v=""/>
    <s v=""/>
    <s v=""/>
    <s v=""/>
    <s v=""/>
    <s v=""/>
  </r>
  <r>
    <x v="13"/>
    <x v="48"/>
    <s v="GF.B.249"/>
    <x v="0"/>
    <x v="0"/>
    <s v="Mobile (trolley mounted)"/>
    <n v="1"/>
    <m/>
    <s v="004953"/>
    <s v="MONITOR: LOW ACUITY - Mobile"/>
    <s v="WELCH ALLYN"/>
    <s v="75CT"/>
    <n v="100014222217"/>
    <s v=" Ward 2D "/>
    <n v="1"/>
    <n v="0"/>
    <s v="Philips"/>
    <x v="0"/>
    <n v="0"/>
    <n v="0"/>
    <n v="0"/>
    <n v="0"/>
    <m/>
    <m/>
    <s v="Compact"/>
    <s v=""/>
    <s v="Adult"/>
    <s v="Finger, Forehead, Ear, Reusable &amp; Disposable"/>
    <s v="Nellcor"/>
    <s v=""/>
    <s v=""/>
    <s v=""/>
    <s v=""/>
    <s v=""/>
    <s v=""/>
    <s v=""/>
    <s v=""/>
    <s v=""/>
    <s v=""/>
    <s v=""/>
  </r>
  <r>
    <x v="13"/>
    <x v="48"/>
    <s v="GF.B.250"/>
    <x v="0"/>
    <x v="0"/>
    <s v="Mobile (trolley mounted)"/>
    <n v="1"/>
    <m/>
    <s v="002975"/>
    <s v="MONITOR: LOW ACUITY - Mobile"/>
    <s v="WELCH ALLYN"/>
    <s v="75CT"/>
    <n v="100014252217"/>
    <s v="Ward 1 West "/>
    <n v="1"/>
    <n v="0"/>
    <s v="Philips"/>
    <x v="0"/>
    <n v="0"/>
    <n v="0"/>
    <n v="0"/>
    <n v="0"/>
    <m/>
    <m/>
    <s v="Compact"/>
    <s v=""/>
    <s v="Adult"/>
    <s v="Finger, Forehead, Ear, Reusable &amp; Disposable"/>
    <s v="Nellcor"/>
    <s v=""/>
    <s v=""/>
    <s v=""/>
    <s v=""/>
    <s v=""/>
    <s v=""/>
    <s v=""/>
    <s v=""/>
    <s v=""/>
    <s v=""/>
    <s v=""/>
  </r>
  <r>
    <x v="13"/>
    <x v="48"/>
    <s v="GF.B.251"/>
    <x v="0"/>
    <x v="0"/>
    <s v="Mobile (trolley mounted)"/>
    <n v="1"/>
    <m/>
    <s v="004043"/>
    <s v="MONITOR: LOW ACUITY - Mobile"/>
    <s v="WELCH ALLYN"/>
    <s v="75CT"/>
    <n v="100014262217"/>
    <s v=" Ward 2D "/>
    <n v="1"/>
    <n v="0"/>
    <s v="Philips"/>
    <x v="0"/>
    <n v="0"/>
    <n v="0"/>
    <n v="0"/>
    <n v="0"/>
    <m/>
    <m/>
    <s v="Compact"/>
    <s v=""/>
    <s v="Adult"/>
    <s v="Finger, Forehead, Ear, Reusable &amp; Disposable"/>
    <s v="Nellcor"/>
    <s v=""/>
    <s v=""/>
    <s v=""/>
    <s v=""/>
    <s v=""/>
    <s v=""/>
    <s v=""/>
    <s v=""/>
    <s v=""/>
    <s v=""/>
    <s v=""/>
  </r>
  <r>
    <x v="13"/>
    <x v="48"/>
    <s v="GF.B.263"/>
    <x v="0"/>
    <x v="0"/>
    <s v="Mobile (trolley mounted)"/>
    <n v="1"/>
    <m/>
    <s v="002988"/>
    <s v="MONITOR: LOW ACUITY - Mobile"/>
    <s v="WELCH ALLYN"/>
    <s v="75CT"/>
    <n v="100014272217"/>
    <s v="Ward 1 West "/>
    <n v="1"/>
    <n v="0"/>
    <s v="Philips"/>
    <x v="0"/>
    <n v="0"/>
    <n v="0"/>
    <n v="0"/>
    <n v="0"/>
    <m/>
    <m/>
    <s v="Compact"/>
    <s v=""/>
    <s v="Adult"/>
    <s v="Finger, Forehead, Ear, Reusable &amp; Disposable"/>
    <s v="Nellcor"/>
    <s v=""/>
    <s v=""/>
    <s v=""/>
    <s v=""/>
    <s v=""/>
    <s v=""/>
    <s v=""/>
    <s v=""/>
    <s v=""/>
    <s v=""/>
    <s v=""/>
  </r>
  <r>
    <x v="13"/>
    <x v="48"/>
    <s v="GF.B.265"/>
    <x v="0"/>
    <x v="0"/>
    <s v="Mobile (trolley mounted)"/>
    <n v="1"/>
    <m/>
    <s v="004415"/>
    <s v="MONITOR: LOW ACUITY - Mobile"/>
    <s v="WELCH ALLYN"/>
    <s v="75CT"/>
    <n v="100014282217"/>
    <s v=" Ward 2D "/>
    <n v="1"/>
    <n v="0"/>
    <s v="Philips"/>
    <x v="0"/>
    <n v="0"/>
    <n v="0"/>
    <n v="0"/>
    <n v="0"/>
    <m/>
    <m/>
    <s v="Compact"/>
    <s v=""/>
    <s v="Adult"/>
    <s v="Finger, Forehead, Ear, Reusable &amp; Disposable"/>
    <s v="Nellcor"/>
    <s v=""/>
    <s v=""/>
    <s v=""/>
    <s v=""/>
    <s v=""/>
    <s v=""/>
    <s v=""/>
    <s v=""/>
    <s v=""/>
    <s v=""/>
    <s v=""/>
  </r>
  <r>
    <x v="13"/>
    <x v="48"/>
    <s v="GF.B.266"/>
    <x v="0"/>
    <x v="0"/>
    <s v="Mobile (trolley mounted)"/>
    <n v="1"/>
    <m/>
    <s v="004946"/>
    <s v="MONITOR: LOW ACUITY - Mobile"/>
    <s v="WELCH ALLYN"/>
    <s v="75CT"/>
    <n v="100016912317"/>
    <s v=" Ward 2D "/>
    <n v="1"/>
    <n v="0"/>
    <s v="Philips"/>
    <x v="0"/>
    <n v="0"/>
    <n v="0"/>
    <n v="0"/>
    <n v="0"/>
    <m/>
    <m/>
    <s v="Compact"/>
    <s v=""/>
    <s v="Adult"/>
    <s v="Finger, Forehead, Ear, Reusable &amp; Disposable"/>
    <s v="Nellcor"/>
    <s v=""/>
    <s v=""/>
    <s v=""/>
    <s v=""/>
    <s v=""/>
    <s v=""/>
    <s v=""/>
    <s v=""/>
    <s v=""/>
    <s v=""/>
    <s v=""/>
  </r>
  <r>
    <x v="13"/>
    <x v="48"/>
    <s v="GF.B.267"/>
    <x v="0"/>
    <x v="0"/>
    <s v="Mobile (trolley mounted)"/>
    <n v="1"/>
    <m/>
    <s v="004264"/>
    <s v="MONITOR: LOW ACUITY - Mobile"/>
    <s v="WELCH ALLYN"/>
    <s v="75CT"/>
    <n v="100017012317"/>
    <s v="Ward 1 West "/>
    <n v="1"/>
    <n v="0"/>
    <s v="Philips"/>
    <x v="0"/>
    <n v="0"/>
    <n v="0"/>
    <n v="0"/>
    <n v="0"/>
    <m/>
    <m/>
    <s v="Compact"/>
    <s v=""/>
    <s v="Adult"/>
    <s v="Finger, Forehead, Ear, Reusable &amp; Disposable"/>
    <s v="Nellcor"/>
    <s v=""/>
    <s v=""/>
    <s v=""/>
    <s v=""/>
    <s v=""/>
    <s v=""/>
    <s v=""/>
    <s v=""/>
    <s v=""/>
    <s v=""/>
    <s v=""/>
  </r>
  <r>
    <x v="13"/>
    <x v="48"/>
    <s v="GF.B.268"/>
    <x v="0"/>
    <x v="0"/>
    <s v="Mobile (trolley mounted)"/>
    <n v="1"/>
    <m/>
    <s v="004087"/>
    <s v="MONITOR: LOW ACUITY - Mobile"/>
    <s v="WELCH ALLYN"/>
    <s v="75CT"/>
    <n v="100017032317"/>
    <s v=" Ward 2D "/>
    <n v="1"/>
    <n v="0"/>
    <s v="Philips"/>
    <x v="0"/>
    <n v="0"/>
    <n v="0"/>
    <n v="0"/>
    <n v="0"/>
    <m/>
    <m/>
    <s v="Compact"/>
    <s v=""/>
    <s v="Adult"/>
    <s v="Finger, Forehead, Ear, Reusable &amp; Disposable"/>
    <s v="Nellcor"/>
    <s v=""/>
    <s v=""/>
    <s v=""/>
    <s v=""/>
    <s v=""/>
    <s v=""/>
    <s v=""/>
    <s v=""/>
    <s v=""/>
    <s v=""/>
    <s v=""/>
  </r>
  <r>
    <x v="13"/>
    <x v="48"/>
    <s v="GF.B.271"/>
    <x v="0"/>
    <x v="0"/>
    <s v="Mobile (trolley mounted)"/>
    <n v="1"/>
    <m/>
    <s v="003534"/>
    <s v="MONITOR: LOW ACUITY - Mobile"/>
    <s v="WELCH ALLYN"/>
    <s v="75CT"/>
    <n v="100017132317"/>
    <s v=" Ward 2 East "/>
    <n v="1"/>
    <n v="0"/>
    <s v="Philips"/>
    <x v="0"/>
    <n v="0"/>
    <n v="0"/>
    <n v="0"/>
    <n v="0"/>
    <m/>
    <m/>
    <s v="Compact"/>
    <s v=""/>
    <s v="Adult"/>
    <s v="Finger, Forehead, Ear, Reusable &amp; Disposable"/>
    <s v="Nellcor"/>
    <s v=""/>
    <s v=""/>
    <s v=""/>
    <s v=""/>
    <s v=""/>
    <s v=""/>
    <s v=""/>
    <s v=""/>
    <s v=""/>
    <s v=""/>
    <s v=""/>
  </r>
  <r>
    <x v="13"/>
    <x v="48"/>
    <s v="GF.B.272"/>
    <x v="0"/>
    <x v="0"/>
    <s v="Mobile (trolley mounted)"/>
    <n v="1"/>
    <m/>
    <s v="002963"/>
    <s v="MONITOR: LOW ACUITY - Mobile"/>
    <s v="WELCH ALLYN"/>
    <s v="75CT"/>
    <n v="100017142317"/>
    <s v="Ward 1 West "/>
    <n v="1"/>
    <n v="0"/>
    <s v="Philips"/>
    <x v="0"/>
    <n v="0"/>
    <n v="0"/>
    <n v="0"/>
    <n v="0"/>
    <m/>
    <m/>
    <s v="Compact"/>
    <s v=""/>
    <s v="Adult"/>
    <s v="Finger, Forehead, Ear, Reusable &amp; Disposable"/>
    <s v="Nellcor"/>
    <s v=""/>
    <s v=""/>
    <s v=""/>
    <s v=""/>
    <s v=""/>
    <s v=""/>
    <s v=""/>
    <s v=""/>
    <s v=""/>
    <s v=""/>
    <s v=""/>
  </r>
  <r>
    <x v="13"/>
    <x v="48"/>
    <s v="GF.B.360"/>
    <x v="0"/>
    <x v="0"/>
    <s v="Mobile (trolley mounted)"/>
    <n v="1"/>
    <m/>
    <s v="003524"/>
    <s v="MONITOR: LOW ACUITY - Mobile"/>
    <s v="WELCH ALLYN"/>
    <s v="75CT"/>
    <n v="100017192317"/>
    <s v=" Ward 2 East "/>
    <n v="1"/>
    <n v="0"/>
    <s v="Philips"/>
    <x v="0"/>
    <n v="0"/>
    <n v="0"/>
    <n v="0"/>
    <n v="0"/>
    <m/>
    <m/>
    <s v="Compact"/>
    <s v=""/>
    <s v="Adult"/>
    <s v="Finger, Forehead, Ear, Reusable &amp; Disposable"/>
    <s v="Nellcor"/>
    <s v=""/>
    <s v=""/>
    <s v=""/>
    <s v=""/>
    <s v=""/>
    <s v=""/>
    <s v=""/>
    <s v=""/>
    <s v=""/>
    <s v=""/>
    <s v=""/>
  </r>
  <r>
    <x v="13"/>
    <x v="48"/>
    <s v="GF.B.363"/>
    <x v="0"/>
    <x v="0"/>
    <s v="Mobile (trolley mounted)"/>
    <n v="1"/>
    <m/>
    <s v="003555"/>
    <s v="MONITOR: LOW ACUITY - Mobile"/>
    <s v="WELCH ALLYN"/>
    <s v="75CT"/>
    <n v="100017232317"/>
    <s v=" Ward 2 East "/>
    <n v="1"/>
    <n v="0"/>
    <s v="Philips"/>
    <x v="0"/>
    <n v="0"/>
    <n v="0"/>
    <n v="0"/>
    <n v="0"/>
    <m/>
    <m/>
    <s v="Compact"/>
    <s v=""/>
    <s v="Adult"/>
    <s v="Finger, Forehead, Ear, Reusable &amp; Disposable"/>
    <s v="Nellcor"/>
    <s v=""/>
    <s v=""/>
    <s v=""/>
    <s v=""/>
    <s v=""/>
    <s v=""/>
    <s v=""/>
    <s v=""/>
    <s v=""/>
    <s v=""/>
    <s v=""/>
  </r>
  <r>
    <x v="13"/>
    <x v="49"/>
    <s v="GF.B.231"/>
    <x v="0"/>
    <x v="0"/>
    <s v="Mobile (trolley mounted)"/>
    <n v="1"/>
    <m/>
    <s v="003597"/>
    <s v="MONITOR: LOW ACUITY - Mobile"/>
    <s v="WELCH ALLYN"/>
    <s v="75CT"/>
    <n v="100011242117"/>
    <s v=" Ward 2 East "/>
    <n v="1"/>
    <n v="0"/>
    <s v="Philips"/>
    <x v="0"/>
    <n v="0"/>
    <n v="0"/>
    <n v="0"/>
    <n v="0"/>
    <m/>
    <m/>
    <s v="Compact"/>
    <s v=""/>
    <s v="Adult"/>
    <s v="Finger, Forehead, Ear, Reusable &amp; Disposable"/>
    <s v="Nellcor"/>
    <s v=""/>
    <s v=""/>
    <s v=""/>
    <s v=""/>
    <s v=""/>
    <s v=""/>
    <s v=""/>
    <s v=""/>
    <s v=""/>
    <s v=""/>
    <s v=""/>
  </r>
  <r>
    <x v="13"/>
    <x v="50"/>
    <s v="GF.B.212"/>
    <x v="0"/>
    <x v="0"/>
    <s v="Mobile (trolley mounted)"/>
    <n v="1"/>
    <m/>
    <s v="000389"/>
    <s v="VSM / DIAGNOSTIC SET"/>
    <s v="WELCH ALLYN"/>
    <m/>
    <m/>
    <m/>
    <n v="1"/>
    <n v="0"/>
    <s v="Philips"/>
    <x v="0"/>
    <n v="0"/>
    <n v="0"/>
    <n v="0"/>
    <n v="0"/>
    <m/>
    <m/>
    <s v="Compact"/>
    <s v=""/>
    <s v="Adult"/>
    <s v="Finger, Forehead, Ear, Reusable &amp; Disposable"/>
    <s v="Nellcor"/>
    <s v=""/>
    <s v=""/>
    <s v=""/>
    <s v=""/>
    <s v=""/>
    <s v=""/>
    <s v=""/>
    <s v=""/>
    <s v=""/>
    <s v=""/>
    <s v=""/>
  </r>
  <r>
    <x v="13"/>
    <x v="51"/>
    <s v="GF.B.286"/>
    <x v="0"/>
    <x v="0"/>
    <s v="Mobile (trolley mounted)"/>
    <n v="1"/>
    <m/>
    <s v="001099"/>
    <s v="MONITOR: LOW ACUITY - Mobile"/>
    <s v="WELCH ALLYN"/>
    <s v="75CT"/>
    <n v="100014232217"/>
    <s v="Cardiac Care Unit"/>
    <n v="1"/>
    <n v="0"/>
    <s v="Philips"/>
    <x v="0"/>
    <n v="0"/>
    <n v="0"/>
    <n v="0"/>
    <n v="0"/>
    <m/>
    <m/>
    <s v="Compact"/>
    <s v=""/>
    <s v="Adult"/>
    <s v="Finger, Forehead, Ear, Reusable &amp; Disposable"/>
    <s v="Nellcor"/>
    <s v=""/>
    <s v=""/>
    <s v=""/>
    <s v=""/>
    <s v=""/>
    <s v=""/>
    <s v=""/>
    <s v=""/>
    <s v=""/>
    <s v=""/>
    <s v=""/>
  </r>
  <r>
    <x v="13"/>
    <x v="52"/>
    <s v="GF.B.298"/>
    <x v="0"/>
    <x v="0"/>
    <s v="Mobile (trolley mounted)"/>
    <n v="1"/>
    <m/>
    <s v="001094"/>
    <s v="MONITOR: LOW ACUITY - Mobile"/>
    <s v="WELCH ALLYN"/>
    <s v="75CT"/>
    <n v="100017282317"/>
    <s v="Cardiac Care Unit"/>
    <n v="1"/>
    <n v="0"/>
    <s v="Philips"/>
    <x v="0"/>
    <n v="0"/>
    <n v="0"/>
    <n v="0"/>
    <n v="0"/>
    <m/>
    <m/>
    <s v="Compact"/>
    <s v=""/>
    <s v="Adult"/>
    <s v="Finger, Forehead, Ear, Reusable &amp; Disposable"/>
    <s v="Nellcor"/>
    <s v=""/>
    <s v=""/>
    <s v=""/>
    <s v=""/>
    <s v=""/>
    <s v=""/>
    <s v=""/>
    <s v=""/>
    <s v=""/>
    <s v=""/>
    <s v=""/>
  </r>
  <r>
    <x v="13"/>
    <x v="47"/>
    <s v="GF.B.224"/>
    <x v="0"/>
    <x v="0"/>
    <s v="Mobile (trolley mounted)"/>
    <n v="1"/>
    <m/>
    <s v="003291"/>
    <s v="MONITOR: LOW ACUITY - Mobile"/>
    <s v="WELCH ALLYN"/>
    <s v="75CT"/>
    <n v="100008062117"/>
    <s v=" Ward 2 East "/>
    <n v="1"/>
    <n v="0"/>
    <s v="Philips"/>
    <x v="0"/>
    <n v="0"/>
    <n v="0"/>
    <n v="0"/>
    <n v="0"/>
    <m/>
    <m/>
    <s v="Compact"/>
    <s v=""/>
    <s v="Adult"/>
    <s v="Finger, Forehead, Ear, Reusable &amp; Disposable"/>
    <s v="Nellcor"/>
    <s v=""/>
    <s v=""/>
    <s v=""/>
    <s v=""/>
    <s v=""/>
    <s v=""/>
    <s v=""/>
    <s v=""/>
    <s v=""/>
    <s v=""/>
    <s v=""/>
  </r>
  <r>
    <x v="13"/>
    <x v="47"/>
    <s v="GF.B.225"/>
    <x v="0"/>
    <x v="0"/>
    <s v="Mobile (trolley mounted)"/>
    <n v="1"/>
    <m/>
    <s v="003567"/>
    <s v="MONITOR: LOW ACUITY - Mobile"/>
    <s v="WELCH ALLYN"/>
    <s v="75CT"/>
    <n v="100008062117"/>
    <s v=" Ward 2 East "/>
    <n v="1"/>
    <n v="0"/>
    <s v="Philips"/>
    <x v="0"/>
    <n v="0"/>
    <n v="0"/>
    <n v="0"/>
    <n v="0"/>
    <m/>
    <m/>
    <s v="Compact"/>
    <s v=""/>
    <s v="Adult"/>
    <s v="Finger, Forehead, Ear, Reusable &amp; Disposable"/>
    <s v="Nellcor"/>
    <s v=""/>
    <s v=""/>
    <s v=""/>
    <s v=""/>
    <s v=""/>
    <s v=""/>
    <s v=""/>
    <s v=""/>
    <s v=""/>
    <s v=""/>
    <s v=""/>
  </r>
  <r>
    <x v="13"/>
    <x v="47"/>
    <s v="GF.B.227"/>
    <x v="0"/>
    <x v="0"/>
    <s v="Mobile (trolley mounted)"/>
    <n v="1"/>
    <m/>
    <s v="003576"/>
    <s v="MONITOR: LOW ACUITY - Mobile"/>
    <s v="WELCH ALLYN"/>
    <s v="75CT"/>
    <n v="100008112117"/>
    <s v=" Ward 2 East "/>
    <n v="1"/>
    <n v="0"/>
    <s v="Philips"/>
    <x v="0"/>
    <n v="0"/>
    <n v="0"/>
    <n v="0"/>
    <n v="0"/>
    <m/>
    <m/>
    <s v="Compact"/>
    <s v=""/>
    <s v="Adult"/>
    <s v="Finger, Forehead, Ear, Reusable &amp; Disposable"/>
    <s v="Nellcor"/>
    <s v=""/>
    <s v=""/>
    <s v=""/>
    <s v=""/>
    <s v=""/>
    <s v=""/>
    <s v=""/>
    <s v=""/>
    <s v=""/>
    <s v=""/>
    <s v=""/>
  </r>
  <r>
    <x v="13"/>
    <x v="47"/>
    <s v="GF.B.228"/>
    <x v="0"/>
    <x v="0"/>
    <s v="Mobile (trolley mounted)"/>
    <n v="1"/>
    <m/>
    <s v="004037"/>
    <s v="MONITOR: LOW ACUITY - Mobile"/>
    <s v="WELCH ALLYN"/>
    <s v="75CT"/>
    <n v="100008152117"/>
    <s v=" Ward 2D "/>
    <n v="1"/>
    <n v="0"/>
    <s v="Philips"/>
    <x v="0"/>
    <n v="0"/>
    <n v="0"/>
    <n v="0"/>
    <n v="0"/>
    <m/>
    <m/>
    <s v="Compact"/>
    <s v=""/>
    <s v="Adult"/>
    <s v="Finger, Forehead, Ear, Reusable &amp; Disposable"/>
    <s v="Nellcor"/>
    <s v=""/>
    <s v=""/>
    <s v=""/>
    <s v=""/>
    <s v=""/>
    <s v=""/>
    <s v=""/>
    <s v=""/>
    <s v=""/>
    <s v=""/>
    <s v=""/>
  </r>
  <r>
    <x v="13"/>
    <x v="47"/>
    <s v="GF.B.230"/>
    <x v="0"/>
    <x v="0"/>
    <s v="Mobile (trolley mounted)"/>
    <n v="1"/>
    <m/>
    <s v="004419"/>
    <s v="MONITOR: LOW ACUITY - Mobile"/>
    <s v="WELCH ALLYN"/>
    <s v="75CT"/>
    <n v="100008172117"/>
    <s v=" Ward 2D "/>
    <n v="1"/>
    <n v="0"/>
    <s v="Philips"/>
    <x v="0"/>
    <n v="0"/>
    <n v="0"/>
    <n v="0"/>
    <n v="0"/>
    <m/>
    <m/>
    <s v="Compact"/>
    <s v=""/>
    <s v="Adult"/>
    <s v="Finger, Forehead, Ear, Reusable &amp; Disposable"/>
    <s v="Nellcor"/>
    <s v=""/>
    <s v=""/>
    <s v=""/>
    <s v=""/>
    <s v=""/>
    <s v=""/>
    <s v=""/>
    <s v=""/>
    <s v=""/>
    <s v=""/>
    <s v=""/>
  </r>
  <r>
    <x v="13"/>
    <x v="32"/>
    <s v="GF.B.211"/>
    <x v="1"/>
    <x v="1"/>
    <s v="Wall Mounted"/>
    <n v="1"/>
    <m/>
    <m/>
    <m/>
    <m/>
    <m/>
    <m/>
    <m/>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3"/>
    <x v="53"/>
    <s v="GF.B.232"/>
    <x v="1"/>
    <x v="1"/>
    <s v="Wall Mounted"/>
    <n v="1"/>
    <m/>
    <s v="004880"/>
    <s v="MONITOR: MEDIUM ACUITY"/>
    <s v="PHILIPS HEALTHCARE"/>
    <s v="866062 MX450"/>
    <n v="0"/>
    <s v="BIOMED"/>
    <n v="1"/>
    <n v="0"/>
    <s v="Philips"/>
    <x v="12"/>
    <n v="0"/>
    <n v="1127"/>
    <n v="1127"/>
    <n v="2254"/>
    <m/>
    <m/>
    <s v="Compact &amp; medium screen"/>
    <s v="3, 5 &amp; 12 Leads"/>
    <s v="Adult"/>
    <s v="Finger, Forehead, Ear, Reusable &amp; Disposable"/>
    <s v="Nellcor"/>
    <s v=""/>
    <s v=""/>
    <s v=""/>
    <s v=""/>
    <s v="2x IBP channel provision only"/>
    <s v=""/>
    <s v=""/>
    <s v="A4 Network"/>
    <s v="Provsion only"/>
    <s v=""/>
    <s v="Yes"/>
  </r>
  <r>
    <x v="13"/>
    <x v="54"/>
    <s v="GF.B.235"/>
    <x v="1"/>
    <x v="1"/>
    <s v="Wall Mounted"/>
    <n v="1"/>
    <m/>
    <s v="005024"/>
    <s v="MONITOR: MEDIUM ACUITY"/>
    <s v="PHILIPS HEALTHCARE"/>
    <s v="866062 MX450"/>
    <n v="0"/>
    <s v="INTENSIVE CARE UNIT"/>
    <n v="1"/>
    <n v="0"/>
    <s v="Philips"/>
    <x v="12"/>
    <n v="0"/>
    <n v="1127"/>
    <n v="1127"/>
    <n v="2254"/>
    <m/>
    <m/>
    <s v="Compact &amp; medium screen"/>
    <s v="3, 5 &amp; 12 Leads"/>
    <s v="Adult"/>
    <s v="Finger, Forehead, Ear, Reusable &amp; Disposable"/>
    <s v="Nellcor"/>
    <s v=""/>
    <s v=""/>
    <s v=""/>
    <s v=""/>
    <s v="2x IBP channel provision only"/>
    <s v=""/>
    <s v=""/>
    <s v="A4 Network"/>
    <s v="Provsion only"/>
    <s v=""/>
    <s v="Yes"/>
  </r>
  <r>
    <x v="13"/>
    <x v="54"/>
    <s v="GF.B.239"/>
    <x v="1"/>
    <x v="1"/>
    <s v="Wall Mounted"/>
    <n v="1"/>
    <m/>
    <s v="006521"/>
    <s v="MONITOR: MEDIUM ACUITY"/>
    <s v="PHILIPS HEALTHCARE"/>
    <s v="866062 MX450"/>
    <n v="0"/>
    <s v="BIOMED"/>
    <n v="1"/>
    <n v="0"/>
    <s v="Philips"/>
    <x v="12"/>
    <n v="0"/>
    <n v="1127"/>
    <n v="1127"/>
    <n v="2254"/>
    <m/>
    <m/>
    <s v="Compact &amp; medium screen"/>
    <s v="3, 5 &amp; 12 Leads"/>
    <s v="Adult"/>
    <s v="Finger, Forehead, Ear, Reusable &amp; Disposable"/>
    <s v="Nellcor"/>
    <s v=""/>
    <s v=""/>
    <s v=""/>
    <s v=""/>
    <s v="2x IBP channel provision only"/>
    <s v=""/>
    <s v=""/>
    <s v="A4 Network"/>
    <s v="Provsion only"/>
    <s v=""/>
    <s v="Yes"/>
  </r>
  <r>
    <x v="13"/>
    <x v="55"/>
    <s v="GF.B.241"/>
    <x v="1"/>
    <x v="1"/>
    <s v="Wall Mounted"/>
    <n v="1"/>
    <m/>
    <m/>
    <m/>
    <m/>
    <m/>
    <m/>
    <m/>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3"/>
    <x v="24"/>
    <s v="GF.B.277"/>
    <x v="1"/>
    <x v="1"/>
    <s v="Wall Mounted"/>
    <n v="1"/>
    <m/>
    <m/>
    <m/>
    <m/>
    <m/>
    <m/>
    <m/>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3"/>
    <x v="24"/>
    <s v="GF.B.280"/>
    <x v="1"/>
    <x v="1"/>
    <s v="Wall Mounted"/>
    <n v="1"/>
    <m/>
    <m/>
    <m/>
    <m/>
    <m/>
    <m/>
    <m/>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3"/>
    <x v="56"/>
    <s v="GF.B.295"/>
    <x v="1"/>
    <x v="1"/>
    <s v="Wall Mounted"/>
    <n v="1"/>
    <m/>
    <m/>
    <m/>
    <m/>
    <m/>
    <m/>
    <m/>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3"/>
    <x v="57"/>
    <s v="GF.B.310"/>
    <x v="1"/>
    <x v="1"/>
    <s v="Wall Mounted"/>
    <n v="1"/>
    <m/>
    <m/>
    <m/>
    <m/>
    <m/>
    <m/>
    <m/>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3"/>
    <x v="58"/>
    <s v="GF.B.314"/>
    <x v="1"/>
    <x v="1"/>
    <s v="Wall Mounted"/>
    <n v="1"/>
    <m/>
    <m/>
    <m/>
    <m/>
    <m/>
    <m/>
    <m/>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3"/>
    <x v="59"/>
    <s v="GF.B.320"/>
    <x v="1"/>
    <x v="1"/>
    <s v="Wall Mounted"/>
    <n v="1"/>
    <m/>
    <m/>
    <m/>
    <m/>
    <m/>
    <m/>
    <m/>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3"/>
    <x v="60"/>
    <s v="GF.B.349"/>
    <x v="1"/>
    <x v="1"/>
    <s v="Wall Mounted"/>
    <n v="1"/>
    <m/>
    <m/>
    <m/>
    <m/>
    <m/>
    <m/>
    <m/>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3"/>
    <x v="61"/>
    <s v="GF.B.352"/>
    <x v="1"/>
    <x v="1"/>
    <s v="Wall Mounted"/>
    <n v="1"/>
    <m/>
    <m/>
    <m/>
    <m/>
    <m/>
    <m/>
    <m/>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3"/>
    <x v="62"/>
    <s v="GF.B.361"/>
    <x v="1"/>
    <x v="1"/>
    <s v="Wall Mounted"/>
    <n v="1"/>
    <m/>
    <m/>
    <m/>
    <m/>
    <m/>
    <m/>
    <m/>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3"/>
    <x v="63"/>
    <s v="GF.B.353"/>
    <x v="5"/>
    <x v="16"/>
    <s v="Machine Mounted - ANAESTHETIC"/>
    <n v="1"/>
    <m/>
    <m/>
    <s v=""/>
    <s v=""/>
    <s v=""/>
    <s v=""/>
    <s v=""/>
    <m/>
    <n v="1"/>
    <s v="NA"/>
    <x v="16"/>
    <s v="0"/>
    <s v="0"/>
    <s v="0"/>
    <n v="0"/>
    <m/>
    <m/>
    <s v="Compact &amp; large screen"/>
    <s v="3, 5 &amp; 12 Leads"/>
    <s v="Adult"/>
    <s v="Finger, Forehead, Ear, Reusable &amp; Disposable"/>
    <s v="Nellcor"/>
    <s v="Yes"/>
    <s v="Bilateral BIS, NM &amp; TOF"/>
    <s v="side/microstream"/>
    <s v=""/>
    <s v="4x IBP"/>
    <s v=""/>
    <s v=""/>
    <s v="A4 Network"/>
    <s v=""/>
    <s v="yes slave high acuity to induction room with Airway parameters"/>
    <s v="Yes"/>
  </r>
  <r>
    <x v="13"/>
    <x v="63"/>
    <s v="GF.B.358"/>
    <x v="5"/>
    <x v="16"/>
    <s v="Machine Mounted - ANAESTHETIC"/>
    <n v="1"/>
    <m/>
    <m/>
    <s v=""/>
    <s v=""/>
    <s v=""/>
    <s v=""/>
    <s v=""/>
    <m/>
    <n v="1"/>
    <s v="NA"/>
    <x v="16"/>
    <s v="0"/>
    <s v="0"/>
    <s v="0"/>
    <n v="0"/>
    <m/>
    <m/>
    <s v="Compact &amp; large screen"/>
    <s v="3, 5 &amp; 12 Leads"/>
    <s v="Adult"/>
    <s v="Finger, Forehead, Ear, Reusable &amp; Disposable"/>
    <s v="Nellcor"/>
    <s v="Yes"/>
    <s v="Bilateral BIS, NM &amp; TOF"/>
    <s v="side/microstream"/>
    <s v=""/>
    <s v="4x IBP"/>
    <s v=""/>
    <s v=""/>
    <s v="A4 Network"/>
    <s v=""/>
    <s v="yes slave high acuity to induction room with Airway parameters"/>
    <s v="Yes"/>
  </r>
  <r>
    <x v="13"/>
    <x v="63"/>
    <s v="GF.B.368"/>
    <x v="5"/>
    <x v="16"/>
    <s v="Machine Mounted - ANAESTHETIC"/>
    <n v="1"/>
    <m/>
    <m/>
    <s v=""/>
    <s v=""/>
    <s v=""/>
    <s v=""/>
    <s v=""/>
    <m/>
    <n v="1"/>
    <s v="NA"/>
    <x v="16"/>
    <s v="0"/>
    <s v="0"/>
    <s v="0"/>
    <n v="0"/>
    <m/>
    <m/>
    <s v="Compact &amp; large screen"/>
    <s v="3, 5 &amp; 12 Leads"/>
    <s v="Adult"/>
    <s v="Finger, Forehead, Ear, Reusable &amp; Disposable"/>
    <s v="Nellcor"/>
    <s v="Yes"/>
    <s v="Bilateral BIS, NM &amp; TOF"/>
    <s v="side/microstream"/>
    <s v=""/>
    <s v="4x IBP"/>
    <s v=""/>
    <s v=""/>
    <s v="A4 Network"/>
    <s v=""/>
    <s v="yes slave high acuity to induction room with Airway parameters"/>
    <s v="Yes"/>
  </r>
  <r>
    <x v="13"/>
    <x v="32"/>
    <s v="GF.B.211"/>
    <x v="1"/>
    <x v="2"/>
    <s v="Docked to Host Monitor"/>
    <n v="1"/>
    <m/>
    <m/>
    <s v=""/>
    <s v=""/>
    <s v=""/>
    <s v=""/>
    <s v=""/>
    <m/>
    <n v="1"/>
    <s v="Philips"/>
    <x v="2"/>
    <n v="0"/>
    <n v="0"/>
    <n v="0"/>
    <n v="0"/>
    <m/>
    <m/>
    <m/>
    <m/>
    <m/>
    <m/>
    <m/>
    <m/>
    <m/>
    <m/>
    <m/>
    <m/>
    <m/>
    <m/>
    <m/>
    <m/>
    <m/>
    <m/>
  </r>
  <r>
    <x v="13"/>
    <x v="53"/>
    <s v="GF.B.232"/>
    <x v="1"/>
    <x v="2"/>
    <s v="Docked to Host Monitor"/>
    <n v="1"/>
    <m/>
    <m/>
    <s v=""/>
    <s v=""/>
    <s v=""/>
    <s v=""/>
    <s v=""/>
    <m/>
    <n v="1"/>
    <s v="Philips"/>
    <x v="2"/>
    <n v="0"/>
    <n v="0"/>
    <n v="0"/>
    <n v="0"/>
    <m/>
    <m/>
    <m/>
    <m/>
    <m/>
    <m/>
    <m/>
    <m/>
    <m/>
    <m/>
    <m/>
    <m/>
    <m/>
    <m/>
    <m/>
    <m/>
    <m/>
    <m/>
  </r>
  <r>
    <x v="13"/>
    <x v="54"/>
    <s v="GF.B.235"/>
    <x v="1"/>
    <x v="2"/>
    <s v="Docked to Host Monitor"/>
    <n v="1"/>
    <m/>
    <m/>
    <s v=""/>
    <s v=""/>
    <s v=""/>
    <s v=""/>
    <s v=""/>
    <m/>
    <n v="1"/>
    <s v="Philips"/>
    <x v="2"/>
    <n v="0"/>
    <n v="0"/>
    <n v="0"/>
    <n v="0"/>
    <m/>
    <m/>
    <m/>
    <m/>
    <m/>
    <m/>
    <m/>
    <m/>
    <m/>
    <m/>
    <m/>
    <m/>
    <m/>
    <m/>
    <m/>
    <m/>
    <m/>
    <m/>
  </r>
  <r>
    <x v="13"/>
    <x v="54"/>
    <s v="GF.B.239"/>
    <x v="1"/>
    <x v="2"/>
    <s v="Docked to Host Monitor"/>
    <n v="1"/>
    <m/>
    <m/>
    <s v=""/>
    <s v=""/>
    <s v=""/>
    <s v=""/>
    <s v=""/>
    <m/>
    <n v="1"/>
    <s v="Philips"/>
    <x v="2"/>
    <n v="0"/>
    <n v="0"/>
    <n v="0"/>
    <n v="0"/>
    <m/>
    <m/>
    <m/>
    <m/>
    <m/>
    <m/>
    <m/>
    <m/>
    <m/>
    <m/>
    <m/>
    <m/>
    <m/>
    <m/>
    <m/>
    <m/>
    <m/>
    <m/>
  </r>
  <r>
    <x v="13"/>
    <x v="55"/>
    <s v="GF.B.241"/>
    <x v="1"/>
    <x v="2"/>
    <s v="Docked to Host Monitor"/>
    <n v="1"/>
    <m/>
    <m/>
    <s v=""/>
    <s v=""/>
    <s v=""/>
    <s v=""/>
    <s v=""/>
    <m/>
    <n v="1"/>
    <s v="Philips"/>
    <x v="2"/>
    <n v="0"/>
    <n v="0"/>
    <n v="0"/>
    <n v="0"/>
    <m/>
    <m/>
    <m/>
    <m/>
    <m/>
    <m/>
    <m/>
    <m/>
    <m/>
    <m/>
    <m/>
    <m/>
    <m/>
    <m/>
    <m/>
    <m/>
    <m/>
    <m/>
  </r>
  <r>
    <x v="13"/>
    <x v="24"/>
    <s v="GF.B.277"/>
    <x v="1"/>
    <x v="2"/>
    <s v="Docked to Host Monitor"/>
    <n v="1"/>
    <m/>
    <m/>
    <s v=""/>
    <s v=""/>
    <s v=""/>
    <s v=""/>
    <s v=""/>
    <m/>
    <n v="1"/>
    <s v="Philips"/>
    <x v="2"/>
    <n v="0"/>
    <n v="0"/>
    <n v="0"/>
    <n v="0"/>
    <m/>
    <m/>
    <m/>
    <m/>
    <m/>
    <m/>
    <m/>
    <m/>
    <m/>
    <m/>
    <m/>
    <m/>
    <m/>
    <m/>
    <m/>
    <m/>
    <m/>
    <m/>
  </r>
  <r>
    <x v="13"/>
    <x v="24"/>
    <s v="GF.B.280"/>
    <x v="1"/>
    <x v="2"/>
    <s v="Docked to Host Monitor"/>
    <n v="1"/>
    <m/>
    <m/>
    <s v=""/>
    <s v=""/>
    <s v=""/>
    <s v=""/>
    <s v=""/>
    <m/>
    <n v="1"/>
    <s v="Philips"/>
    <x v="2"/>
    <n v="0"/>
    <n v="0"/>
    <n v="0"/>
    <n v="0"/>
    <m/>
    <m/>
    <m/>
    <m/>
    <m/>
    <m/>
    <m/>
    <m/>
    <m/>
    <m/>
    <m/>
    <m/>
    <m/>
    <m/>
    <m/>
    <m/>
    <m/>
    <m/>
  </r>
  <r>
    <x v="13"/>
    <x v="56"/>
    <s v="GF.B.295"/>
    <x v="1"/>
    <x v="2"/>
    <s v="Docked to Host Monitor"/>
    <n v="1"/>
    <m/>
    <m/>
    <s v=""/>
    <s v=""/>
    <s v=""/>
    <s v=""/>
    <s v=""/>
    <m/>
    <n v="1"/>
    <s v="Philips"/>
    <x v="2"/>
    <n v="0"/>
    <n v="0"/>
    <n v="0"/>
    <n v="0"/>
    <m/>
    <m/>
    <m/>
    <m/>
    <m/>
    <m/>
    <m/>
    <m/>
    <m/>
    <m/>
    <m/>
    <m/>
    <m/>
    <m/>
    <m/>
    <m/>
    <m/>
    <m/>
  </r>
  <r>
    <x v="13"/>
    <x v="57"/>
    <s v="GF.B.310"/>
    <x v="1"/>
    <x v="2"/>
    <s v="Docked to Host Monitor"/>
    <n v="1"/>
    <m/>
    <m/>
    <s v=""/>
    <s v=""/>
    <s v=""/>
    <s v=""/>
    <s v=""/>
    <m/>
    <n v="1"/>
    <s v="Philips"/>
    <x v="2"/>
    <n v="0"/>
    <n v="0"/>
    <n v="0"/>
    <n v="0"/>
    <m/>
    <m/>
    <m/>
    <m/>
    <m/>
    <m/>
    <m/>
    <m/>
    <m/>
    <m/>
    <m/>
    <m/>
    <m/>
    <m/>
    <m/>
    <m/>
    <m/>
    <m/>
  </r>
  <r>
    <x v="13"/>
    <x v="58"/>
    <s v="GF.B.314"/>
    <x v="1"/>
    <x v="2"/>
    <s v="Docked to Host Monitor"/>
    <n v="1"/>
    <m/>
    <m/>
    <s v=""/>
    <s v=""/>
    <s v=""/>
    <s v=""/>
    <s v=""/>
    <m/>
    <n v="1"/>
    <s v="Philips"/>
    <x v="2"/>
    <n v="0"/>
    <n v="0"/>
    <n v="0"/>
    <n v="0"/>
    <m/>
    <m/>
    <m/>
    <m/>
    <m/>
    <m/>
    <m/>
    <m/>
    <m/>
    <m/>
    <m/>
    <m/>
    <m/>
    <m/>
    <m/>
    <m/>
    <m/>
    <m/>
  </r>
  <r>
    <x v="13"/>
    <x v="59"/>
    <s v="GF.B.320"/>
    <x v="1"/>
    <x v="2"/>
    <s v="Docked to Host Monitor"/>
    <n v="1"/>
    <m/>
    <m/>
    <s v=""/>
    <s v=""/>
    <s v=""/>
    <s v=""/>
    <s v=""/>
    <m/>
    <n v="1"/>
    <s v="Philips"/>
    <x v="2"/>
    <n v="0"/>
    <n v="0"/>
    <n v="0"/>
    <n v="0"/>
    <m/>
    <m/>
    <m/>
    <m/>
    <m/>
    <m/>
    <m/>
    <m/>
    <m/>
    <m/>
    <m/>
    <m/>
    <m/>
    <m/>
    <m/>
    <m/>
    <m/>
    <m/>
  </r>
  <r>
    <x v="13"/>
    <x v="60"/>
    <s v="GF.B.349"/>
    <x v="1"/>
    <x v="2"/>
    <s v="Docked to Host Monitor"/>
    <n v="1"/>
    <m/>
    <m/>
    <s v=""/>
    <s v=""/>
    <s v=""/>
    <s v=""/>
    <s v=""/>
    <m/>
    <n v="1"/>
    <s v="Philips"/>
    <x v="2"/>
    <n v="0"/>
    <n v="0"/>
    <n v="0"/>
    <n v="0"/>
    <m/>
    <m/>
    <m/>
    <m/>
    <m/>
    <m/>
    <m/>
    <m/>
    <m/>
    <m/>
    <m/>
    <m/>
    <m/>
    <m/>
    <m/>
    <m/>
    <m/>
    <m/>
  </r>
  <r>
    <x v="13"/>
    <x v="61"/>
    <s v="GF.B.352"/>
    <x v="1"/>
    <x v="2"/>
    <s v="Docked to Host Monitor"/>
    <n v="1"/>
    <m/>
    <m/>
    <s v=""/>
    <s v=""/>
    <s v=""/>
    <s v=""/>
    <s v=""/>
    <m/>
    <n v="1"/>
    <s v="Philips"/>
    <x v="2"/>
    <n v="0"/>
    <n v="0"/>
    <n v="0"/>
    <n v="0"/>
    <m/>
    <m/>
    <m/>
    <m/>
    <m/>
    <m/>
    <m/>
    <m/>
    <m/>
    <m/>
    <m/>
    <m/>
    <m/>
    <m/>
    <m/>
    <m/>
    <m/>
    <m/>
  </r>
  <r>
    <x v="13"/>
    <x v="62"/>
    <s v="GF.B.361"/>
    <x v="1"/>
    <x v="2"/>
    <s v="Docked to Host Monitor"/>
    <n v="1"/>
    <m/>
    <m/>
    <s v=""/>
    <s v=""/>
    <s v=""/>
    <s v=""/>
    <s v=""/>
    <m/>
    <n v="1"/>
    <s v="Philips"/>
    <x v="2"/>
    <n v="0"/>
    <n v="0"/>
    <n v="0"/>
    <n v="0"/>
    <m/>
    <m/>
    <m/>
    <m/>
    <m/>
    <m/>
    <m/>
    <m/>
    <m/>
    <m/>
    <m/>
    <m/>
    <m/>
    <m/>
    <m/>
    <m/>
    <m/>
    <m/>
  </r>
  <r>
    <x v="14"/>
    <x v="3"/>
    <s v="05.B.003"/>
    <x v="0"/>
    <x v="0"/>
    <s v="Mobile (trolley mounted)"/>
    <n v="1"/>
    <m/>
    <s v="003016"/>
    <s v="MONITOR: LOW ACUITY - Mobile"/>
    <s v="WELCH ALLYN"/>
    <s v="75CT"/>
    <n v="21100083721517"/>
    <s v="Cardiac Care Unit"/>
    <n v="1"/>
    <n v="0"/>
    <s v="Philips"/>
    <x v="0"/>
    <n v="0"/>
    <n v="0"/>
    <n v="0"/>
    <n v="0"/>
    <m/>
    <m/>
    <s v="Compact"/>
    <s v=""/>
    <s v="Adult"/>
    <s v="Finger, Forehead, Ear, Reusable &amp; Disposable"/>
    <s v="Nellcor"/>
    <s v=""/>
    <s v=""/>
    <s v=""/>
    <s v=""/>
    <s v=""/>
    <s v=""/>
    <s v=""/>
    <s v=""/>
    <s v=""/>
    <s v=""/>
    <s v=""/>
  </r>
  <r>
    <x v="14"/>
    <x v="41"/>
    <s v="05.B.010"/>
    <x v="0"/>
    <x v="0"/>
    <s v="Mobile (trolley mounted)"/>
    <n v="1"/>
    <m/>
    <s v="004294"/>
    <s v="MONITOR: LOW ACUITY - Mobile"/>
    <s v="WELCH ALLYN"/>
    <s v="75CT"/>
    <n v="100017372317"/>
    <s v="Ward 1 West "/>
    <n v="1"/>
    <n v="0"/>
    <s v="Philips"/>
    <x v="0"/>
    <n v="0"/>
    <n v="0"/>
    <n v="0"/>
    <n v="0"/>
    <m/>
    <m/>
    <s v="Compact"/>
    <s v=""/>
    <s v="Adult"/>
    <s v="Finger, Forehead, Ear, Reusable &amp; Disposable"/>
    <s v="Nellcor"/>
    <s v=""/>
    <s v=""/>
    <s v=""/>
    <s v=""/>
    <s v=""/>
    <s v=""/>
    <s v=""/>
    <s v=""/>
    <s v=""/>
    <s v=""/>
    <s v=""/>
  </r>
  <r>
    <x v="14"/>
    <x v="41"/>
    <s v="05.B.011"/>
    <x v="0"/>
    <x v="0"/>
    <s v="Mobile (trolley mounted)"/>
    <n v="1"/>
    <m/>
    <s v="004076"/>
    <s v="MONITOR: LOW ACUITY - Mobile"/>
    <s v="WELCH ALLYN"/>
    <s v="75CT"/>
    <n v="100017362317"/>
    <s v=" Ward 2D "/>
    <n v="1"/>
    <n v="0"/>
    <s v="Philips"/>
    <x v="0"/>
    <n v="0"/>
    <n v="0"/>
    <n v="0"/>
    <n v="0"/>
    <m/>
    <m/>
    <s v="Compact"/>
    <s v=""/>
    <s v="Adult"/>
    <s v="Finger, Forehead, Ear, Reusable &amp; Disposable"/>
    <s v="Nellcor"/>
    <s v=""/>
    <s v=""/>
    <s v=""/>
    <s v=""/>
    <s v=""/>
    <s v=""/>
    <s v=""/>
    <s v=""/>
    <s v=""/>
    <s v=""/>
    <s v=""/>
  </r>
  <r>
    <x v="14"/>
    <x v="41"/>
    <s v="05.B.014"/>
    <x v="0"/>
    <x v="0"/>
    <s v="Mobile (trolley mounted)"/>
    <n v="1"/>
    <m/>
    <s v="004470"/>
    <s v="MONITOR: LOW ACUITY - Mobile"/>
    <s v="WELCH ALLYN"/>
    <s v="75CT"/>
    <n v="100023092517"/>
    <s v=" Ward 2 East "/>
    <n v="1"/>
    <n v="0"/>
    <s v="Philips"/>
    <x v="0"/>
    <n v="0"/>
    <n v="0"/>
    <n v="0"/>
    <n v="0"/>
    <m/>
    <m/>
    <s v="Compact"/>
    <s v=""/>
    <s v="Adult"/>
    <s v="Finger, Forehead, Ear, Reusable &amp; Disposable"/>
    <s v="Nellcor"/>
    <s v=""/>
    <s v=""/>
    <s v=""/>
    <s v=""/>
    <s v=""/>
    <s v=""/>
    <s v=""/>
    <s v=""/>
    <s v=""/>
    <s v=""/>
    <s v=""/>
  </r>
  <r>
    <x v="14"/>
    <x v="41"/>
    <s v="05.B.015"/>
    <x v="0"/>
    <x v="0"/>
    <s v="Mobile (trolley mounted)"/>
    <n v="1"/>
    <m/>
    <s v="004208"/>
    <s v="MONITOR: LOW ACUITY - Mobile"/>
    <s v="WELCH ALLYN"/>
    <s v="75CT"/>
    <n v="100017292317"/>
    <s v="Ward 1 West "/>
    <n v="1"/>
    <n v="0"/>
    <s v="Philips"/>
    <x v="0"/>
    <n v="0"/>
    <n v="0"/>
    <n v="0"/>
    <n v="0"/>
    <m/>
    <m/>
    <s v="Compact"/>
    <s v=""/>
    <s v="Adult"/>
    <s v="Finger, Forehead, Ear, Reusable &amp; Disposable"/>
    <s v="Nellcor"/>
    <s v=""/>
    <s v=""/>
    <s v=""/>
    <s v=""/>
    <s v=""/>
    <s v=""/>
    <s v=""/>
    <s v=""/>
    <s v=""/>
    <s v=""/>
    <s v=""/>
  </r>
  <r>
    <x v="14"/>
    <x v="41"/>
    <s v="05.B.037"/>
    <x v="0"/>
    <x v="0"/>
    <s v="Mobile (trolley mounted)"/>
    <n v="1"/>
    <m/>
    <s v="004282"/>
    <s v="MONITOR: LOW ACUITY - Mobile"/>
    <s v="WELCH ALLYN"/>
    <s v="75CT"/>
    <n v="100017332317"/>
    <s v="Ward 1 West "/>
    <n v="1"/>
    <n v="0"/>
    <s v="Philips"/>
    <x v="0"/>
    <n v="0"/>
    <n v="0"/>
    <n v="0"/>
    <n v="0"/>
    <m/>
    <m/>
    <s v="Compact"/>
    <s v=""/>
    <s v="Adult"/>
    <s v="Finger, Forehead, Ear, Reusable &amp; Disposable"/>
    <s v="Nellcor"/>
    <s v=""/>
    <s v=""/>
    <s v=""/>
    <s v=""/>
    <s v=""/>
    <s v=""/>
    <s v=""/>
    <s v=""/>
    <s v=""/>
    <s v=""/>
    <s v=""/>
  </r>
  <r>
    <x v="14"/>
    <x v="41"/>
    <s v="05.B.040"/>
    <x v="0"/>
    <x v="0"/>
    <s v="Mobile (trolley mounted)"/>
    <n v="1"/>
    <m/>
    <s v="003134"/>
    <s v="MONITOR: LOW ACUITY - Mobile"/>
    <s v="WELCH ALLYN"/>
    <s v="75CT"/>
    <n v="100023012517"/>
    <s v="Ward 3B"/>
    <n v="1"/>
    <n v="0"/>
    <s v="Philips"/>
    <x v="0"/>
    <n v="0"/>
    <n v="0"/>
    <n v="0"/>
    <n v="0"/>
    <m/>
    <m/>
    <s v="Compact"/>
    <s v=""/>
    <s v="Adult"/>
    <s v="Finger, Forehead, Ear, Reusable &amp; Disposable"/>
    <s v="Nellcor"/>
    <s v=""/>
    <s v=""/>
    <s v=""/>
    <s v=""/>
    <s v=""/>
    <s v=""/>
    <s v=""/>
    <s v=""/>
    <s v=""/>
    <s v=""/>
    <s v=""/>
  </r>
  <r>
    <x v="14"/>
    <x v="41"/>
    <s v="05.B.041"/>
    <x v="0"/>
    <x v="0"/>
    <s v="Mobile (trolley mounted)"/>
    <n v="1"/>
    <m/>
    <s v="003297"/>
    <s v="MONITOR: LOW ACUITY - Mobile"/>
    <s v="WELCH ALLYN"/>
    <s v="75CT"/>
    <n v="100023092517"/>
    <s v=" Ward 2 East "/>
    <n v="1"/>
    <n v="0"/>
    <s v="Philips"/>
    <x v="0"/>
    <n v="0"/>
    <n v="0"/>
    <n v="0"/>
    <n v="0"/>
    <m/>
    <m/>
    <s v="Compact"/>
    <s v=""/>
    <s v="Adult"/>
    <s v="Finger, Forehead, Ear, Reusable &amp; Disposable"/>
    <s v="Nellcor"/>
    <s v=""/>
    <s v=""/>
    <s v=""/>
    <s v=""/>
    <s v=""/>
    <s v=""/>
    <s v=""/>
    <s v=""/>
    <s v=""/>
    <s v=""/>
    <s v=""/>
  </r>
  <r>
    <x v="14"/>
    <x v="21"/>
    <s v="05.B.033"/>
    <x v="0"/>
    <x v="0"/>
    <s v="Mobile (trolley mounted)"/>
    <n v="1"/>
    <m/>
    <s v="003269"/>
    <s v="MONITOR: LOW ACUITY - Mobile"/>
    <s v="WELCH ALLYN"/>
    <s v="75CT"/>
    <n v="100017242317"/>
    <s v=" Ward 2 East "/>
    <n v="1"/>
    <n v="0"/>
    <s v="Philips"/>
    <x v="0"/>
    <n v="0"/>
    <n v="0"/>
    <n v="0"/>
    <n v="0"/>
    <m/>
    <m/>
    <s v="Compact"/>
    <s v=""/>
    <s v="Adult"/>
    <s v="Finger, Forehead, Ear, Reusable &amp; Disposable"/>
    <s v="Nellcor"/>
    <s v=""/>
    <s v=""/>
    <s v=""/>
    <s v=""/>
    <s v=""/>
    <s v=""/>
    <s v=""/>
    <s v=""/>
    <s v=""/>
    <s v=""/>
    <s v=""/>
  </r>
  <r>
    <x v="14"/>
    <x v="21"/>
    <s v="05.B.036"/>
    <x v="0"/>
    <x v="0"/>
    <s v="Mobile (trolley mounted)"/>
    <n v="1"/>
    <m/>
    <s v="003556"/>
    <s v="MONITOR: LOW ACUITY - Mobile"/>
    <s v="WELCH ALLYN"/>
    <s v="75CT"/>
    <n v="100017242317"/>
    <s v=" Ward 2 East "/>
    <n v="1"/>
    <n v="0"/>
    <s v="Philips"/>
    <x v="0"/>
    <n v="0"/>
    <n v="0"/>
    <n v="0"/>
    <n v="0"/>
    <m/>
    <m/>
    <s v="Compact"/>
    <s v=""/>
    <s v="Adult"/>
    <s v="Finger, Forehead, Ear, Reusable &amp; Disposable"/>
    <s v="Nellcor"/>
    <s v=""/>
    <s v=""/>
    <s v=""/>
    <s v=""/>
    <s v=""/>
    <s v=""/>
    <s v=""/>
    <s v=""/>
    <s v=""/>
    <s v=""/>
    <s v=""/>
  </r>
  <r>
    <x v="15"/>
    <x v="64"/>
    <s v="02.B.061"/>
    <x v="2"/>
    <x v="3"/>
    <s v="Ceiling mounted"/>
    <n v="2"/>
    <m/>
    <m/>
    <s v=""/>
    <s v=""/>
    <s v=""/>
    <s v=""/>
    <s v=""/>
    <m/>
    <n v="2"/>
    <s v="Philips"/>
    <x v="3"/>
    <n v="0"/>
    <n v="0"/>
    <n v="0"/>
    <n v="0"/>
    <m/>
    <m/>
    <s v="Server - Desktop or Virtual"/>
    <s v="Waveform/data"/>
    <s v=""/>
    <s v=""/>
    <s v="Nellcor"/>
    <s v=""/>
    <s v=""/>
    <s v=""/>
    <s v=""/>
    <s v=""/>
    <s v=""/>
    <s v=""/>
    <s v="A4 Network"/>
    <s v=""/>
    <s v=""/>
    <s v="Yes"/>
  </r>
  <r>
    <x v="15"/>
    <x v="65"/>
    <s v="02.B.493"/>
    <x v="2"/>
    <x v="3"/>
    <s v="Wall Mounted"/>
    <n v="2"/>
    <m/>
    <m/>
    <s v=""/>
    <s v=""/>
    <s v=""/>
    <s v=""/>
    <s v=""/>
    <m/>
    <n v="2"/>
    <s v="Philips"/>
    <x v="3"/>
    <n v="0"/>
    <n v="0"/>
    <n v="0"/>
    <n v="0"/>
    <m/>
    <m/>
    <s v="16x Beds per Screen"/>
    <s v=""/>
    <s v=""/>
    <s v=""/>
    <s v=""/>
    <s v=""/>
    <s v=""/>
    <s v=""/>
    <s v=""/>
    <s v=""/>
    <s v=""/>
    <s v=""/>
    <s v="A4 Network"/>
    <s v=""/>
    <s v=""/>
    <s v="Yes"/>
  </r>
  <r>
    <x v="15"/>
    <x v="65"/>
    <s v="02.B.099"/>
    <x v="2"/>
    <x v="4"/>
    <s v="Underbench Mounted"/>
    <n v="1"/>
    <m/>
    <m/>
    <s v=""/>
    <s v=""/>
    <s v=""/>
    <s v=""/>
    <s v=""/>
    <m/>
    <n v="1"/>
    <s v="Philips"/>
    <x v="4"/>
    <n v="0"/>
    <n v="0"/>
    <n v="0"/>
    <n v="0"/>
    <m/>
    <m/>
    <s v="16x Beds per Screen"/>
    <s v=""/>
    <s v=""/>
    <s v=""/>
    <s v=""/>
    <s v=""/>
    <s v=""/>
    <s v=""/>
    <s v=""/>
    <s v=""/>
    <s v=""/>
    <s v=""/>
    <s v="A4 Network"/>
    <s v=""/>
    <s v=""/>
    <s v="Yes"/>
  </r>
  <r>
    <x v="15"/>
    <x v="65"/>
    <s v="02.B.062"/>
    <x v="2"/>
    <x v="5"/>
    <s v="Underbench Mounted"/>
    <n v="1"/>
    <m/>
    <m/>
    <s v=""/>
    <s v=""/>
    <s v=""/>
    <s v=""/>
    <s v=""/>
    <m/>
    <n v="1"/>
    <s v="Philips"/>
    <x v="5"/>
    <n v="0"/>
    <n v="0"/>
    <n v="0"/>
    <n v="0"/>
    <m/>
    <m/>
    <s v="16x Beds per Screen ( option for 32x beds for large format)"/>
    <s v=""/>
    <s v=""/>
    <s v=""/>
    <s v=""/>
    <s v=""/>
    <s v=""/>
    <s v=""/>
    <s v=""/>
    <s v=""/>
    <s v=""/>
    <s v=""/>
    <s v=""/>
    <s v=""/>
    <s v=""/>
    <s v="Yes"/>
  </r>
  <r>
    <x v="15"/>
    <x v="7"/>
    <s v="02.B.107"/>
    <x v="2"/>
    <x v="5"/>
    <s v="Under Bench"/>
    <n v="1"/>
    <m/>
    <m/>
    <s v=""/>
    <s v=""/>
    <s v=""/>
    <s v=""/>
    <s v=""/>
    <m/>
    <n v="1"/>
    <s v="Philips"/>
    <x v="5"/>
    <n v="0"/>
    <n v="0"/>
    <n v="0"/>
    <n v="0"/>
    <m/>
    <m/>
    <s v="16x Beds per Screen"/>
    <s v=""/>
    <s v=""/>
    <s v=""/>
    <s v=""/>
    <s v=""/>
    <s v=""/>
    <s v=""/>
    <s v=""/>
    <s v=""/>
    <s v=""/>
    <s v=""/>
    <s v="A4 Network"/>
    <s v=""/>
    <s v=""/>
    <s v="Yes"/>
  </r>
  <r>
    <x v="15"/>
    <x v="7"/>
    <s v="02.B.183"/>
    <x v="2"/>
    <x v="5"/>
    <s v="Under Bench"/>
    <n v="1"/>
    <m/>
    <m/>
    <s v=""/>
    <s v=""/>
    <s v=""/>
    <s v=""/>
    <s v=""/>
    <m/>
    <n v="1"/>
    <s v="Philips"/>
    <x v="5"/>
    <n v="0"/>
    <n v="0"/>
    <n v="0"/>
    <n v="0"/>
    <m/>
    <m/>
    <s v="Server - Desktop or Virtual"/>
    <s v="Waveform/data"/>
    <s v=""/>
    <s v=""/>
    <s v="Nellcor"/>
    <s v=""/>
    <s v=""/>
    <s v=""/>
    <s v=""/>
    <s v=""/>
    <s v=""/>
    <s v=""/>
    <s v="A4 Network"/>
    <s v=""/>
    <s v=""/>
    <s v="Yes"/>
  </r>
  <r>
    <x v="15"/>
    <x v="32"/>
    <s v="02.B.053"/>
    <x v="1"/>
    <x v="19"/>
    <s v="Wall Mounted"/>
    <n v="1"/>
    <m/>
    <m/>
    <m/>
    <m/>
    <m/>
    <m/>
    <m/>
    <m/>
    <n v="1"/>
    <s v="Philips"/>
    <x v="19"/>
    <n v="0"/>
    <n v="0"/>
    <n v="0"/>
    <n v="0"/>
    <m/>
    <m/>
    <s v="Compact &amp; medium screen"/>
    <s v="3, 5 &amp; 12 Leads"/>
    <s v="Adult"/>
    <s v="Finger, Forehead, Ear, Reusable &amp; Disposable"/>
    <s v="Nellcor"/>
    <s v=""/>
    <s v=""/>
    <s v=""/>
    <s v=""/>
    <s v="2x IBP channel provision only"/>
    <s v=""/>
    <s v=""/>
    <s v="A4 Network"/>
    <s v="Provsion only"/>
    <s v=""/>
    <s v="Yes"/>
  </r>
  <r>
    <x v="15"/>
    <x v="32"/>
    <s v="02.B.054"/>
    <x v="1"/>
    <x v="19"/>
    <s v="Wall Mounted"/>
    <n v="1"/>
    <m/>
    <m/>
    <m/>
    <m/>
    <m/>
    <m/>
    <m/>
    <m/>
    <n v="1"/>
    <s v="Philips"/>
    <x v="19"/>
    <n v="0"/>
    <n v="0"/>
    <n v="0"/>
    <n v="0"/>
    <m/>
    <m/>
    <s v="Compact &amp; medium screen"/>
    <s v="3, 5 &amp; 12 Leads"/>
    <s v="Adult"/>
    <s v="Finger, Forehead, Ear, Reusable &amp; Disposable"/>
    <s v="Nellcor"/>
    <s v=""/>
    <s v=""/>
    <s v=""/>
    <s v=""/>
    <s v="2x IBP channel provision only"/>
    <s v=""/>
    <s v=""/>
    <s v="A4 Network"/>
    <s v="Provsion only"/>
    <s v=""/>
    <s v="Yes"/>
  </r>
  <r>
    <x v="15"/>
    <x v="66"/>
    <s v="02.B.117"/>
    <x v="1"/>
    <x v="19"/>
    <s v="Wall Mounted"/>
    <n v="1"/>
    <m/>
    <m/>
    <s v=""/>
    <s v=""/>
    <s v=""/>
    <s v=""/>
    <s v=""/>
    <m/>
    <n v="1"/>
    <s v="Philips"/>
    <x v="19"/>
    <n v="0"/>
    <n v="0"/>
    <n v="0"/>
    <n v="0"/>
    <m/>
    <m/>
    <s v="Compact &amp; medium screen"/>
    <s v="3, 5 &amp; 12 Leads"/>
    <s v="Adult"/>
    <s v="Finger, Forehead, Ear, Reusable &amp; Disposable"/>
    <s v="Nellcor"/>
    <s v=""/>
    <s v=""/>
    <s v=""/>
    <s v=""/>
    <s v="2x IBP channel provision only"/>
    <s v=""/>
    <s v=""/>
    <s v="A4 Network"/>
    <s v="Provsion only"/>
    <s v=""/>
    <s v="Yes"/>
  </r>
  <r>
    <x v="15"/>
    <x v="66"/>
    <s v="02.B.118"/>
    <x v="1"/>
    <x v="19"/>
    <s v="Wall Mounted"/>
    <n v="1"/>
    <m/>
    <m/>
    <s v=""/>
    <s v=""/>
    <s v=""/>
    <s v=""/>
    <s v=""/>
    <m/>
    <n v="1"/>
    <s v="Philips"/>
    <x v="19"/>
    <n v="0"/>
    <n v="0"/>
    <n v="0"/>
    <n v="0"/>
    <m/>
    <m/>
    <s v="Compact &amp; medium screen"/>
    <s v="3, 5 &amp; 12 Leads"/>
    <s v="Adult"/>
    <s v="Finger, Forehead, Ear, Reusable &amp; Disposable"/>
    <s v="Nellcor"/>
    <s v=""/>
    <s v=""/>
    <s v=""/>
    <s v=""/>
    <s v="2x IBP channel provision only"/>
    <s v=""/>
    <s v=""/>
    <s v="A4 Network"/>
    <s v="Provsion only"/>
    <s v=""/>
    <s v="Yes"/>
  </r>
  <r>
    <x v="15"/>
    <x v="66"/>
    <s v="02.B.119"/>
    <x v="1"/>
    <x v="19"/>
    <s v="Wall Mounted"/>
    <n v="1"/>
    <m/>
    <m/>
    <s v=""/>
    <s v=""/>
    <s v=""/>
    <s v=""/>
    <s v=""/>
    <m/>
    <n v="1"/>
    <s v="Philips"/>
    <x v="19"/>
    <n v="0"/>
    <n v="0"/>
    <n v="0"/>
    <n v="0"/>
    <m/>
    <m/>
    <s v="Compact &amp; medium screen"/>
    <s v="3, 5 &amp; 12 Leads"/>
    <s v="Adult"/>
    <s v="Finger, Forehead, Ear, Reusable &amp; Disposable"/>
    <s v="Nellcor"/>
    <s v=""/>
    <s v=""/>
    <s v=""/>
    <s v=""/>
    <s v="2x IBP channel provision only"/>
    <s v=""/>
    <s v=""/>
    <s v="A4 Network"/>
    <s v="Provsion only"/>
    <s v=""/>
    <s v="Yes"/>
  </r>
  <r>
    <x v="15"/>
    <x v="66"/>
    <s v="02.B.126"/>
    <x v="1"/>
    <x v="19"/>
    <s v="Wall Mounted"/>
    <n v="1"/>
    <m/>
    <m/>
    <s v=""/>
    <s v=""/>
    <s v=""/>
    <s v=""/>
    <s v=""/>
    <m/>
    <n v="1"/>
    <s v="Philips"/>
    <x v="19"/>
    <n v="0"/>
    <n v="0"/>
    <n v="0"/>
    <n v="0"/>
    <m/>
    <m/>
    <s v="Compact &amp; medium screen"/>
    <s v="3, 5 &amp; 12 Leads"/>
    <s v="Adult"/>
    <s v="Finger, Forehead, Ear, Reusable &amp; Disposable"/>
    <s v="Nellcor"/>
    <s v=""/>
    <s v=""/>
    <s v=""/>
    <s v=""/>
    <s v="2x IBP channel provision only"/>
    <s v=""/>
    <s v=""/>
    <s v="A4 Network"/>
    <s v="Provsion only"/>
    <s v=""/>
    <s v="Yes"/>
  </r>
  <r>
    <x v="15"/>
    <x v="66"/>
    <s v="02.B.127"/>
    <x v="1"/>
    <x v="19"/>
    <s v="Wall Mounted"/>
    <n v="1"/>
    <m/>
    <m/>
    <s v=""/>
    <s v=""/>
    <s v=""/>
    <s v=""/>
    <s v=""/>
    <m/>
    <n v="1"/>
    <s v="Philips"/>
    <x v="19"/>
    <n v="0"/>
    <n v="0"/>
    <n v="0"/>
    <n v="0"/>
    <m/>
    <m/>
    <s v="Compact &amp; medium screen"/>
    <s v="3, 5 &amp; 12 Leads"/>
    <s v="Adult"/>
    <s v="Finger, Forehead, Ear, Reusable &amp; Disposable"/>
    <s v="Nellcor"/>
    <s v=""/>
    <s v=""/>
    <s v=""/>
    <s v=""/>
    <s v="2x IBP channel provision only"/>
    <s v=""/>
    <s v=""/>
    <s v="A4 Network"/>
    <s v="Provsion only"/>
    <s v=""/>
    <s v="Yes"/>
  </r>
  <r>
    <x v="15"/>
    <x v="66"/>
    <s v="02.B.128"/>
    <x v="1"/>
    <x v="19"/>
    <s v="Wall Mounted"/>
    <n v="1"/>
    <m/>
    <m/>
    <s v=""/>
    <s v=""/>
    <s v=""/>
    <s v=""/>
    <s v=""/>
    <m/>
    <n v="1"/>
    <s v="Philips"/>
    <x v="19"/>
    <n v="0"/>
    <n v="0"/>
    <n v="0"/>
    <n v="0"/>
    <m/>
    <m/>
    <s v="Compact &amp; medium screen"/>
    <s v="3, 5 &amp; 12 Leads"/>
    <s v="Adult"/>
    <s v="Finger, Forehead, Ear, Reusable &amp; Disposable"/>
    <s v="Nellcor"/>
    <s v=""/>
    <s v=""/>
    <s v=""/>
    <s v=""/>
    <s v="2x IBP channel provision only"/>
    <s v=""/>
    <s v=""/>
    <s v="A4 Network"/>
    <s v="Provsion only"/>
    <s v=""/>
    <s v="Yes"/>
  </r>
  <r>
    <x v="15"/>
    <x v="66"/>
    <s v="02.B.129"/>
    <x v="1"/>
    <x v="19"/>
    <s v="Wall Mounted"/>
    <n v="1"/>
    <m/>
    <m/>
    <s v=""/>
    <s v=""/>
    <s v=""/>
    <s v=""/>
    <s v=""/>
    <m/>
    <n v="1"/>
    <s v="Philips"/>
    <x v="19"/>
    <n v="0"/>
    <n v="0"/>
    <n v="0"/>
    <n v="0"/>
    <m/>
    <m/>
    <s v="Compact &amp; medium screen"/>
    <s v="3, 5 &amp; 12 Leads"/>
    <s v="Adult"/>
    <s v="Finger, Forehead, Ear, Reusable &amp; Disposable"/>
    <s v="Nellcor"/>
    <s v=""/>
    <s v=""/>
    <s v=""/>
    <s v=""/>
    <s v="2x IBP channel provision only"/>
    <s v=""/>
    <s v=""/>
    <s v="A4 Network"/>
    <s v="Provsion only"/>
    <s v=""/>
    <s v="Yes"/>
  </r>
  <r>
    <x v="15"/>
    <x v="66"/>
    <s v="02.B.130"/>
    <x v="1"/>
    <x v="19"/>
    <s v="Wall Mounted"/>
    <n v="1"/>
    <m/>
    <m/>
    <s v=""/>
    <s v=""/>
    <s v=""/>
    <s v=""/>
    <s v=""/>
    <m/>
    <n v="1"/>
    <s v="Philips"/>
    <x v="19"/>
    <n v="0"/>
    <n v="0"/>
    <n v="0"/>
    <n v="0"/>
    <m/>
    <m/>
    <s v="Compact &amp; medium screen"/>
    <s v="3, 5 &amp; 12 Leads"/>
    <s v="Adult"/>
    <s v="Finger, Forehead, Ear, Reusable &amp; Disposable"/>
    <s v="Nellcor"/>
    <s v=""/>
    <s v=""/>
    <s v=""/>
    <s v=""/>
    <s v="2x IBP channel provision only"/>
    <s v=""/>
    <s v=""/>
    <s v="A4 Network"/>
    <s v="Provsion only"/>
    <s v=""/>
    <s v="Yes"/>
  </r>
  <r>
    <x v="15"/>
    <x v="67"/>
    <s v="02.B.149"/>
    <x v="3"/>
    <x v="20"/>
    <m/>
    <n v="1"/>
    <m/>
    <m/>
    <s v=""/>
    <s v=""/>
    <s v=""/>
    <s v=""/>
    <s v=""/>
    <m/>
    <n v="1"/>
    <s v="Philips"/>
    <x v="14"/>
    <n v="0"/>
    <n v="0"/>
    <n v="0"/>
    <n v="0"/>
    <m/>
    <m/>
    <m/>
    <m/>
    <m/>
    <m/>
    <m/>
    <m/>
    <m/>
    <m/>
    <m/>
    <m/>
    <m/>
    <m/>
    <m/>
    <m/>
    <m/>
    <m/>
  </r>
  <r>
    <x v="15"/>
    <x v="67"/>
    <s v="02.B.154"/>
    <x v="3"/>
    <x v="20"/>
    <m/>
    <n v="1"/>
    <m/>
    <m/>
    <s v=""/>
    <s v=""/>
    <s v=""/>
    <s v=""/>
    <s v=""/>
    <m/>
    <n v="1"/>
    <s v="Philips"/>
    <x v="14"/>
    <n v="0"/>
    <n v="0"/>
    <n v="0"/>
    <n v="0"/>
    <m/>
    <m/>
    <m/>
    <m/>
    <m/>
    <m/>
    <m/>
    <m/>
    <m/>
    <m/>
    <m/>
    <m/>
    <m/>
    <m/>
    <m/>
    <m/>
    <m/>
    <m/>
  </r>
  <r>
    <x v="15"/>
    <x v="67"/>
    <s v="02.B.161"/>
    <x v="3"/>
    <x v="20"/>
    <m/>
    <n v="1"/>
    <m/>
    <m/>
    <s v=""/>
    <s v=""/>
    <s v=""/>
    <s v=""/>
    <s v=""/>
    <m/>
    <n v="1"/>
    <s v="Philips"/>
    <x v="14"/>
    <n v="0"/>
    <n v="0"/>
    <n v="0"/>
    <n v="0"/>
    <m/>
    <m/>
    <m/>
    <m/>
    <m/>
    <m/>
    <m/>
    <m/>
    <m/>
    <m/>
    <m/>
    <m/>
    <m/>
    <m/>
    <m/>
    <m/>
    <m/>
    <m/>
  </r>
  <r>
    <x v="15"/>
    <x v="68"/>
    <s v="02.B.163"/>
    <x v="3"/>
    <x v="20"/>
    <m/>
    <n v="1"/>
    <m/>
    <m/>
    <s v=""/>
    <s v=""/>
    <s v=""/>
    <s v=""/>
    <s v=""/>
    <m/>
    <n v="1"/>
    <s v="Philips"/>
    <x v="14"/>
    <n v="0"/>
    <n v="0"/>
    <n v="0"/>
    <n v="0"/>
    <m/>
    <m/>
    <m/>
    <m/>
    <m/>
    <m/>
    <m/>
    <m/>
    <m/>
    <m/>
    <m/>
    <m/>
    <m/>
    <m/>
    <m/>
    <m/>
    <m/>
    <m/>
  </r>
  <r>
    <x v="15"/>
    <x v="69"/>
    <s v="02.B.235"/>
    <x v="3"/>
    <x v="20"/>
    <m/>
    <n v="1"/>
    <m/>
    <m/>
    <s v=""/>
    <s v=""/>
    <s v=""/>
    <s v=""/>
    <s v=""/>
    <m/>
    <n v="1"/>
    <s v="Philips"/>
    <x v="14"/>
    <n v="0"/>
    <n v="0"/>
    <n v="0"/>
    <n v="0"/>
    <m/>
    <m/>
    <m/>
    <m/>
    <m/>
    <m/>
    <m/>
    <m/>
    <m/>
    <m/>
    <m/>
    <m/>
    <m/>
    <m/>
    <m/>
    <m/>
    <m/>
    <m/>
  </r>
  <r>
    <x v="15"/>
    <x v="70"/>
    <s v="02.B.242"/>
    <x v="3"/>
    <x v="20"/>
    <m/>
    <n v="1"/>
    <m/>
    <m/>
    <s v=""/>
    <s v=""/>
    <s v=""/>
    <s v=""/>
    <s v=""/>
    <m/>
    <n v="1"/>
    <s v="Philips"/>
    <x v="14"/>
    <n v="0"/>
    <n v="0"/>
    <n v="0"/>
    <n v="0"/>
    <m/>
    <m/>
    <m/>
    <m/>
    <m/>
    <m/>
    <m/>
    <m/>
    <m/>
    <m/>
    <m/>
    <m/>
    <m/>
    <m/>
    <m/>
    <m/>
    <m/>
    <m/>
  </r>
  <r>
    <x v="15"/>
    <x v="71"/>
    <s v="02.B.247"/>
    <x v="3"/>
    <x v="20"/>
    <m/>
    <n v="1"/>
    <m/>
    <m/>
    <s v=""/>
    <s v=""/>
    <s v=""/>
    <s v=""/>
    <s v=""/>
    <m/>
    <n v="1"/>
    <s v="Philips"/>
    <x v="14"/>
    <n v="0"/>
    <n v="0"/>
    <n v="0"/>
    <n v="0"/>
    <m/>
    <m/>
    <m/>
    <m/>
    <m/>
    <m/>
    <m/>
    <m/>
    <m/>
    <m/>
    <m/>
    <m/>
    <m/>
    <m/>
    <m/>
    <m/>
    <m/>
    <m/>
  </r>
  <r>
    <x v="15"/>
    <x v="72"/>
    <s v="02.B.255"/>
    <x v="3"/>
    <x v="20"/>
    <m/>
    <n v="1"/>
    <m/>
    <m/>
    <s v=""/>
    <s v=""/>
    <s v=""/>
    <s v=""/>
    <s v=""/>
    <m/>
    <n v="1"/>
    <s v="Philips"/>
    <x v="14"/>
    <n v="0"/>
    <n v="0"/>
    <n v="0"/>
    <n v="0"/>
    <m/>
    <m/>
    <m/>
    <m/>
    <m/>
    <m/>
    <m/>
    <m/>
    <m/>
    <m/>
    <m/>
    <m/>
    <m/>
    <m/>
    <m/>
    <m/>
    <m/>
    <m/>
  </r>
  <r>
    <x v="15"/>
    <x v="73"/>
    <s v="02.B.273"/>
    <x v="3"/>
    <x v="20"/>
    <m/>
    <n v="1"/>
    <m/>
    <m/>
    <s v=""/>
    <s v=""/>
    <s v=""/>
    <s v=""/>
    <s v=""/>
    <m/>
    <n v="1"/>
    <s v="Philips"/>
    <x v="14"/>
    <n v="0"/>
    <n v="0"/>
    <n v="0"/>
    <n v="0"/>
    <m/>
    <m/>
    <m/>
    <m/>
    <m/>
    <m/>
    <m/>
    <m/>
    <m/>
    <m/>
    <m/>
    <m/>
    <m/>
    <m/>
    <m/>
    <m/>
    <m/>
    <m/>
  </r>
  <r>
    <x v="15"/>
    <x v="74"/>
    <s v="02.B.281"/>
    <x v="3"/>
    <x v="20"/>
    <m/>
    <n v="1"/>
    <m/>
    <m/>
    <s v=""/>
    <s v=""/>
    <s v=""/>
    <s v=""/>
    <s v=""/>
    <m/>
    <n v="1"/>
    <s v="Philips"/>
    <x v="14"/>
    <n v="0"/>
    <n v="0"/>
    <n v="0"/>
    <n v="0"/>
    <m/>
    <m/>
    <m/>
    <m/>
    <m/>
    <m/>
    <m/>
    <m/>
    <m/>
    <m/>
    <m/>
    <m/>
    <m/>
    <m/>
    <m/>
    <m/>
    <m/>
    <m/>
  </r>
  <r>
    <x v="15"/>
    <x v="75"/>
    <s v="02.B.285"/>
    <x v="3"/>
    <x v="20"/>
    <m/>
    <n v="1"/>
    <m/>
    <m/>
    <s v=""/>
    <s v=""/>
    <s v=""/>
    <s v=""/>
    <s v=""/>
    <m/>
    <n v="1"/>
    <s v="Philips"/>
    <x v="14"/>
    <n v="0"/>
    <n v="0"/>
    <n v="0"/>
    <n v="0"/>
    <m/>
    <m/>
    <m/>
    <m/>
    <m/>
    <m/>
    <m/>
    <m/>
    <m/>
    <m/>
    <m/>
    <m/>
    <m/>
    <m/>
    <m/>
    <m/>
    <m/>
    <m/>
  </r>
  <r>
    <x v="15"/>
    <x v="74"/>
    <s v="02.B.294"/>
    <x v="3"/>
    <x v="20"/>
    <m/>
    <n v="1"/>
    <m/>
    <m/>
    <s v=""/>
    <s v=""/>
    <s v=""/>
    <s v=""/>
    <s v=""/>
    <m/>
    <n v="1"/>
    <s v="Philips"/>
    <x v="14"/>
    <n v="0"/>
    <n v="0"/>
    <n v="0"/>
    <n v="0"/>
    <m/>
    <m/>
    <m/>
    <m/>
    <m/>
    <m/>
    <m/>
    <m/>
    <m/>
    <m/>
    <m/>
    <m/>
    <m/>
    <m/>
    <m/>
    <m/>
    <m/>
    <m/>
  </r>
  <r>
    <x v="15"/>
    <x v="75"/>
    <s v="02.B.454"/>
    <x v="3"/>
    <x v="20"/>
    <m/>
    <n v="1"/>
    <m/>
    <m/>
    <s v=""/>
    <s v=""/>
    <s v=""/>
    <s v=""/>
    <s v=""/>
    <m/>
    <n v="1"/>
    <s v="Philips"/>
    <x v="14"/>
    <n v="0"/>
    <n v="0"/>
    <n v="0"/>
    <n v="0"/>
    <m/>
    <m/>
    <m/>
    <m/>
    <m/>
    <m/>
    <m/>
    <m/>
    <m/>
    <m/>
    <m/>
    <m/>
    <m/>
    <m/>
    <m/>
    <m/>
    <m/>
    <m/>
  </r>
  <r>
    <x v="15"/>
    <x v="75"/>
    <s v="02.B.455"/>
    <x v="3"/>
    <x v="20"/>
    <m/>
    <n v="1"/>
    <m/>
    <m/>
    <s v=""/>
    <s v=""/>
    <s v=""/>
    <s v=""/>
    <s v=""/>
    <m/>
    <n v="1"/>
    <s v="Philips"/>
    <x v="14"/>
    <n v="0"/>
    <n v="0"/>
    <n v="0"/>
    <n v="0"/>
    <m/>
    <m/>
    <m/>
    <m/>
    <m/>
    <m/>
    <m/>
    <m/>
    <m/>
    <m/>
    <m/>
    <m/>
    <m/>
    <m/>
    <m/>
    <m/>
    <m/>
    <m/>
  </r>
  <r>
    <x v="15"/>
    <x v="75"/>
    <s v="02.B.456"/>
    <x v="3"/>
    <x v="20"/>
    <m/>
    <n v="1"/>
    <m/>
    <m/>
    <s v=""/>
    <s v=""/>
    <s v=""/>
    <s v=""/>
    <s v=""/>
    <m/>
    <n v="1"/>
    <s v="Philips"/>
    <x v="14"/>
    <n v="0"/>
    <n v="0"/>
    <n v="0"/>
    <n v="0"/>
    <m/>
    <m/>
    <m/>
    <m/>
    <m/>
    <m/>
    <m/>
    <m/>
    <m/>
    <m/>
    <m/>
    <m/>
    <m/>
    <m/>
    <m/>
    <m/>
    <m/>
    <m/>
  </r>
  <r>
    <x v="15"/>
    <x v="75"/>
    <s v="02.B.481"/>
    <x v="3"/>
    <x v="20"/>
    <m/>
    <n v="1"/>
    <m/>
    <m/>
    <s v=""/>
    <s v=""/>
    <s v=""/>
    <s v=""/>
    <s v=""/>
    <m/>
    <n v="1"/>
    <s v="Philips"/>
    <x v="14"/>
    <n v="0"/>
    <n v="0"/>
    <n v="0"/>
    <n v="0"/>
    <m/>
    <m/>
    <m/>
    <m/>
    <m/>
    <m/>
    <m/>
    <m/>
    <m/>
    <m/>
    <m/>
    <m/>
    <m/>
    <m/>
    <m/>
    <m/>
    <m/>
    <m/>
  </r>
  <r>
    <x v="15"/>
    <x v="65"/>
    <s v="02.B.062"/>
    <x v="2"/>
    <x v="6"/>
    <s v="Desktop Mounted"/>
    <n v="2"/>
    <m/>
    <m/>
    <s v=""/>
    <s v=""/>
    <s v=""/>
    <s v=""/>
    <s v=""/>
    <m/>
    <n v="2"/>
    <s v="Philips"/>
    <x v="6"/>
    <n v="0"/>
    <n v="0"/>
    <n v="0"/>
    <n v="0"/>
    <m/>
    <m/>
    <s v="16x Beds per Screen ( option for 32x beds for large format)"/>
    <s v=""/>
    <s v=""/>
    <s v=""/>
    <s v=""/>
    <s v=""/>
    <s v=""/>
    <s v=""/>
    <s v=""/>
    <s v=""/>
    <s v=""/>
    <s v=""/>
    <s v=""/>
    <s v=""/>
    <s v=""/>
    <s v="Yes"/>
  </r>
  <r>
    <x v="15"/>
    <x v="65"/>
    <s v="02.B.099"/>
    <x v="2"/>
    <x v="6"/>
    <s v="Wall Mounted"/>
    <n v="2"/>
    <m/>
    <m/>
    <s v=""/>
    <s v=""/>
    <s v=""/>
    <s v=""/>
    <s v=""/>
    <m/>
    <n v="2"/>
    <s v="Philips"/>
    <x v="3"/>
    <n v="0"/>
    <n v="0"/>
    <n v="0"/>
    <n v="0"/>
    <m/>
    <m/>
    <m/>
    <m/>
    <m/>
    <m/>
    <m/>
    <m/>
    <m/>
    <m/>
    <m/>
    <m/>
    <m/>
    <m/>
    <m/>
    <m/>
    <m/>
    <m/>
  </r>
  <r>
    <x v="15"/>
    <x v="7"/>
    <s v="02.B.183"/>
    <x v="2"/>
    <x v="6"/>
    <s v="Desktop Mounted"/>
    <n v="2"/>
    <m/>
    <m/>
    <s v=""/>
    <s v=""/>
    <s v=""/>
    <s v=""/>
    <s v=""/>
    <m/>
    <n v="2"/>
    <s v="Philips"/>
    <x v="6"/>
    <n v="0"/>
    <n v="0"/>
    <n v="0"/>
    <n v="0"/>
    <m/>
    <m/>
    <s v="16x Beds per Screen"/>
    <s v=""/>
    <s v=""/>
    <s v=""/>
    <s v=""/>
    <s v=""/>
    <s v=""/>
    <s v=""/>
    <s v=""/>
    <s v=""/>
    <s v=""/>
    <s v=""/>
    <s v=""/>
    <s v=""/>
    <s v=""/>
    <s v="Yes"/>
  </r>
  <r>
    <x v="15"/>
    <x v="76"/>
    <s v="02.B.227"/>
    <x v="3"/>
    <x v="21"/>
    <s v="Desktop"/>
    <n v="1"/>
    <m/>
    <m/>
    <s v=""/>
    <s v=""/>
    <s v=""/>
    <s v=""/>
    <s v=""/>
    <m/>
    <n v="1"/>
    <s v="Philips"/>
    <x v="11"/>
    <n v="3488"/>
    <n v="0"/>
    <n v="0"/>
    <n v="3488"/>
    <m/>
    <m/>
    <s v="16x Beds per Screen ( option for 32x beds for large format)"/>
    <s v=""/>
    <s v=""/>
    <s v=""/>
    <s v=""/>
    <s v=""/>
    <s v=""/>
    <s v=""/>
    <s v=""/>
    <s v=""/>
    <s v=""/>
    <s v=""/>
    <s v=""/>
    <s v=""/>
    <s v=""/>
    <s v="Yes"/>
  </r>
  <r>
    <x v="15"/>
    <x v="76"/>
    <s v="02.B.227"/>
    <x v="3"/>
    <x v="21"/>
    <s v="Ceiling mounted"/>
    <n v="1"/>
    <m/>
    <m/>
    <s v=""/>
    <s v=""/>
    <s v=""/>
    <s v=""/>
    <s v=""/>
    <m/>
    <n v="1"/>
    <s v="Philips"/>
    <x v="11"/>
    <n v="3488"/>
    <n v="0"/>
    <n v="0"/>
    <n v="3488"/>
    <m/>
    <m/>
    <s v="16x Beds per Screen ( option for 32x beds for large format)"/>
    <s v=""/>
    <s v=""/>
    <s v=""/>
    <s v=""/>
    <s v=""/>
    <s v=""/>
    <s v=""/>
    <s v=""/>
    <s v=""/>
    <s v=""/>
    <s v=""/>
    <s v=""/>
    <s v=""/>
    <s v=""/>
    <s v="Yes"/>
  </r>
  <r>
    <x v="15"/>
    <x v="67"/>
    <s v="02.B.149"/>
    <x v="3"/>
    <x v="1"/>
    <s v="Machine Mounted - ANAESTHETIC"/>
    <n v="1"/>
    <m/>
    <s v="002494"/>
    <s v="MONITOR: HIGH ACUITY"/>
    <s v="Ge Healthcare"/>
    <s v="Carescape 1"/>
    <s v="SNR19180050HA"/>
    <s v="Theatre"/>
    <n v="0"/>
    <n v="1"/>
    <s v="Philips"/>
    <x v="7"/>
    <n v="22622"/>
    <n v="1127"/>
    <n v="1127"/>
    <n v="24876"/>
    <m/>
    <m/>
    <s v="Compact &amp; large screen"/>
    <s v="3, 5 &amp; 12 Leads"/>
    <s v="Adult"/>
    <s v="Finger, Forehead, Ear, Reusable &amp; Disposable"/>
    <s v="Nellcor"/>
    <s v="Yes"/>
    <s v="Bilateral BIS, NM &amp; TOF"/>
    <s v="side/microstream"/>
    <s v="C.O PiCCO technology"/>
    <s v="4x IBP"/>
    <s v=""/>
    <s v=""/>
    <s v="A4 Network"/>
    <s v="Provsion only"/>
    <s v="Yes slave high acuity to medical imaging control rooms only"/>
    <s v="Yes"/>
  </r>
  <r>
    <x v="15"/>
    <x v="67"/>
    <s v="02.B.154"/>
    <x v="3"/>
    <x v="1"/>
    <s v="Machine Mounted - ANAESTHETIC"/>
    <n v="1"/>
    <m/>
    <s v="002500"/>
    <s v="MONITOR: HIGH ACUITY"/>
    <s v="Ge Healthcare"/>
    <s v="Carescape B850"/>
    <s v="dpp16012276"/>
    <s v="Theatre"/>
    <n v="0"/>
    <n v="1"/>
    <s v="Philips"/>
    <x v="7"/>
    <n v="22622"/>
    <n v="1127"/>
    <n v="1127"/>
    <n v="24876"/>
    <m/>
    <m/>
    <s v="Compact &amp; large screen"/>
    <s v="3, 5 &amp; 12 Leads"/>
    <s v="Adult"/>
    <s v="Finger, Forehead, Ear, Reusable &amp; Disposable"/>
    <s v="Nellcor"/>
    <s v="Yes"/>
    <s v="Bilateral BIS, NM &amp; TOF"/>
    <s v="side/microstream"/>
    <s v="C.O PiCCO technology"/>
    <s v="4x IBP"/>
    <s v=""/>
    <s v=""/>
    <s v="A4 Network"/>
    <s v="Provsion only"/>
    <s v="Yes slave high acuity to medical imaging control rooms only"/>
    <s v="Yes"/>
  </r>
  <r>
    <x v="15"/>
    <x v="67"/>
    <s v="02.B.161"/>
    <x v="3"/>
    <x v="1"/>
    <s v="Machine Mounted - ANAESTHETIC"/>
    <n v="1"/>
    <m/>
    <s v="002910"/>
    <s v="MONITOR: HIGH ACUITY"/>
    <s v="Ge Healthcare"/>
    <s v="Carescape B850"/>
    <s v="DTT16012250"/>
    <s v="Theatre"/>
    <n v="0"/>
    <n v="1"/>
    <s v="Philips"/>
    <x v="7"/>
    <n v="22622"/>
    <n v="1127"/>
    <n v="1127"/>
    <n v="24876"/>
    <m/>
    <m/>
    <s v="Compact &amp; large screen"/>
    <s v="3, 5 &amp; 12 Leads"/>
    <s v="Adult"/>
    <s v="Finger, Forehead, Ear, Reusable &amp; Disposable"/>
    <s v="Nellcor"/>
    <s v="Yes"/>
    <s v="Bilateral BIS, NM &amp; TOF"/>
    <s v="side/microstream"/>
    <s v="C.O PiCCO technology"/>
    <s v="4x IBP"/>
    <s v=""/>
    <s v=""/>
    <s v="A4 Network"/>
    <s v="Provsion only"/>
    <s v="Yes slave high acuity to medical imaging control rooms only"/>
    <s v="Yes"/>
  </r>
  <r>
    <x v="15"/>
    <x v="68"/>
    <s v="02.B.163"/>
    <x v="3"/>
    <x v="1"/>
    <s v="Machine Mounted - ANAESTHETIC"/>
    <n v="1"/>
    <m/>
    <s v="002935"/>
    <s v="MONITOR: HIGH ACUITY"/>
    <s v="Ge Healthcare"/>
    <s v="Carescape B850"/>
    <s v="DTT16012263"/>
    <s v="Theatre"/>
    <n v="0"/>
    <n v="1"/>
    <s v="Philips"/>
    <x v="7"/>
    <n v="22622"/>
    <n v="1127"/>
    <n v="1127"/>
    <n v="24876"/>
    <m/>
    <m/>
    <s v="Compact &amp; large screen"/>
    <s v="3, 5 &amp; 12 Leads"/>
    <s v="Adult"/>
    <s v="Finger, Forehead, Ear, Reusable &amp; Disposable"/>
    <s v="Nellcor"/>
    <s v="Yes"/>
    <s v="Bilateral BIS, NM &amp; TOF"/>
    <s v="side/microstream"/>
    <s v="C.O PiCCO technology"/>
    <s v="4x IBP"/>
    <s v=""/>
    <s v=""/>
    <s v="A4 Network"/>
    <s v="Provsion only"/>
    <s v="Yes slave high acuity to medical imaging control rooms only"/>
    <s v="Yes"/>
  </r>
  <r>
    <x v="15"/>
    <x v="69"/>
    <s v="02.B.235"/>
    <x v="3"/>
    <x v="1"/>
    <s v="Machine Mounted - ANAESTHETIC"/>
    <n v="1"/>
    <m/>
    <s v="002945"/>
    <s v="MONITOR: HIGH ACUITY"/>
    <s v="Ge Healthcare"/>
    <s v="Carescape B850"/>
    <s v="DTT16012291"/>
    <s v="Theatre"/>
    <n v="0"/>
    <n v="1"/>
    <s v="Philips"/>
    <x v="7"/>
    <n v="22622"/>
    <n v="1127"/>
    <n v="1127"/>
    <n v="24876"/>
    <m/>
    <m/>
    <s v="Compact &amp; large screen"/>
    <s v="3, 5 &amp; 12 Leads"/>
    <s v="Adult"/>
    <s v="Finger, Forehead, Ear, Reusable &amp; Disposable"/>
    <s v="Nellcor"/>
    <s v="Yes"/>
    <s v="Bilateral BIS, NM &amp; TOF"/>
    <s v="side/microstream"/>
    <s v="C.O PiCCO technology"/>
    <s v="4x IBP"/>
    <s v=""/>
    <s v=""/>
    <s v="A4 Network"/>
    <s v="Provsion only"/>
    <s v="Yes slave high acuity to medical imaging control rooms only"/>
    <s v="Yes"/>
  </r>
  <r>
    <x v="15"/>
    <x v="70"/>
    <s v="02.B.242"/>
    <x v="3"/>
    <x v="1"/>
    <s v="Machine Mounted - ANAESTHETIC"/>
    <n v="1"/>
    <m/>
    <s v="002907"/>
    <s v="MONITOR: HIGH ACUITY"/>
    <s v="Ge Healthcare"/>
    <s v="Carescape B850"/>
    <s v="SNR19180046HA"/>
    <s v="Theatre"/>
    <n v="0"/>
    <n v="1"/>
    <s v="Philips"/>
    <x v="7"/>
    <n v="22622"/>
    <n v="1127"/>
    <n v="1127"/>
    <n v="24876"/>
    <m/>
    <m/>
    <s v="Compact &amp; large screen"/>
    <s v="3, 5 &amp; 12 Leads"/>
    <s v="Adult"/>
    <s v="Finger, Forehead, Ear, Reusable &amp; Disposable"/>
    <s v="Nellcor"/>
    <s v="Yes"/>
    <s v="Bilateral BIS, NM &amp; TOF"/>
    <s v="side/microstream"/>
    <s v="C.O PiCCO technology"/>
    <s v="4x IBP"/>
    <s v=""/>
    <s v=""/>
    <s v="A4 Network"/>
    <s v="Provsion only"/>
    <s v="Yes slave high acuity to medical imaging control rooms only"/>
    <s v="Yes"/>
  </r>
  <r>
    <x v="15"/>
    <x v="71"/>
    <s v="02.B.247"/>
    <x v="3"/>
    <x v="1"/>
    <s v="Machine Mounted - ANAESTHETIC"/>
    <n v="1"/>
    <m/>
    <s v="002933"/>
    <s v="MONITOR: HIGH ACUITY"/>
    <s v="Ge Healthcare"/>
    <s v="Carescape B850"/>
    <s v="SNR19180047HA"/>
    <s v="Theatre"/>
    <n v="0"/>
    <n v="1"/>
    <s v="Philips"/>
    <x v="7"/>
    <n v="22622"/>
    <n v="1127"/>
    <n v="1127"/>
    <n v="24876"/>
    <m/>
    <m/>
    <s v="Compact &amp; large screen"/>
    <s v="3, 5 &amp; 12 Leads"/>
    <s v="Adult"/>
    <s v="Finger, Forehead, Ear, Reusable &amp; Disposable"/>
    <s v="Nellcor"/>
    <s v="Yes"/>
    <s v="Bilateral BIS, NM &amp; TOF"/>
    <s v="side/microstream"/>
    <s v="C.O PiCCO technology"/>
    <s v="4x IBP"/>
    <s v=""/>
    <s v=""/>
    <s v="A4 Network"/>
    <s v="Provsion only"/>
    <s v="Yes slave high acuity to medical imaging control rooms only"/>
    <s v="Yes"/>
  </r>
  <r>
    <x v="15"/>
    <x v="72"/>
    <s v="02.B.255"/>
    <x v="3"/>
    <x v="1"/>
    <s v="Machine Mounted - ANAESTHETIC"/>
    <n v="1"/>
    <m/>
    <s v="002948"/>
    <s v="MONITOR: HIGH ACUITY"/>
    <s v="Ge Healthcare"/>
    <s v="Carescape B850"/>
    <s v="SNR19180052HA"/>
    <s v="Theatre"/>
    <n v="0"/>
    <n v="1"/>
    <s v="Philips"/>
    <x v="7"/>
    <n v="22622"/>
    <n v="1127"/>
    <n v="1127"/>
    <n v="24876"/>
    <m/>
    <m/>
    <s v="Compact &amp; large screen"/>
    <s v="3, 5 &amp; 12 Leads"/>
    <s v="Adult"/>
    <s v="Finger, Forehead, Ear, Reusable &amp; Disposable"/>
    <s v="Nellcor"/>
    <s v="Yes"/>
    <s v="Bilateral BIS, NM &amp; TOF"/>
    <s v="side/microstream"/>
    <s v="C.O PiCCO technology"/>
    <s v="4x IBP"/>
    <s v=""/>
    <s v=""/>
    <s v="A4 Network"/>
    <s v="Provsion only"/>
    <s v="Yes slave high acuity to medical imaging control rooms only"/>
    <s v="Yes"/>
  </r>
  <r>
    <x v="15"/>
    <x v="73"/>
    <s v="02.B.273"/>
    <x v="3"/>
    <x v="1"/>
    <s v="Machine Mounted - ANAESTHETIC"/>
    <n v="1"/>
    <m/>
    <m/>
    <s v=""/>
    <s v=""/>
    <s v=""/>
    <s v=""/>
    <s v=""/>
    <m/>
    <n v="1"/>
    <s v="Philips"/>
    <x v="7"/>
    <n v="22622"/>
    <n v="1127"/>
    <n v="1127"/>
    <n v="24876"/>
    <m/>
    <m/>
    <s v="Compact &amp; large screen"/>
    <s v="3, 5 &amp; 12 Leads"/>
    <s v="Adult"/>
    <s v="Finger, Forehead, Ear, Reusable &amp; Disposable"/>
    <s v="Nellcor"/>
    <s v="Yes"/>
    <s v="Bilateral BIS, NM &amp; TOF"/>
    <s v="side/microstream"/>
    <s v="C.O PiCCO technology"/>
    <s v="4x IBP"/>
    <s v=""/>
    <s v=""/>
    <s v="A4 Network"/>
    <s v="Provsion only"/>
    <s v="Yes slave high acuity to medical imaging control rooms only"/>
    <s v="Yes"/>
  </r>
  <r>
    <x v="15"/>
    <x v="74"/>
    <s v="02.B.281"/>
    <x v="3"/>
    <x v="1"/>
    <s v="Machine Mounted - ANAESTHETIC"/>
    <n v="1"/>
    <m/>
    <m/>
    <s v=""/>
    <s v=""/>
    <s v=""/>
    <s v=""/>
    <s v=""/>
    <m/>
    <n v="1"/>
    <s v="Philips"/>
    <x v="7"/>
    <n v="22622"/>
    <n v="1127"/>
    <n v="1127"/>
    <n v="24876"/>
    <m/>
    <m/>
    <s v="Compact &amp; large screen"/>
    <s v="3, 5 &amp; 12 Leads"/>
    <s v="Adult"/>
    <s v="Finger, Forehead, Ear, Reusable &amp; Disposable"/>
    <s v="Nellcor"/>
    <s v="Yes"/>
    <s v="Bilateral BIS, NM &amp; TOF"/>
    <s v="side/microstream"/>
    <s v="C.O PiCCO technology"/>
    <s v="4x IBP"/>
    <s v=""/>
    <s v=""/>
    <s v="A4 Network"/>
    <s v="Provsion only"/>
    <s v="Yes slave high acuity to medical imaging control rooms only"/>
    <s v="Yes"/>
  </r>
  <r>
    <x v="15"/>
    <x v="75"/>
    <s v="02.B.285"/>
    <x v="3"/>
    <x v="1"/>
    <s v="Machine Mounted - ANAESTHETIC"/>
    <n v="1"/>
    <m/>
    <m/>
    <s v=""/>
    <s v=""/>
    <s v=""/>
    <s v=""/>
    <s v=""/>
    <m/>
    <n v="1"/>
    <s v="Philips"/>
    <x v="7"/>
    <n v="22622"/>
    <n v="1127"/>
    <n v="1127"/>
    <n v="24876"/>
    <m/>
    <m/>
    <s v="Compact &amp; large screen"/>
    <s v="3, 5 &amp; 12 Leads"/>
    <s v="Adult"/>
    <s v="Finger, Forehead, Ear, Reusable &amp; Disposable"/>
    <s v="Nellcor"/>
    <s v="Yes"/>
    <s v="Bilateral BIS, NM &amp; TOF"/>
    <s v="side/microstream"/>
    <s v="C.O PiCCO technology"/>
    <s v="4x IBP"/>
    <s v=""/>
    <s v=""/>
    <s v="A4 Network"/>
    <s v="Provsion only"/>
    <s v="Yes slave high acuity to medical imaging control rooms only"/>
    <s v="Yes"/>
  </r>
  <r>
    <x v="15"/>
    <x v="74"/>
    <s v="02.B.294"/>
    <x v="3"/>
    <x v="1"/>
    <s v="Machine Mounted - ANAESTHETIC"/>
    <n v="1"/>
    <m/>
    <m/>
    <s v=""/>
    <s v=""/>
    <s v=""/>
    <s v=""/>
    <s v=""/>
    <m/>
    <n v="1"/>
    <s v="Philips"/>
    <x v="7"/>
    <n v="22622"/>
    <n v="1127"/>
    <n v="1127"/>
    <n v="24876"/>
    <m/>
    <m/>
    <s v="Compact &amp; large screen"/>
    <s v="3, 5 &amp; 12 Leads"/>
    <s v="Adult"/>
    <s v="Finger, Forehead, Ear, Reusable &amp; Disposable"/>
    <s v="Nellcor"/>
    <s v="Yes"/>
    <s v="Bilateral BIS, NM &amp; TOF"/>
    <s v="side/microstream"/>
    <s v="C.O PiCCO technology"/>
    <s v="4x IBP"/>
    <s v=""/>
    <s v=""/>
    <s v="A4 Network"/>
    <s v="Provsion only"/>
    <s v="Yes slave high acuity to medical imaging control rooms only"/>
    <s v="Yes"/>
  </r>
  <r>
    <x v="15"/>
    <x v="75"/>
    <s v="02.B.454"/>
    <x v="3"/>
    <x v="1"/>
    <s v="Machine Mounted - ANAESTHETIC"/>
    <n v="1"/>
    <m/>
    <m/>
    <s v=""/>
    <s v=""/>
    <s v=""/>
    <s v=""/>
    <s v=""/>
    <m/>
    <n v="1"/>
    <s v="Philips"/>
    <x v="7"/>
    <n v="22622"/>
    <n v="1127"/>
    <n v="1127"/>
    <n v="24876"/>
    <m/>
    <m/>
    <s v="Compact &amp; large screen"/>
    <s v="3, 5 &amp; 12 Leads"/>
    <s v="Adult"/>
    <s v="Finger, Forehead, Ear, Reusable &amp; Disposable"/>
    <s v="Nellcor"/>
    <s v="Yes"/>
    <s v="Bilateral BIS, NM &amp; TOF"/>
    <s v="side/microstream"/>
    <s v="C.O PiCCO technology"/>
    <s v="4x IBP"/>
    <s v=""/>
    <s v=""/>
    <s v="A4 Network"/>
    <s v="Provsion only"/>
    <s v="Yes slave high acuity to medical imaging control rooms only"/>
    <s v="Yes"/>
  </r>
  <r>
    <x v="15"/>
    <x v="75"/>
    <s v="02.B.455"/>
    <x v="3"/>
    <x v="1"/>
    <s v="Machine Mounted - ANAESTHETIC"/>
    <n v="1"/>
    <m/>
    <m/>
    <s v=""/>
    <s v=""/>
    <s v=""/>
    <s v=""/>
    <s v=""/>
    <m/>
    <n v="1"/>
    <s v="Philips"/>
    <x v="7"/>
    <n v="22622"/>
    <n v="1127"/>
    <n v="1127"/>
    <n v="24876"/>
    <m/>
    <m/>
    <s v="Compact &amp; large screen"/>
    <s v="3, 5 &amp; 12 Leads"/>
    <s v="Adult"/>
    <s v="Finger, Forehead, Ear, Reusable &amp; Disposable"/>
    <s v="Nellcor"/>
    <s v="Yes"/>
    <s v="Bilateral BIS, NM &amp; TOF"/>
    <s v="side/microstream"/>
    <s v="C.O PiCCO technology"/>
    <s v="4x IBP"/>
    <s v=""/>
    <s v=""/>
    <s v="A4 Network"/>
    <s v="Provsion only"/>
    <s v="Yes slave high acuity to medical imaging control rooms only"/>
    <s v="Yes"/>
  </r>
  <r>
    <x v="15"/>
    <x v="75"/>
    <s v="02.B.456"/>
    <x v="3"/>
    <x v="1"/>
    <s v="Machine Mounted - ANAESTHETIC"/>
    <n v="1"/>
    <m/>
    <m/>
    <s v=""/>
    <s v=""/>
    <s v=""/>
    <s v=""/>
    <s v=""/>
    <m/>
    <n v="1"/>
    <s v="Philips"/>
    <x v="7"/>
    <n v="22622"/>
    <n v="1127"/>
    <n v="1127"/>
    <n v="24876"/>
    <m/>
    <m/>
    <s v="Compact &amp; large screen"/>
    <s v="3, 5 &amp; 12 Leads"/>
    <s v="Adult"/>
    <s v="Finger, Forehead, Ear, Reusable &amp; Disposable"/>
    <s v="Nellcor"/>
    <s v="Yes"/>
    <s v="Bilateral BIS, NM &amp; TOF"/>
    <s v="side/microstream"/>
    <s v="C.O PiCCO technology"/>
    <s v="4x IBP"/>
    <s v=""/>
    <s v=""/>
    <s v="A4 Network"/>
    <s v="Provsion only"/>
    <s v="Yes slave high acuity to medical imaging control rooms only"/>
    <s v="Yes"/>
  </r>
  <r>
    <x v="15"/>
    <x v="75"/>
    <s v="02.B.481"/>
    <x v="3"/>
    <x v="1"/>
    <s v="Machine Mounted - ANAESTHETIC"/>
    <n v="1"/>
    <m/>
    <m/>
    <s v=""/>
    <s v=""/>
    <s v=""/>
    <s v=""/>
    <s v=""/>
    <m/>
    <n v="1"/>
    <s v="Philips"/>
    <x v="7"/>
    <n v="22622"/>
    <n v="1127"/>
    <n v="1127"/>
    <n v="24876"/>
    <m/>
    <m/>
    <s v="Compact &amp; large screen"/>
    <s v="3, 5 &amp; 12 Leads"/>
    <s v="Adult"/>
    <s v="Finger, Forehead, Ear, Reusable &amp; Disposable"/>
    <s v="Nellcor"/>
    <s v="Yes"/>
    <s v="Bilateral BIS, NM &amp; TOF"/>
    <s v="side/microstream"/>
    <s v="C.O PiCCO technology"/>
    <s v="4x IBP"/>
    <s v=""/>
    <s v=""/>
    <s v="A4 Network"/>
    <s v="Provsion only"/>
    <s v="Yes slave high acuity to medical imaging control rooms only"/>
    <s v="Yes"/>
  </r>
  <r>
    <x v="15"/>
    <x v="77"/>
    <s v="02.B.009"/>
    <x v="0"/>
    <x v="0"/>
    <s v="Mobile (trolley mounted)"/>
    <n v="1"/>
    <m/>
    <s v="003293"/>
    <s v="MONITOR: LOW ACUITY - Mobile"/>
    <s v="WELCH ALLYN"/>
    <s v="75CT"/>
    <n v="100023162517"/>
    <s v=" Ward 2 East "/>
    <n v="1"/>
    <n v="0"/>
    <s v="Philips"/>
    <x v="0"/>
    <n v="0"/>
    <n v="0"/>
    <n v="0"/>
    <n v="0"/>
    <m/>
    <m/>
    <s v="Compact"/>
    <s v=""/>
    <s v="Adult"/>
    <s v="Finger, Forehead, Ear, Reusable &amp; Disposable"/>
    <s v="Nellcor"/>
    <s v=""/>
    <s v=""/>
    <s v=""/>
    <s v=""/>
    <s v=""/>
    <s v=""/>
    <s v=""/>
    <s v=""/>
    <s v=""/>
    <s v=""/>
    <s v=""/>
  </r>
  <r>
    <x v="15"/>
    <x v="77"/>
    <s v="02.B.009"/>
    <x v="0"/>
    <x v="0"/>
    <s v="Mobile (trolley mounted)"/>
    <n v="1"/>
    <m/>
    <s v="003616"/>
    <s v="MONITOR: LOW ACUITY - Mobile"/>
    <s v="WELCH ALLYN"/>
    <s v="75CT"/>
    <n v="100023162517"/>
    <s v=" Ward 2 East "/>
    <n v="1"/>
    <n v="0"/>
    <s v="Philips"/>
    <x v="0"/>
    <n v="0"/>
    <n v="0"/>
    <n v="0"/>
    <n v="0"/>
    <m/>
    <m/>
    <s v="Compact"/>
    <s v=""/>
    <s v="Adult"/>
    <s v="Finger, Forehead, Ear, Reusable &amp; Disposable"/>
    <s v="Nellcor"/>
    <s v=""/>
    <s v=""/>
    <s v=""/>
    <s v=""/>
    <s v=""/>
    <s v=""/>
    <s v=""/>
    <s v=""/>
    <s v=""/>
    <s v=""/>
    <s v=""/>
  </r>
  <r>
    <x v="15"/>
    <x v="77"/>
    <s v="02.B.009"/>
    <x v="0"/>
    <x v="0"/>
    <s v="Mobile (trolley mounted)"/>
    <n v="1"/>
    <m/>
    <s v="003711"/>
    <s v="MONITOR: LOW ACUITY - Mobile"/>
    <s v="WELCH ALLYN"/>
    <s v="75CT"/>
    <n v="100080061517"/>
    <s v="Ward 3 East "/>
    <n v="1"/>
    <n v="0"/>
    <s v="Philips"/>
    <x v="0"/>
    <n v="0"/>
    <n v="0"/>
    <n v="0"/>
    <n v="0"/>
    <m/>
    <m/>
    <s v="Compact"/>
    <s v=""/>
    <s v="Adult"/>
    <s v="Finger, Forehead, Ear, Reusable &amp; Disposable"/>
    <s v="Nellcor"/>
    <s v=""/>
    <s v=""/>
    <s v=""/>
    <s v=""/>
    <s v=""/>
    <s v=""/>
    <s v=""/>
    <s v=""/>
    <s v=""/>
    <s v=""/>
    <s v=""/>
  </r>
  <r>
    <x v="15"/>
    <x v="77"/>
    <s v="02.B.009"/>
    <x v="0"/>
    <x v="0"/>
    <s v="Mobile (trolley mounted)"/>
    <n v="1"/>
    <m/>
    <s v="004408"/>
    <s v="MONITOR: LOW ACUITY - Mobile"/>
    <s v="WELCH ALLYN"/>
    <s v="75CT"/>
    <n v="100023152517"/>
    <s v=" Ward 2D "/>
    <n v="1"/>
    <n v="0"/>
    <s v="Philips"/>
    <x v="0"/>
    <n v="0"/>
    <n v="0"/>
    <n v="0"/>
    <n v="0"/>
    <m/>
    <m/>
    <s v="Compact"/>
    <s v=""/>
    <s v="Adult"/>
    <s v="Finger, Forehead, Ear, Reusable &amp; Disposable"/>
    <s v="Nellcor"/>
    <s v=""/>
    <s v=""/>
    <s v=""/>
    <s v=""/>
    <s v=""/>
    <s v=""/>
    <s v=""/>
    <s v=""/>
    <s v=""/>
    <s v=""/>
    <s v=""/>
  </r>
  <r>
    <x v="15"/>
    <x v="78"/>
    <s v="02.B.068"/>
    <x v="1"/>
    <x v="1"/>
    <s v="Wall Mounted"/>
    <n v="1"/>
    <m/>
    <s v="001522"/>
    <s v="MONITOR: MEDIUM ACUITY"/>
    <s v="Ge Healthcare"/>
    <s v="Carescape B450"/>
    <s v="SNT19200040HA"/>
    <s v="Day Procedure Unit"/>
    <n v="0"/>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78"/>
    <s v="02.B.070"/>
    <x v="1"/>
    <x v="1"/>
    <s v="Wall Mounted"/>
    <n v="1"/>
    <m/>
    <s v="001594"/>
    <s v="MONITOR: MEDIUM ACUITY"/>
    <s v="Ge Healthcare"/>
    <s v="Carescape B650"/>
    <s v="SNS19150033HA"/>
    <s v="Theatre"/>
    <n v="0"/>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78"/>
    <s v="02.B.071"/>
    <x v="1"/>
    <x v="1"/>
    <s v="Wall Mounted"/>
    <n v="1"/>
    <m/>
    <s v="001560"/>
    <s v="MONITOR: MEDIUM ACUITY"/>
    <s v="Ge Healthcare"/>
    <s v="Carescape B650"/>
    <s v="SNS19150050HA"/>
    <s v="Theatre"/>
    <n v="0"/>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78"/>
    <s v="02.B.072"/>
    <x v="1"/>
    <x v="1"/>
    <s v="Wall Mounted"/>
    <n v="1"/>
    <m/>
    <s v="002307"/>
    <s v="MONITOR: MEDIUM ACUITY"/>
    <s v="Ge Healthcare"/>
    <s v="Carescape B650"/>
    <s v="SNS19150038HA"/>
    <s v="Theatre"/>
    <n v="0"/>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78"/>
    <s v="02.B.073"/>
    <x v="1"/>
    <x v="1"/>
    <s v="Wall Mounted"/>
    <n v="1"/>
    <m/>
    <s v="002314"/>
    <s v="MONITOR: MEDIUM ACUITY"/>
    <s v="Ge Healthcare"/>
    <s v="Carescape B650"/>
    <s v="SNS19150034HA"/>
    <s v="Theatre"/>
    <n v="0"/>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78"/>
    <s v="02.B.074"/>
    <x v="1"/>
    <x v="1"/>
    <s v="Wall Mounted"/>
    <n v="1"/>
    <m/>
    <s v="001941"/>
    <s v="MONITOR: MEDIUM ACUITY"/>
    <s v="Ge Healthcare"/>
    <s v="Carescape B450"/>
    <s v="SNT19200046HA"/>
    <s v="Theatre"/>
    <n v="0"/>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78"/>
    <s v="02.B.076"/>
    <x v="1"/>
    <x v="1"/>
    <s v="Wall Mounted"/>
    <n v="1"/>
    <m/>
    <s v="001943"/>
    <s v="MONITOR: MEDIUM ACUITY"/>
    <s v="Ge Healthcare"/>
    <s v="Carescape B450"/>
    <s v="SNT19200050HA"/>
    <s v="Theatre"/>
    <n v="0"/>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78"/>
    <s v="02.B.077"/>
    <x v="1"/>
    <x v="1"/>
    <s v="Wall Mounted"/>
    <n v="1"/>
    <m/>
    <s v="001962"/>
    <s v="MONITOR: MEDIUM ACUITY"/>
    <s v="Ge Healthcare"/>
    <s v="Carescape B450"/>
    <s v="SNT19200041HA"/>
    <s v="Theatre"/>
    <n v="0"/>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78"/>
    <s v="02.B.078"/>
    <x v="1"/>
    <x v="1"/>
    <s v="Wall Mounted"/>
    <n v="1"/>
    <m/>
    <s v="001965"/>
    <s v="MONITOR: MEDIUM ACUITY"/>
    <s v="Ge Healthcare"/>
    <s v="Carescape B450"/>
    <s v="SNT19200043HA"/>
    <s v="Theatre"/>
    <n v="0"/>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78"/>
    <s v="02.B.079"/>
    <x v="1"/>
    <x v="1"/>
    <s v="Wall Mounted"/>
    <n v="1"/>
    <m/>
    <s v="001966"/>
    <s v="MONITOR: MEDIUM ACUITY"/>
    <s v="Ge Healthcare"/>
    <s v="Carescape B450"/>
    <s v="SNT19200045HA"/>
    <s v="Theatre"/>
    <n v="0"/>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78"/>
    <s v="02.B.080"/>
    <x v="1"/>
    <x v="1"/>
    <s v="Wall Mounted"/>
    <n v="1"/>
    <m/>
    <s v="001967"/>
    <s v="MONITOR: MEDIUM ACUITY"/>
    <s v="Ge Healthcare"/>
    <s v="Carescape B450"/>
    <s v="SNT19200044HA"/>
    <s v="Theatre"/>
    <n v="0"/>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78"/>
    <s v="02.B.081"/>
    <x v="1"/>
    <x v="1"/>
    <s v="Wall Mounted"/>
    <n v="1"/>
    <m/>
    <s v="001968"/>
    <s v="MONITOR: MEDIUM ACUITY"/>
    <s v="Ge Healthcare"/>
    <s v="Carescape B450"/>
    <s v="SNT19200049HA"/>
    <s v="Theatre"/>
    <n v="0"/>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78"/>
    <s v="02.B.082"/>
    <x v="1"/>
    <x v="1"/>
    <s v="Wall Mounted"/>
    <n v="1"/>
    <m/>
    <s v="001969"/>
    <s v="MONITOR: MEDIUM ACUITY"/>
    <s v="Ge Healthcare"/>
    <s v="Carescape B450"/>
    <s v="SNT19200023HA"/>
    <s v="Theatre"/>
    <n v="0"/>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78"/>
    <s v="02.B.084"/>
    <x v="1"/>
    <x v="1"/>
    <s v="Wall Mounted"/>
    <n v="1"/>
    <m/>
    <s v="001970"/>
    <s v="MONITOR: MEDIUM ACUITY"/>
    <s v="Ge Healthcare"/>
    <s v="Carescape B450"/>
    <s v="SNT19200042HA"/>
    <s v="Theatre"/>
    <n v="0"/>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78"/>
    <s v="02.B.085"/>
    <x v="1"/>
    <x v="1"/>
    <s v="Wall Mounted"/>
    <n v="1"/>
    <m/>
    <s v="002010"/>
    <s v="MONITOR: MEDIUM ACUITY"/>
    <s v="Ge Healthcare"/>
    <s v="Carescape B650"/>
    <s v="SNS19150051HA"/>
    <s v="Theatre"/>
    <n v="0"/>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78"/>
    <s v="02.B.086"/>
    <x v="1"/>
    <x v="1"/>
    <s v="Wall Mounted"/>
    <n v="1"/>
    <m/>
    <s v="001948"/>
    <s v="MONITOR: MEDIUM ACUITY"/>
    <s v="Ge Healthcare"/>
    <s v="Carescape V450"/>
    <s v="SNT19200022HA"/>
    <s v="Theatre"/>
    <n v="0"/>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78"/>
    <s v="02.B.102"/>
    <x v="1"/>
    <x v="1"/>
    <s v="Wall Mounted"/>
    <n v="1"/>
    <m/>
    <s v="004424"/>
    <s v="MONITOR: MEDIUM ACUITY"/>
    <s v="Ge Healthcare"/>
    <s v="Carescape B450"/>
    <s v="SNT19071007HA"/>
    <s v="Biomed"/>
    <n v="0"/>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78"/>
    <s v="02.B.103"/>
    <x v="1"/>
    <x v="1"/>
    <s v="Wall Mounted"/>
    <n v="1"/>
    <m/>
    <s v="004902"/>
    <s v="MONITOR: MEDIUM ACUITY"/>
    <s v="Ge Healthcare"/>
    <s v="Carescape B450"/>
    <s v="SNE18271016HA"/>
    <s v="Radiology"/>
    <n v="0"/>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78"/>
    <s v="02.B.104"/>
    <x v="1"/>
    <x v="1"/>
    <s v="Wall Mounted"/>
    <n v="1"/>
    <m/>
    <s v="004903"/>
    <s v="MONITOR: MEDIUM ACUITY"/>
    <s v="Ge Healthcare"/>
    <s v="Carescape B450"/>
    <s v="SNE18271016HA"/>
    <s v="Radiology"/>
    <n v="0"/>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21"/>
    <s v="02.B.088"/>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21"/>
    <s v="02.B.092"/>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78"/>
    <s v="02.B.108"/>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78"/>
    <s v="02.B.109"/>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78"/>
    <s v="02.B.110"/>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79"/>
    <s v="02.B.123"/>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79"/>
    <s v="02.B.124"/>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62"/>
    <s v="02.B.155"/>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62"/>
    <s v="02.B.164"/>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80"/>
    <s v="02.B.169"/>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80"/>
    <s v="02.B.170"/>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80"/>
    <s v="02.B.172"/>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80"/>
    <s v="02.B.173"/>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80"/>
    <s v="02.B.174"/>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80"/>
    <s v="02.B.176"/>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80"/>
    <s v="02.B.178"/>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80"/>
    <s v="02.B.179"/>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80"/>
    <s v="02.B.181"/>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80"/>
    <s v="02.B.182"/>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80"/>
    <s v="02.B.184"/>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80"/>
    <s v="02.B.185"/>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81"/>
    <s v="02.B.187"/>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80"/>
    <s v="02.B.188"/>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22"/>
    <s v="02.B.192"/>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80"/>
    <s v="02.B.195"/>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80"/>
    <s v="02.B.196"/>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80"/>
    <s v="02.B.198"/>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80"/>
    <s v="02.B.199"/>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82"/>
    <s v="02.B.200"/>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80"/>
    <s v="02.B.202"/>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80"/>
    <s v="02.B.203"/>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82"/>
    <s v="02.B.208"/>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80"/>
    <s v="02.B.210"/>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80"/>
    <s v="02.B.211"/>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22"/>
    <s v="02.B.214"/>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62"/>
    <s v="02.B.234"/>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62"/>
    <s v="02.B.245"/>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62"/>
    <s v="02.B.246"/>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62"/>
    <s v="02.B.256"/>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62"/>
    <s v="02.B.272"/>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62"/>
    <s v="02.B.283"/>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62"/>
    <s v="02.B.284"/>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62"/>
    <s v="02.B.295"/>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62"/>
    <s v="02.B.448"/>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62"/>
    <s v="02.B.450"/>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62"/>
    <s v="02.B.457"/>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62"/>
    <s v="02.B.458"/>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62"/>
    <s v="02.B.464"/>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62"/>
    <s v="02.B.465"/>
    <x v="1"/>
    <x v="1"/>
    <s v="Wall Mounted"/>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5"/>
    <x v="83"/>
    <s v="02.B.302"/>
    <x v="1"/>
    <x v="13"/>
    <s v="Transport (freestanding, docking or rail hook)"/>
    <n v="1"/>
    <m/>
    <m/>
    <s v=""/>
    <s v=""/>
    <s v=""/>
    <s v=""/>
    <s v=""/>
    <m/>
    <n v="1"/>
    <s v="Philips"/>
    <x v="2"/>
    <n v="0"/>
    <n v="0"/>
    <n v="0"/>
    <n v="0"/>
    <m/>
    <m/>
    <s v="Compact &amp; medium screen"/>
    <s v="3, 5 &amp; 12 Leads"/>
    <s v="Adult"/>
    <s v="Finger, Forehead, Ear, Reusable &amp; Disposable"/>
    <s v="Nellcor"/>
    <s v=""/>
    <s v=""/>
    <s v=""/>
    <s v=""/>
    <s v="2x IBP channel provision only"/>
    <s v=""/>
    <s v=""/>
    <s v="A4 Network"/>
    <s v="Provsion only"/>
    <s v=""/>
    <s v="Yes"/>
  </r>
  <r>
    <x v="15"/>
    <x v="62"/>
    <s v="02.B.155"/>
    <x v="3"/>
    <x v="21"/>
    <s v="Fixed (wall)"/>
    <n v="1"/>
    <m/>
    <m/>
    <s v=""/>
    <s v=""/>
    <s v=""/>
    <s v=""/>
    <s v=""/>
    <m/>
    <n v="1"/>
    <s v="Philips"/>
    <x v="11"/>
    <n v="3488"/>
    <n v="0"/>
    <n v="0"/>
    <n v="3488"/>
    <m/>
    <m/>
    <s v=""/>
    <s v=""/>
    <s v=""/>
    <s v=""/>
    <s v=""/>
    <s v=""/>
    <s v=""/>
    <s v=""/>
    <s v=""/>
    <s v=""/>
    <s v=""/>
    <s v=""/>
    <s v=""/>
    <s v=""/>
    <s v=""/>
    <s v=""/>
  </r>
  <r>
    <x v="15"/>
    <x v="62"/>
    <s v="02.B.164"/>
    <x v="3"/>
    <x v="21"/>
    <s v="Fixed (wall)"/>
    <n v="1"/>
    <m/>
    <m/>
    <s v=""/>
    <s v=""/>
    <s v=""/>
    <s v=""/>
    <s v=""/>
    <m/>
    <n v="1"/>
    <s v="Philips"/>
    <x v="11"/>
    <n v="3488"/>
    <n v="0"/>
    <n v="0"/>
    <n v="3488"/>
    <m/>
    <m/>
    <s v=""/>
    <s v=""/>
    <s v=""/>
    <s v=""/>
    <s v=""/>
    <s v=""/>
    <s v=""/>
    <s v=""/>
    <s v=""/>
    <s v=""/>
    <s v=""/>
    <s v=""/>
    <s v=""/>
    <s v=""/>
    <s v=""/>
    <s v=""/>
  </r>
  <r>
    <x v="15"/>
    <x v="76"/>
    <s v="02.B.165"/>
    <x v="3"/>
    <x v="21"/>
    <s v="Fixed (wall)"/>
    <n v="1"/>
    <m/>
    <m/>
    <s v=""/>
    <s v=""/>
    <s v=""/>
    <s v=""/>
    <s v=""/>
    <m/>
    <n v="1"/>
    <s v="Philips"/>
    <x v="11"/>
    <n v="3488"/>
    <n v="0"/>
    <n v="0"/>
    <n v="3488"/>
    <m/>
    <m/>
    <s v=""/>
    <s v=""/>
    <s v=""/>
    <s v=""/>
    <s v=""/>
    <s v=""/>
    <s v=""/>
    <s v=""/>
    <s v=""/>
    <s v=""/>
    <s v=""/>
    <s v=""/>
    <s v=""/>
    <s v=""/>
    <s v=""/>
    <s v=""/>
  </r>
  <r>
    <x v="15"/>
    <x v="18"/>
    <s v="02.B.194"/>
    <x v="1"/>
    <x v="21"/>
    <s v="Fixed (wall)"/>
    <n v="1"/>
    <m/>
    <m/>
    <s v=""/>
    <s v=""/>
    <s v=""/>
    <s v=""/>
    <s v=""/>
    <m/>
    <n v="1"/>
    <s v="Philips"/>
    <x v="11"/>
    <n v="3488"/>
    <n v="0"/>
    <n v="0"/>
    <n v="3488"/>
    <m/>
    <m/>
    <s v=""/>
    <s v=""/>
    <s v=""/>
    <s v=""/>
    <s v=""/>
    <s v=""/>
    <s v=""/>
    <s v=""/>
    <s v=""/>
    <s v=""/>
    <s v=""/>
    <s v=""/>
    <s v=""/>
    <s v=""/>
    <s v=""/>
    <s v=""/>
  </r>
  <r>
    <x v="15"/>
    <x v="18"/>
    <s v="02.B.216"/>
    <x v="1"/>
    <x v="21"/>
    <s v="Fixed (wall)"/>
    <n v="1"/>
    <m/>
    <m/>
    <s v=""/>
    <s v=""/>
    <s v=""/>
    <s v=""/>
    <s v=""/>
    <m/>
    <n v="1"/>
    <s v="Philips"/>
    <x v="11"/>
    <n v="3488"/>
    <n v="0"/>
    <n v="0"/>
    <n v="3488"/>
    <m/>
    <m/>
    <s v=""/>
    <s v=""/>
    <s v=""/>
    <s v=""/>
    <s v=""/>
    <s v=""/>
    <s v=""/>
    <s v=""/>
    <s v=""/>
    <s v=""/>
    <s v=""/>
    <s v=""/>
    <s v=""/>
    <s v=""/>
    <s v=""/>
    <s v=""/>
  </r>
  <r>
    <x v="15"/>
    <x v="62"/>
    <s v="02.B.234"/>
    <x v="3"/>
    <x v="21"/>
    <s v="Fixed (wall)"/>
    <n v="1"/>
    <m/>
    <m/>
    <s v=""/>
    <s v=""/>
    <s v=""/>
    <s v=""/>
    <s v=""/>
    <m/>
    <n v="1"/>
    <s v="Philips"/>
    <x v="11"/>
    <n v="3488"/>
    <n v="0"/>
    <n v="0"/>
    <n v="3488"/>
    <m/>
    <m/>
    <s v=""/>
    <s v=""/>
    <s v=""/>
    <s v=""/>
    <s v=""/>
    <s v=""/>
    <s v=""/>
    <s v=""/>
    <s v=""/>
    <s v=""/>
    <s v=""/>
    <s v=""/>
    <s v=""/>
    <s v=""/>
    <s v=""/>
    <s v=""/>
  </r>
  <r>
    <x v="15"/>
    <x v="62"/>
    <s v="02.B.245"/>
    <x v="3"/>
    <x v="21"/>
    <s v="Fixed (wall)"/>
    <n v="1"/>
    <m/>
    <m/>
    <s v=""/>
    <s v=""/>
    <s v=""/>
    <s v=""/>
    <s v=""/>
    <m/>
    <n v="1"/>
    <s v="Philips"/>
    <x v="11"/>
    <n v="3488"/>
    <n v="0"/>
    <n v="0"/>
    <n v="3488"/>
    <m/>
    <m/>
    <s v=""/>
    <s v=""/>
    <s v=""/>
    <s v=""/>
    <s v=""/>
    <s v=""/>
    <s v=""/>
    <s v=""/>
    <s v=""/>
    <s v=""/>
    <s v=""/>
    <s v=""/>
    <s v=""/>
    <s v=""/>
    <s v=""/>
    <s v=""/>
  </r>
  <r>
    <x v="15"/>
    <x v="62"/>
    <s v="02.B.246"/>
    <x v="3"/>
    <x v="21"/>
    <s v="Fixed (wall)"/>
    <n v="1"/>
    <m/>
    <m/>
    <s v=""/>
    <s v=""/>
    <s v=""/>
    <s v=""/>
    <s v=""/>
    <m/>
    <n v="1"/>
    <s v="Philips"/>
    <x v="11"/>
    <n v="3488"/>
    <n v="0"/>
    <n v="0"/>
    <n v="3488"/>
    <m/>
    <m/>
    <s v=""/>
    <s v=""/>
    <s v=""/>
    <s v=""/>
    <s v=""/>
    <s v=""/>
    <s v=""/>
    <s v=""/>
    <s v=""/>
    <s v=""/>
    <s v=""/>
    <s v=""/>
    <s v=""/>
    <s v=""/>
    <s v=""/>
    <s v=""/>
  </r>
  <r>
    <x v="15"/>
    <x v="62"/>
    <s v="02.B.256"/>
    <x v="3"/>
    <x v="21"/>
    <s v="Fixed (wall)"/>
    <n v="1"/>
    <m/>
    <m/>
    <s v=""/>
    <s v=""/>
    <s v=""/>
    <s v=""/>
    <s v=""/>
    <m/>
    <n v="1"/>
    <s v="Philips"/>
    <x v="11"/>
    <n v="3488"/>
    <n v="0"/>
    <n v="0"/>
    <n v="3488"/>
    <m/>
    <m/>
    <s v=""/>
    <s v=""/>
    <s v=""/>
    <s v=""/>
    <s v=""/>
    <s v=""/>
    <s v=""/>
    <s v=""/>
    <s v=""/>
    <s v=""/>
    <s v=""/>
    <s v=""/>
    <s v=""/>
    <s v=""/>
    <s v=""/>
    <s v=""/>
  </r>
  <r>
    <x v="15"/>
    <x v="76"/>
    <s v="02.B.257"/>
    <x v="3"/>
    <x v="21"/>
    <s v="Fixed (wall)"/>
    <n v="1"/>
    <m/>
    <m/>
    <s v=""/>
    <s v=""/>
    <s v=""/>
    <s v=""/>
    <s v=""/>
    <m/>
    <n v="1"/>
    <s v="Philips"/>
    <x v="11"/>
    <n v="3488"/>
    <n v="0"/>
    <n v="0"/>
    <n v="3488"/>
    <m/>
    <m/>
    <s v=""/>
    <s v=""/>
    <s v=""/>
    <s v=""/>
    <s v=""/>
    <s v=""/>
    <s v=""/>
    <s v=""/>
    <s v=""/>
    <s v=""/>
    <s v=""/>
    <s v=""/>
    <s v=""/>
    <s v=""/>
    <s v=""/>
    <s v=""/>
  </r>
  <r>
    <x v="15"/>
    <x v="76"/>
    <s v="02.B.261"/>
    <x v="3"/>
    <x v="21"/>
    <s v="Fixed (wall)"/>
    <n v="1"/>
    <m/>
    <m/>
    <s v=""/>
    <s v=""/>
    <s v=""/>
    <s v=""/>
    <s v=""/>
    <m/>
    <n v="1"/>
    <s v="Philips"/>
    <x v="11"/>
    <n v="3488"/>
    <n v="0"/>
    <n v="0"/>
    <n v="3488"/>
    <m/>
    <m/>
    <s v=""/>
    <s v=""/>
    <s v=""/>
    <s v=""/>
    <s v=""/>
    <s v=""/>
    <s v=""/>
    <s v=""/>
    <s v=""/>
    <s v=""/>
    <s v=""/>
    <s v=""/>
    <s v=""/>
    <s v=""/>
    <s v=""/>
    <s v=""/>
  </r>
  <r>
    <x v="15"/>
    <x v="76"/>
    <s v="02.B.266"/>
    <x v="3"/>
    <x v="21"/>
    <s v="Fixed (wall)"/>
    <n v="1"/>
    <m/>
    <m/>
    <s v=""/>
    <s v=""/>
    <s v=""/>
    <s v=""/>
    <s v=""/>
    <m/>
    <n v="1"/>
    <s v="Philips"/>
    <x v="11"/>
    <n v="3488"/>
    <n v="0"/>
    <n v="0"/>
    <n v="3488"/>
    <m/>
    <m/>
    <s v=""/>
    <s v=""/>
    <s v=""/>
    <s v=""/>
    <s v=""/>
    <s v=""/>
    <s v=""/>
    <s v=""/>
    <s v=""/>
    <s v=""/>
    <s v=""/>
    <s v=""/>
    <s v=""/>
    <s v=""/>
    <s v=""/>
    <s v=""/>
  </r>
  <r>
    <x v="15"/>
    <x v="62"/>
    <s v="02.B.272"/>
    <x v="3"/>
    <x v="21"/>
    <s v="Fixed (wall)"/>
    <n v="1"/>
    <m/>
    <m/>
    <s v=""/>
    <s v=""/>
    <s v=""/>
    <s v=""/>
    <s v=""/>
    <m/>
    <n v="1"/>
    <s v="Philips"/>
    <x v="11"/>
    <n v="3488"/>
    <n v="0"/>
    <n v="0"/>
    <n v="3488"/>
    <m/>
    <m/>
    <s v=""/>
    <s v=""/>
    <s v=""/>
    <s v=""/>
    <s v=""/>
    <s v=""/>
    <s v=""/>
    <s v=""/>
    <s v=""/>
    <s v=""/>
    <s v=""/>
    <s v=""/>
    <s v=""/>
    <s v=""/>
    <s v=""/>
    <s v=""/>
  </r>
  <r>
    <x v="15"/>
    <x v="62"/>
    <s v="02.B.283"/>
    <x v="3"/>
    <x v="21"/>
    <s v="Fixed (wall)"/>
    <n v="1"/>
    <m/>
    <m/>
    <s v=""/>
    <s v=""/>
    <s v=""/>
    <s v=""/>
    <s v=""/>
    <m/>
    <n v="1"/>
    <s v="Philips"/>
    <x v="11"/>
    <n v="3488"/>
    <n v="0"/>
    <n v="0"/>
    <n v="3488"/>
    <m/>
    <m/>
    <s v=""/>
    <s v=""/>
    <s v=""/>
    <s v=""/>
    <s v=""/>
    <s v=""/>
    <s v=""/>
    <s v=""/>
    <s v=""/>
    <s v=""/>
    <s v=""/>
    <s v=""/>
    <s v=""/>
    <s v=""/>
    <s v=""/>
    <s v=""/>
  </r>
  <r>
    <x v="15"/>
    <x v="62"/>
    <s v="02.B.284"/>
    <x v="3"/>
    <x v="21"/>
    <s v="Fixed (wall)"/>
    <n v="1"/>
    <m/>
    <m/>
    <s v=""/>
    <s v=""/>
    <s v=""/>
    <s v=""/>
    <s v=""/>
    <m/>
    <n v="1"/>
    <s v="Philips"/>
    <x v="11"/>
    <n v="3488"/>
    <n v="0"/>
    <n v="0"/>
    <n v="3488"/>
    <m/>
    <m/>
    <s v=""/>
    <s v=""/>
    <s v=""/>
    <s v=""/>
    <s v=""/>
    <s v=""/>
    <s v=""/>
    <s v=""/>
    <s v=""/>
    <s v=""/>
    <s v=""/>
    <s v=""/>
    <s v=""/>
    <s v=""/>
    <s v=""/>
    <s v=""/>
  </r>
  <r>
    <x v="15"/>
    <x v="62"/>
    <s v="02.B.295"/>
    <x v="3"/>
    <x v="21"/>
    <s v="Fixed (wall)"/>
    <n v="1"/>
    <m/>
    <m/>
    <s v=""/>
    <s v=""/>
    <s v=""/>
    <s v=""/>
    <s v=""/>
    <m/>
    <n v="1"/>
    <s v="Philips"/>
    <x v="11"/>
    <n v="3488"/>
    <n v="0"/>
    <n v="0"/>
    <n v="3488"/>
    <m/>
    <m/>
    <s v=""/>
    <s v=""/>
    <s v=""/>
    <s v=""/>
    <s v=""/>
    <s v=""/>
    <s v=""/>
    <s v=""/>
    <s v=""/>
    <s v=""/>
    <s v=""/>
    <s v=""/>
    <s v=""/>
    <s v=""/>
    <s v=""/>
    <s v=""/>
  </r>
  <r>
    <x v="15"/>
    <x v="62"/>
    <s v="02.B.448"/>
    <x v="3"/>
    <x v="21"/>
    <s v="Fixed (wall)"/>
    <n v="1"/>
    <m/>
    <m/>
    <s v=""/>
    <s v=""/>
    <s v=""/>
    <s v=""/>
    <s v=""/>
    <m/>
    <n v="1"/>
    <s v="Philips"/>
    <x v="11"/>
    <n v="3488"/>
    <n v="0"/>
    <n v="0"/>
    <n v="3488"/>
    <m/>
    <m/>
    <s v=""/>
    <s v=""/>
    <s v=""/>
    <s v=""/>
    <s v=""/>
    <s v=""/>
    <s v=""/>
    <s v=""/>
    <s v=""/>
    <s v=""/>
    <s v=""/>
    <s v=""/>
    <s v=""/>
    <s v=""/>
    <s v=""/>
    <s v=""/>
  </r>
  <r>
    <x v="15"/>
    <x v="62"/>
    <s v="02.B.450"/>
    <x v="3"/>
    <x v="21"/>
    <s v="Fixed (wall)"/>
    <n v="1"/>
    <m/>
    <m/>
    <s v=""/>
    <s v=""/>
    <s v=""/>
    <s v=""/>
    <s v=""/>
    <m/>
    <n v="1"/>
    <s v="Philips"/>
    <x v="11"/>
    <n v="3488"/>
    <n v="0"/>
    <n v="0"/>
    <n v="3488"/>
    <m/>
    <m/>
    <s v=""/>
    <s v=""/>
    <s v=""/>
    <s v=""/>
    <s v=""/>
    <s v=""/>
    <s v=""/>
    <s v=""/>
    <s v=""/>
    <s v=""/>
    <s v=""/>
    <s v=""/>
    <s v=""/>
    <s v=""/>
    <s v=""/>
    <s v=""/>
  </r>
  <r>
    <x v="15"/>
    <x v="62"/>
    <s v="02.B.457"/>
    <x v="3"/>
    <x v="21"/>
    <s v="Fixed (wall)"/>
    <n v="1"/>
    <m/>
    <m/>
    <s v=""/>
    <s v=""/>
    <s v=""/>
    <s v=""/>
    <s v=""/>
    <m/>
    <n v="1"/>
    <s v="Philips"/>
    <x v="11"/>
    <n v="3488"/>
    <n v="0"/>
    <n v="0"/>
    <n v="3488"/>
    <m/>
    <m/>
    <s v=""/>
    <s v=""/>
    <s v=""/>
    <s v=""/>
    <s v=""/>
    <s v=""/>
    <s v=""/>
    <s v=""/>
    <s v=""/>
    <s v=""/>
    <s v=""/>
    <s v=""/>
    <s v=""/>
    <s v=""/>
    <s v=""/>
    <s v=""/>
  </r>
  <r>
    <x v="15"/>
    <x v="62"/>
    <s v="02.B.458"/>
    <x v="3"/>
    <x v="21"/>
    <s v="Fixed (wall)"/>
    <n v="1"/>
    <m/>
    <m/>
    <s v=""/>
    <s v=""/>
    <s v=""/>
    <s v=""/>
    <s v=""/>
    <m/>
    <n v="1"/>
    <s v="Philips"/>
    <x v="11"/>
    <n v="3488"/>
    <n v="0"/>
    <n v="0"/>
    <n v="3488"/>
    <m/>
    <m/>
    <s v=""/>
    <s v=""/>
    <s v=""/>
    <s v=""/>
    <s v=""/>
    <s v=""/>
    <s v=""/>
    <s v=""/>
    <s v=""/>
    <s v=""/>
    <s v=""/>
    <s v=""/>
    <s v=""/>
    <s v=""/>
    <s v=""/>
    <s v=""/>
  </r>
  <r>
    <x v="15"/>
    <x v="62"/>
    <s v="02.B.464"/>
    <x v="3"/>
    <x v="21"/>
    <s v="Fixed (wall)"/>
    <n v="1"/>
    <m/>
    <m/>
    <s v=""/>
    <s v=""/>
    <s v=""/>
    <s v=""/>
    <s v=""/>
    <m/>
    <n v="1"/>
    <s v="Philips"/>
    <x v="11"/>
    <n v="3488"/>
    <n v="0"/>
    <n v="0"/>
    <n v="3488"/>
    <m/>
    <m/>
    <s v=""/>
    <s v=""/>
    <s v=""/>
    <s v=""/>
    <s v=""/>
    <s v=""/>
    <s v=""/>
    <s v=""/>
    <s v=""/>
    <s v=""/>
    <s v=""/>
    <s v=""/>
    <s v=""/>
    <s v=""/>
    <s v=""/>
    <s v=""/>
  </r>
  <r>
    <x v="15"/>
    <x v="62"/>
    <s v="02.B.465"/>
    <x v="3"/>
    <x v="21"/>
    <s v="Fixed (wall)"/>
    <n v="1"/>
    <m/>
    <m/>
    <s v=""/>
    <s v=""/>
    <s v=""/>
    <s v=""/>
    <s v=""/>
    <m/>
    <n v="1"/>
    <s v="Philips"/>
    <x v="11"/>
    <n v="3488"/>
    <n v="0"/>
    <n v="0"/>
    <n v="3488"/>
    <m/>
    <m/>
    <s v=""/>
    <s v=""/>
    <s v=""/>
    <s v=""/>
    <s v=""/>
    <s v=""/>
    <s v=""/>
    <s v=""/>
    <s v=""/>
    <s v=""/>
    <s v=""/>
    <s v=""/>
    <s v=""/>
    <s v=""/>
    <s v=""/>
    <s v=""/>
  </r>
  <r>
    <x v="15"/>
    <x v="67"/>
    <s v="02.B.149"/>
    <x v="3"/>
    <x v="22"/>
    <m/>
    <n v="1"/>
    <m/>
    <m/>
    <s v=""/>
    <s v=""/>
    <s v=""/>
    <s v=""/>
    <s v=""/>
    <m/>
    <n v="1"/>
    <s v="Philips"/>
    <x v="15"/>
    <n v="1472"/>
    <n v="0"/>
    <n v="0"/>
    <n v="1472"/>
    <m/>
    <m/>
    <m/>
    <m/>
    <m/>
    <m/>
    <m/>
    <m/>
    <m/>
    <m/>
    <m/>
    <m/>
    <m/>
    <m/>
    <m/>
    <m/>
    <m/>
    <m/>
  </r>
  <r>
    <x v="15"/>
    <x v="67"/>
    <s v="02.B.154"/>
    <x v="3"/>
    <x v="22"/>
    <m/>
    <n v="1"/>
    <m/>
    <m/>
    <s v=""/>
    <s v=""/>
    <s v=""/>
    <s v=""/>
    <s v=""/>
    <m/>
    <n v="1"/>
    <s v="Philips"/>
    <x v="15"/>
    <n v="1472"/>
    <n v="0"/>
    <n v="0"/>
    <n v="1472"/>
    <m/>
    <m/>
    <m/>
    <m/>
    <m/>
    <m/>
    <m/>
    <m/>
    <m/>
    <m/>
    <m/>
    <m/>
    <m/>
    <m/>
    <m/>
    <m/>
    <m/>
    <m/>
  </r>
  <r>
    <x v="15"/>
    <x v="67"/>
    <s v="02.B.161"/>
    <x v="3"/>
    <x v="22"/>
    <m/>
    <n v="1"/>
    <m/>
    <m/>
    <s v=""/>
    <s v=""/>
    <s v=""/>
    <s v=""/>
    <s v=""/>
    <m/>
    <n v="1"/>
    <s v="Philips"/>
    <x v="15"/>
    <n v="1472"/>
    <n v="0"/>
    <n v="0"/>
    <n v="1472"/>
    <m/>
    <m/>
    <m/>
    <m/>
    <m/>
    <m/>
    <m/>
    <m/>
    <m/>
    <m/>
    <m/>
    <m/>
    <m/>
    <m/>
    <m/>
    <m/>
    <m/>
    <m/>
  </r>
  <r>
    <x v="15"/>
    <x v="68"/>
    <s v="02.B.163"/>
    <x v="3"/>
    <x v="22"/>
    <m/>
    <n v="1"/>
    <m/>
    <m/>
    <s v=""/>
    <s v=""/>
    <s v=""/>
    <s v=""/>
    <s v=""/>
    <m/>
    <n v="1"/>
    <s v="Philips"/>
    <x v="15"/>
    <n v="1472"/>
    <n v="0"/>
    <n v="0"/>
    <n v="1472"/>
    <m/>
    <m/>
    <m/>
    <m/>
    <m/>
    <m/>
    <m/>
    <m/>
    <m/>
    <m/>
    <m/>
    <m/>
    <m/>
    <m/>
    <m/>
    <m/>
    <m/>
    <m/>
  </r>
  <r>
    <x v="15"/>
    <x v="69"/>
    <s v="02.B.235"/>
    <x v="3"/>
    <x v="22"/>
    <m/>
    <n v="1"/>
    <m/>
    <m/>
    <s v=""/>
    <s v=""/>
    <s v=""/>
    <s v=""/>
    <s v=""/>
    <m/>
    <n v="1"/>
    <s v="Philips"/>
    <x v="15"/>
    <n v="1472"/>
    <n v="0"/>
    <n v="0"/>
    <n v="1472"/>
    <m/>
    <m/>
    <m/>
    <m/>
    <m/>
    <m/>
    <m/>
    <m/>
    <m/>
    <m/>
    <m/>
    <m/>
    <m/>
    <m/>
    <m/>
    <m/>
    <m/>
    <m/>
  </r>
  <r>
    <x v="15"/>
    <x v="70"/>
    <s v="02.B.242"/>
    <x v="3"/>
    <x v="22"/>
    <m/>
    <n v="1"/>
    <m/>
    <m/>
    <s v=""/>
    <s v=""/>
    <s v=""/>
    <s v=""/>
    <s v=""/>
    <m/>
    <n v="1"/>
    <s v="Philips"/>
    <x v="15"/>
    <n v="1472"/>
    <n v="0"/>
    <n v="0"/>
    <n v="1472"/>
    <m/>
    <m/>
    <m/>
    <m/>
    <m/>
    <m/>
    <m/>
    <m/>
    <m/>
    <m/>
    <m/>
    <m/>
    <m/>
    <m/>
    <m/>
    <m/>
    <m/>
    <m/>
  </r>
  <r>
    <x v="15"/>
    <x v="71"/>
    <s v="02.B.247"/>
    <x v="3"/>
    <x v="22"/>
    <m/>
    <n v="1"/>
    <m/>
    <m/>
    <s v=""/>
    <s v=""/>
    <s v=""/>
    <s v=""/>
    <s v=""/>
    <m/>
    <n v="1"/>
    <s v="Philips"/>
    <x v="15"/>
    <n v="1472"/>
    <n v="0"/>
    <n v="0"/>
    <n v="1472"/>
    <m/>
    <m/>
    <m/>
    <m/>
    <m/>
    <m/>
    <m/>
    <m/>
    <m/>
    <m/>
    <m/>
    <m/>
    <m/>
    <m/>
    <m/>
    <m/>
    <m/>
    <m/>
  </r>
  <r>
    <x v="15"/>
    <x v="72"/>
    <s v="02.B.255"/>
    <x v="3"/>
    <x v="22"/>
    <m/>
    <n v="1"/>
    <m/>
    <m/>
    <s v=""/>
    <s v=""/>
    <s v=""/>
    <s v=""/>
    <s v=""/>
    <m/>
    <n v="1"/>
    <s v="Philips"/>
    <x v="15"/>
    <n v="1472"/>
    <n v="0"/>
    <n v="0"/>
    <n v="1472"/>
    <m/>
    <m/>
    <m/>
    <m/>
    <m/>
    <m/>
    <m/>
    <m/>
    <m/>
    <m/>
    <m/>
    <m/>
    <m/>
    <m/>
    <m/>
    <m/>
    <m/>
    <m/>
  </r>
  <r>
    <x v="15"/>
    <x v="73"/>
    <s v="02.B.273"/>
    <x v="3"/>
    <x v="22"/>
    <m/>
    <n v="1"/>
    <m/>
    <m/>
    <s v=""/>
    <s v=""/>
    <s v=""/>
    <s v=""/>
    <s v=""/>
    <m/>
    <n v="1"/>
    <s v="Philips"/>
    <x v="15"/>
    <n v="1472"/>
    <n v="0"/>
    <n v="0"/>
    <n v="1472"/>
    <m/>
    <m/>
    <m/>
    <m/>
    <m/>
    <m/>
    <m/>
    <m/>
    <m/>
    <m/>
    <m/>
    <m/>
    <m/>
    <m/>
    <m/>
    <m/>
    <m/>
    <m/>
  </r>
  <r>
    <x v="15"/>
    <x v="74"/>
    <s v="02.B.281"/>
    <x v="3"/>
    <x v="22"/>
    <m/>
    <n v="1"/>
    <m/>
    <m/>
    <s v=""/>
    <s v=""/>
    <s v=""/>
    <s v=""/>
    <s v=""/>
    <m/>
    <n v="1"/>
    <s v="Philips"/>
    <x v="15"/>
    <n v="1472"/>
    <n v="0"/>
    <n v="0"/>
    <n v="1472"/>
    <m/>
    <m/>
    <m/>
    <m/>
    <m/>
    <m/>
    <m/>
    <m/>
    <m/>
    <m/>
    <m/>
    <m/>
    <m/>
    <m/>
    <m/>
    <m/>
    <m/>
    <m/>
  </r>
  <r>
    <x v="15"/>
    <x v="75"/>
    <s v="02.B.285"/>
    <x v="3"/>
    <x v="22"/>
    <m/>
    <n v="1"/>
    <m/>
    <m/>
    <s v=""/>
    <s v=""/>
    <s v=""/>
    <s v=""/>
    <s v=""/>
    <m/>
    <n v="1"/>
    <s v="Philips"/>
    <x v="15"/>
    <n v="1472"/>
    <n v="0"/>
    <n v="0"/>
    <n v="1472"/>
    <m/>
    <m/>
    <m/>
    <m/>
    <m/>
    <m/>
    <m/>
    <m/>
    <m/>
    <m/>
    <m/>
    <m/>
    <m/>
    <m/>
    <m/>
    <m/>
    <m/>
    <m/>
  </r>
  <r>
    <x v="15"/>
    <x v="74"/>
    <s v="02.B.294"/>
    <x v="3"/>
    <x v="22"/>
    <m/>
    <n v="1"/>
    <m/>
    <m/>
    <s v=""/>
    <s v=""/>
    <s v=""/>
    <s v=""/>
    <s v=""/>
    <m/>
    <n v="1"/>
    <s v="Philips"/>
    <x v="15"/>
    <n v="1472"/>
    <n v="0"/>
    <n v="0"/>
    <n v="1472"/>
    <m/>
    <m/>
    <m/>
    <m/>
    <m/>
    <m/>
    <m/>
    <m/>
    <m/>
    <m/>
    <m/>
    <m/>
    <m/>
    <m/>
    <m/>
    <m/>
    <m/>
    <m/>
  </r>
  <r>
    <x v="15"/>
    <x v="75"/>
    <s v="02.B.454"/>
    <x v="3"/>
    <x v="22"/>
    <m/>
    <n v="1"/>
    <m/>
    <m/>
    <s v=""/>
    <s v=""/>
    <s v=""/>
    <s v=""/>
    <s v=""/>
    <m/>
    <n v="1"/>
    <s v="Philips"/>
    <x v="15"/>
    <n v="1472"/>
    <n v="0"/>
    <n v="0"/>
    <n v="1472"/>
    <m/>
    <m/>
    <m/>
    <m/>
    <m/>
    <m/>
    <m/>
    <m/>
    <m/>
    <m/>
    <m/>
    <m/>
    <m/>
    <m/>
    <m/>
    <m/>
    <m/>
    <m/>
  </r>
  <r>
    <x v="15"/>
    <x v="75"/>
    <s v="02.B.455"/>
    <x v="3"/>
    <x v="22"/>
    <m/>
    <n v="1"/>
    <m/>
    <m/>
    <s v=""/>
    <s v=""/>
    <s v=""/>
    <s v=""/>
    <s v=""/>
    <m/>
    <n v="1"/>
    <s v="Philips"/>
    <x v="15"/>
    <n v="1472"/>
    <n v="0"/>
    <n v="0"/>
    <n v="1472"/>
    <m/>
    <m/>
    <m/>
    <m/>
    <m/>
    <m/>
    <m/>
    <m/>
    <m/>
    <m/>
    <m/>
    <m/>
    <m/>
    <m/>
    <m/>
    <m/>
    <m/>
    <m/>
  </r>
  <r>
    <x v="15"/>
    <x v="75"/>
    <s v="02.B.456"/>
    <x v="3"/>
    <x v="22"/>
    <m/>
    <n v="1"/>
    <m/>
    <m/>
    <s v=""/>
    <s v=""/>
    <s v=""/>
    <s v=""/>
    <s v=""/>
    <m/>
    <n v="1"/>
    <s v="Philips"/>
    <x v="15"/>
    <n v="1472"/>
    <n v="0"/>
    <n v="0"/>
    <n v="1472"/>
    <m/>
    <m/>
    <m/>
    <m/>
    <m/>
    <m/>
    <m/>
    <m/>
    <m/>
    <m/>
    <m/>
    <m/>
    <m/>
    <m/>
    <m/>
    <m/>
    <m/>
    <m/>
  </r>
  <r>
    <x v="15"/>
    <x v="75"/>
    <s v="02.B.481"/>
    <x v="3"/>
    <x v="22"/>
    <m/>
    <n v="1"/>
    <m/>
    <m/>
    <s v=""/>
    <s v=""/>
    <s v=""/>
    <s v=""/>
    <s v=""/>
    <m/>
    <n v="1"/>
    <s v="Philips"/>
    <x v="15"/>
    <n v="1472"/>
    <n v="0"/>
    <n v="0"/>
    <n v="1472"/>
    <m/>
    <m/>
    <m/>
    <m/>
    <m/>
    <m/>
    <m/>
    <m/>
    <m/>
    <m/>
    <m/>
    <m/>
    <m/>
    <m/>
    <m/>
    <m/>
    <m/>
    <m/>
  </r>
  <r>
    <x v="15"/>
    <x v="67"/>
    <s v="02.B.149"/>
    <x v="3"/>
    <x v="23"/>
    <m/>
    <n v="1"/>
    <m/>
    <m/>
    <s v=""/>
    <s v=""/>
    <s v=""/>
    <s v=""/>
    <s v=""/>
    <m/>
    <n v="1"/>
    <s v="Philips"/>
    <x v="20"/>
    <n v="5077"/>
    <n v="0"/>
    <n v="0"/>
    <n v="5077"/>
    <m/>
    <m/>
    <m/>
    <m/>
    <m/>
    <m/>
    <m/>
    <m/>
    <m/>
    <m/>
    <m/>
    <m/>
    <m/>
    <m/>
    <m/>
    <m/>
    <m/>
    <m/>
  </r>
  <r>
    <x v="15"/>
    <x v="67"/>
    <s v="02.B.154"/>
    <x v="3"/>
    <x v="23"/>
    <m/>
    <n v="1"/>
    <m/>
    <m/>
    <s v=""/>
    <s v=""/>
    <s v=""/>
    <s v=""/>
    <s v=""/>
    <m/>
    <n v="1"/>
    <s v="Philips"/>
    <x v="20"/>
    <n v="5077"/>
    <n v="0"/>
    <n v="0"/>
    <n v="5077"/>
    <m/>
    <m/>
    <m/>
    <m/>
    <m/>
    <m/>
    <m/>
    <m/>
    <m/>
    <m/>
    <m/>
    <m/>
    <m/>
    <m/>
    <m/>
    <m/>
    <m/>
    <m/>
  </r>
  <r>
    <x v="15"/>
    <x v="67"/>
    <s v="02.B.161"/>
    <x v="3"/>
    <x v="23"/>
    <m/>
    <n v="1"/>
    <m/>
    <m/>
    <s v=""/>
    <s v=""/>
    <s v=""/>
    <s v=""/>
    <s v=""/>
    <m/>
    <n v="1"/>
    <s v="Philips"/>
    <x v="20"/>
    <n v="5077"/>
    <n v="0"/>
    <n v="0"/>
    <n v="5077"/>
    <m/>
    <m/>
    <m/>
    <m/>
    <m/>
    <m/>
    <m/>
    <m/>
    <m/>
    <m/>
    <m/>
    <m/>
    <m/>
    <m/>
    <m/>
    <m/>
    <m/>
    <m/>
  </r>
  <r>
    <x v="15"/>
    <x v="68"/>
    <s v="02.B.163"/>
    <x v="3"/>
    <x v="23"/>
    <m/>
    <n v="1"/>
    <m/>
    <m/>
    <s v=""/>
    <s v=""/>
    <s v=""/>
    <s v=""/>
    <s v=""/>
    <m/>
    <n v="1"/>
    <s v="Philips"/>
    <x v="20"/>
    <n v="5077"/>
    <n v="0"/>
    <n v="0"/>
    <n v="5077"/>
    <m/>
    <m/>
    <m/>
    <m/>
    <m/>
    <m/>
    <m/>
    <m/>
    <m/>
    <m/>
    <m/>
    <m/>
    <m/>
    <m/>
    <m/>
    <m/>
    <m/>
    <m/>
  </r>
  <r>
    <x v="15"/>
    <x v="69"/>
    <s v="02.B.235"/>
    <x v="3"/>
    <x v="23"/>
    <m/>
    <n v="1"/>
    <m/>
    <m/>
    <s v=""/>
    <s v=""/>
    <s v=""/>
    <s v=""/>
    <s v=""/>
    <m/>
    <n v="1"/>
    <s v="Philips"/>
    <x v="20"/>
    <n v="5077"/>
    <n v="0"/>
    <n v="0"/>
    <n v="5077"/>
    <m/>
    <m/>
    <m/>
    <m/>
    <m/>
    <m/>
    <m/>
    <m/>
    <m/>
    <m/>
    <m/>
    <m/>
    <m/>
    <m/>
    <m/>
    <m/>
    <m/>
    <m/>
  </r>
  <r>
    <x v="15"/>
    <x v="70"/>
    <s v="02.B.242"/>
    <x v="3"/>
    <x v="23"/>
    <m/>
    <n v="1"/>
    <m/>
    <m/>
    <s v=""/>
    <s v=""/>
    <s v=""/>
    <s v=""/>
    <s v=""/>
    <m/>
    <n v="1"/>
    <s v="Philips"/>
    <x v="20"/>
    <n v="5077"/>
    <n v="0"/>
    <n v="0"/>
    <n v="5077"/>
    <m/>
    <m/>
    <m/>
    <m/>
    <m/>
    <m/>
    <m/>
    <m/>
    <m/>
    <m/>
    <m/>
    <m/>
    <m/>
    <m/>
    <m/>
    <m/>
    <m/>
    <m/>
  </r>
  <r>
    <x v="15"/>
    <x v="71"/>
    <s v="02.B.247"/>
    <x v="3"/>
    <x v="23"/>
    <m/>
    <n v="1"/>
    <m/>
    <m/>
    <s v=""/>
    <s v=""/>
    <s v=""/>
    <s v=""/>
    <s v=""/>
    <m/>
    <n v="1"/>
    <s v="Philips"/>
    <x v="20"/>
    <n v="5077"/>
    <n v="0"/>
    <n v="0"/>
    <n v="5077"/>
    <m/>
    <m/>
    <m/>
    <m/>
    <m/>
    <m/>
    <m/>
    <m/>
    <m/>
    <m/>
    <m/>
    <m/>
    <m/>
    <m/>
    <m/>
    <m/>
    <m/>
    <m/>
  </r>
  <r>
    <x v="15"/>
    <x v="72"/>
    <s v="02.B.255"/>
    <x v="3"/>
    <x v="23"/>
    <m/>
    <n v="1"/>
    <m/>
    <m/>
    <s v=""/>
    <s v=""/>
    <s v=""/>
    <s v=""/>
    <s v=""/>
    <m/>
    <n v="1"/>
    <s v="Philips"/>
    <x v="20"/>
    <n v="5077"/>
    <n v="0"/>
    <n v="0"/>
    <n v="5077"/>
    <m/>
    <m/>
    <m/>
    <m/>
    <m/>
    <m/>
    <m/>
    <m/>
    <m/>
    <m/>
    <m/>
    <m/>
    <m/>
    <m/>
    <m/>
    <m/>
    <m/>
    <m/>
  </r>
  <r>
    <x v="15"/>
    <x v="73"/>
    <s v="02.B.273"/>
    <x v="3"/>
    <x v="23"/>
    <m/>
    <n v="1"/>
    <m/>
    <m/>
    <s v=""/>
    <s v=""/>
    <s v=""/>
    <s v=""/>
    <s v=""/>
    <m/>
    <n v="1"/>
    <s v="Philips"/>
    <x v="20"/>
    <n v="5077"/>
    <n v="0"/>
    <n v="0"/>
    <n v="5077"/>
    <m/>
    <m/>
    <m/>
    <m/>
    <m/>
    <m/>
    <m/>
    <m/>
    <m/>
    <m/>
    <m/>
    <m/>
    <m/>
    <m/>
    <m/>
    <m/>
    <m/>
    <m/>
  </r>
  <r>
    <x v="15"/>
    <x v="74"/>
    <s v="02.B.281"/>
    <x v="3"/>
    <x v="23"/>
    <m/>
    <n v="1"/>
    <m/>
    <m/>
    <s v=""/>
    <s v=""/>
    <s v=""/>
    <s v=""/>
    <s v=""/>
    <m/>
    <n v="1"/>
    <s v="Philips"/>
    <x v="20"/>
    <n v="5077"/>
    <n v="0"/>
    <n v="0"/>
    <n v="5077"/>
    <m/>
    <m/>
    <m/>
    <m/>
    <m/>
    <m/>
    <m/>
    <m/>
    <m/>
    <m/>
    <m/>
    <m/>
    <m/>
    <m/>
    <m/>
    <m/>
    <m/>
    <m/>
  </r>
  <r>
    <x v="15"/>
    <x v="75"/>
    <s v="02.B.285"/>
    <x v="3"/>
    <x v="23"/>
    <m/>
    <n v="1"/>
    <m/>
    <m/>
    <s v=""/>
    <s v=""/>
    <s v=""/>
    <s v=""/>
    <s v=""/>
    <m/>
    <n v="1"/>
    <s v="Philips"/>
    <x v="20"/>
    <n v="5077"/>
    <n v="0"/>
    <n v="0"/>
    <n v="5077"/>
    <m/>
    <m/>
    <m/>
    <m/>
    <m/>
    <m/>
    <m/>
    <m/>
    <m/>
    <m/>
    <m/>
    <m/>
    <m/>
    <m/>
    <m/>
    <m/>
    <m/>
    <m/>
  </r>
  <r>
    <x v="15"/>
    <x v="74"/>
    <s v="02.B.294"/>
    <x v="3"/>
    <x v="23"/>
    <m/>
    <n v="1"/>
    <m/>
    <m/>
    <s v=""/>
    <s v=""/>
    <s v=""/>
    <s v=""/>
    <s v=""/>
    <m/>
    <n v="1"/>
    <s v="Philips"/>
    <x v="20"/>
    <n v="5077"/>
    <n v="0"/>
    <n v="0"/>
    <n v="5077"/>
    <m/>
    <m/>
    <m/>
    <m/>
    <m/>
    <m/>
    <m/>
    <m/>
    <m/>
    <m/>
    <m/>
    <m/>
    <m/>
    <m/>
    <m/>
    <m/>
    <m/>
    <m/>
  </r>
  <r>
    <x v="15"/>
    <x v="75"/>
    <s v="02.B.454"/>
    <x v="3"/>
    <x v="23"/>
    <m/>
    <n v="1"/>
    <m/>
    <m/>
    <s v=""/>
    <s v=""/>
    <s v=""/>
    <s v=""/>
    <s v=""/>
    <m/>
    <n v="1"/>
    <s v="Philips"/>
    <x v="20"/>
    <n v="5077"/>
    <n v="0"/>
    <n v="0"/>
    <n v="5077"/>
    <m/>
    <m/>
    <m/>
    <m/>
    <m/>
    <m/>
    <m/>
    <m/>
    <m/>
    <m/>
    <m/>
    <m/>
    <m/>
    <m/>
    <m/>
    <m/>
    <m/>
    <m/>
  </r>
  <r>
    <x v="15"/>
    <x v="75"/>
    <s v="02.B.455"/>
    <x v="3"/>
    <x v="23"/>
    <m/>
    <n v="1"/>
    <m/>
    <m/>
    <s v=""/>
    <s v=""/>
    <s v=""/>
    <s v=""/>
    <s v=""/>
    <m/>
    <n v="1"/>
    <s v="Philips"/>
    <x v="20"/>
    <n v="5077"/>
    <n v="0"/>
    <n v="0"/>
    <n v="5077"/>
    <m/>
    <m/>
    <m/>
    <m/>
    <m/>
    <m/>
    <m/>
    <m/>
    <m/>
    <m/>
    <m/>
    <m/>
    <m/>
    <m/>
    <m/>
    <m/>
    <m/>
    <m/>
  </r>
  <r>
    <x v="15"/>
    <x v="75"/>
    <s v="02.B.456"/>
    <x v="3"/>
    <x v="23"/>
    <m/>
    <n v="1"/>
    <m/>
    <m/>
    <s v=""/>
    <s v=""/>
    <s v=""/>
    <s v=""/>
    <s v=""/>
    <m/>
    <n v="1"/>
    <s v="Philips"/>
    <x v="20"/>
    <n v="5077"/>
    <n v="0"/>
    <n v="0"/>
    <n v="5077"/>
    <m/>
    <m/>
    <m/>
    <m/>
    <m/>
    <m/>
    <m/>
    <m/>
    <m/>
    <m/>
    <m/>
    <m/>
    <m/>
    <m/>
    <m/>
    <m/>
    <m/>
    <m/>
  </r>
  <r>
    <x v="15"/>
    <x v="75"/>
    <s v="02.B.481"/>
    <x v="3"/>
    <x v="23"/>
    <m/>
    <n v="1"/>
    <m/>
    <m/>
    <s v=""/>
    <s v=""/>
    <s v=""/>
    <s v=""/>
    <s v=""/>
    <m/>
    <n v="1"/>
    <s v="Philips"/>
    <x v="20"/>
    <n v="5077"/>
    <n v="0"/>
    <n v="0"/>
    <n v="5077"/>
    <m/>
    <m/>
    <m/>
    <m/>
    <m/>
    <m/>
    <m/>
    <m/>
    <m/>
    <m/>
    <m/>
    <m/>
    <m/>
    <m/>
    <m/>
    <m/>
    <m/>
    <m/>
  </r>
  <r>
    <x v="15"/>
    <x v="83"/>
    <s v="02.B.302"/>
    <x v="1"/>
    <x v="18"/>
    <s v="Module"/>
    <n v="10"/>
    <m/>
    <m/>
    <s v=""/>
    <s v=""/>
    <s v=""/>
    <s v=""/>
    <s v=""/>
    <m/>
    <n v="10"/>
    <s v="Philips"/>
    <x v="18"/>
    <n v="0"/>
    <n v="0"/>
    <n v="0"/>
    <n v="0"/>
    <m/>
    <m/>
    <m/>
    <m/>
    <m/>
    <m/>
    <m/>
    <m/>
    <m/>
    <m/>
    <m/>
    <m/>
    <m/>
    <m/>
    <m/>
    <m/>
    <m/>
    <m/>
  </r>
  <r>
    <x v="15"/>
    <x v="67"/>
    <s v="02.B.149"/>
    <x v="3"/>
    <x v="24"/>
    <m/>
    <n v="1"/>
    <m/>
    <m/>
    <s v=""/>
    <s v=""/>
    <s v=""/>
    <s v=""/>
    <s v=""/>
    <m/>
    <n v="1"/>
    <s v="Philips"/>
    <x v="21"/>
    <n v="2682"/>
    <n v="0"/>
    <n v="0"/>
    <n v="2682"/>
    <m/>
    <m/>
    <m/>
    <m/>
    <m/>
    <m/>
    <m/>
    <m/>
    <m/>
    <m/>
    <m/>
    <m/>
    <m/>
    <m/>
    <m/>
    <m/>
    <m/>
    <m/>
  </r>
  <r>
    <x v="15"/>
    <x v="67"/>
    <s v="02.B.154"/>
    <x v="3"/>
    <x v="24"/>
    <m/>
    <n v="1"/>
    <m/>
    <m/>
    <s v=""/>
    <s v=""/>
    <s v=""/>
    <s v=""/>
    <s v=""/>
    <m/>
    <n v="1"/>
    <s v="Philips"/>
    <x v="21"/>
    <n v="2682"/>
    <n v="0"/>
    <n v="0"/>
    <n v="2682"/>
    <m/>
    <m/>
    <m/>
    <m/>
    <m/>
    <m/>
    <m/>
    <m/>
    <m/>
    <m/>
    <m/>
    <m/>
    <m/>
    <m/>
    <m/>
    <m/>
    <m/>
    <m/>
  </r>
  <r>
    <x v="15"/>
    <x v="67"/>
    <s v="02.B.161"/>
    <x v="3"/>
    <x v="24"/>
    <m/>
    <n v="1"/>
    <m/>
    <m/>
    <s v=""/>
    <s v=""/>
    <s v=""/>
    <s v=""/>
    <s v=""/>
    <m/>
    <n v="1"/>
    <s v="Philips"/>
    <x v="21"/>
    <n v="2682"/>
    <n v="0"/>
    <n v="0"/>
    <n v="2682"/>
    <m/>
    <m/>
    <m/>
    <m/>
    <m/>
    <m/>
    <m/>
    <m/>
    <m/>
    <m/>
    <m/>
    <m/>
    <m/>
    <m/>
    <m/>
    <m/>
    <m/>
    <m/>
  </r>
  <r>
    <x v="15"/>
    <x v="68"/>
    <s v="02.B.163"/>
    <x v="3"/>
    <x v="24"/>
    <m/>
    <n v="1"/>
    <m/>
    <m/>
    <s v=""/>
    <s v=""/>
    <s v=""/>
    <s v=""/>
    <s v=""/>
    <m/>
    <n v="1"/>
    <s v="Philips"/>
    <x v="21"/>
    <n v="2682"/>
    <n v="0"/>
    <n v="0"/>
    <n v="2682"/>
    <m/>
    <m/>
    <m/>
    <m/>
    <m/>
    <m/>
    <m/>
    <m/>
    <m/>
    <m/>
    <m/>
    <m/>
    <m/>
    <m/>
    <m/>
    <m/>
    <m/>
    <m/>
  </r>
  <r>
    <x v="15"/>
    <x v="69"/>
    <s v="02.B.235"/>
    <x v="3"/>
    <x v="24"/>
    <m/>
    <n v="1"/>
    <m/>
    <m/>
    <s v=""/>
    <s v=""/>
    <s v=""/>
    <s v=""/>
    <s v=""/>
    <m/>
    <n v="1"/>
    <s v="Philips"/>
    <x v="21"/>
    <n v="2682"/>
    <n v="0"/>
    <n v="0"/>
    <n v="2682"/>
    <m/>
    <m/>
    <m/>
    <m/>
    <m/>
    <m/>
    <m/>
    <m/>
    <m/>
    <m/>
    <m/>
    <m/>
    <m/>
    <m/>
    <m/>
    <m/>
    <m/>
    <m/>
  </r>
  <r>
    <x v="15"/>
    <x v="70"/>
    <s v="02.B.242"/>
    <x v="3"/>
    <x v="24"/>
    <m/>
    <n v="1"/>
    <m/>
    <m/>
    <s v=""/>
    <s v=""/>
    <s v=""/>
    <s v=""/>
    <s v=""/>
    <m/>
    <n v="1"/>
    <s v="Philips"/>
    <x v="21"/>
    <n v="2682"/>
    <n v="0"/>
    <n v="0"/>
    <n v="2682"/>
    <m/>
    <m/>
    <m/>
    <m/>
    <m/>
    <m/>
    <m/>
    <m/>
    <m/>
    <m/>
    <m/>
    <m/>
    <m/>
    <m/>
    <m/>
    <m/>
    <m/>
    <m/>
  </r>
  <r>
    <x v="15"/>
    <x v="71"/>
    <s v="02.B.247"/>
    <x v="3"/>
    <x v="24"/>
    <m/>
    <n v="1"/>
    <m/>
    <m/>
    <s v=""/>
    <s v=""/>
    <s v=""/>
    <s v=""/>
    <s v=""/>
    <m/>
    <n v="1"/>
    <s v="Philips"/>
    <x v="21"/>
    <n v="2682"/>
    <n v="0"/>
    <n v="0"/>
    <n v="2682"/>
    <m/>
    <m/>
    <m/>
    <m/>
    <m/>
    <m/>
    <m/>
    <m/>
    <m/>
    <m/>
    <m/>
    <m/>
    <m/>
    <m/>
    <m/>
    <m/>
    <m/>
    <m/>
  </r>
  <r>
    <x v="15"/>
    <x v="72"/>
    <s v="02.B.255"/>
    <x v="3"/>
    <x v="24"/>
    <m/>
    <n v="1"/>
    <m/>
    <m/>
    <s v=""/>
    <s v=""/>
    <s v=""/>
    <s v=""/>
    <s v=""/>
    <m/>
    <n v="1"/>
    <s v="Philips"/>
    <x v="21"/>
    <n v="2682"/>
    <n v="0"/>
    <n v="0"/>
    <n v="2682"/>
    <m/>
    <m/>
    <m/>
    <m/>
    <m/>
    <m/>
    <m/>
    <m/>
    <m/>
    <m/>
    <m/>
    <m/>
    <m/>
    <m/>
    <m/>
    <m/>
    <m/>
    <m/>
  </r>
  <r>
    <x v="15"/>
    <x v="73"/>
    <s v="02.B.273"/>
    <x v="3"/>
    <x v="24"/>
    <m/>
    <n v="1"/>
    <m/>
    <m/>
    <s v=""/>
    <s v=""/>
    <s v=""/>
    <s v=""/>
    <s v=""/>
    <m/>
    <n v="1"/>
    <s v="Philips"/>
    <x v="21"/>
    <n v="2682"/>
    <n v="0"/>
    <n v="0"/>
    <n v="2682"/>
    <m/>
    <m/>
    <m/>
    <m/>
    <m/>
    <m/>
    <m/>
    <m/>
    <m/>
    <m/>
    <m/>
    <m/>
    <m/>
    <m/>
    <m/>
    <m/>
    <m/>
    <m/>
  </r>
  <r>
    <x v="15"/>
    <x v="74"/>
    <s v="02.B.281"/>
    <x v="3"/>
    <x v="24"/>
    <m/>
    <n v="1"/>
    <m/>
    <m/>
    <s v=""/>
    <s v=""/>
    <s v=""/>
    <s v=""/>
    <s v=""/>
    <m/>
    <n v="1"/>
    <s v="Philips"/>
    <x v="21"/>
    <n v="2682"/>
    <n v="0"/>
    <n v="0"/>
    <n v="2682"/>
    <m/>
    <m/>
    <m/>
    <m/>
    <m/>
    <m/>
    <m/>
    <m/>
    <m/>
    <m/>
    <m/>
    <m/>
    <m/>
    <m/>
    <m/>
    <m/>
    <m/>
    <m/>
  </r>
  <r>
    <x v="15"/>
    <x v="75"/>
    <s v="02.B.285"/>
    <x v="3"/>
    <x v="24"/>
    <m/>
    <n v="1"/>
    <m/>
    <m/>
    <s v=""/>
    <s v=""/>
    <s v=""/>
    <s v=""/>
    <s v=""/>
    <m/>
    <n v="1"/>
    <s v="Philips"/>
    <x v="21"/>
    <n v="2682"/>
    <n v="0"/>
    <n v="0"/>
    <n v="2682"/>
    <m/>
    <m/>
    <m/>
    <m/>
    <m/>
    <m/>
    <m/>
    <m/>
    <m/>
    <m/>
    <m/>
    <m/>
    <m/>
    <m/>
    <m/>
    <m/>
    <m/>
    <m/>
  </r>
  <r>
    <x v="15"/>
    <x v="74"/>
    <s v="02.B.294"/>
    <x v="3"/>
    <x v="24"/>
    <m/>
    <n v="1"/>
    <m/>
    <m/>
    <s v=""/>
    <s v=""/>
    <s v=""/>
    <s v=""/>
    <s v=""/>
    <m/>
    <n v="1"/>
    <s v="Philips"/>
    <x v="21"/>
    <n v="2682"/>
    <n v="0"/>
    <n v="0"/>
    <n v="2682"/>
    <m/>
    <m/>
    <m/>
    <m/>
    <m/>
    <m/>
    <m/>
    <m/>
    <m/>
    <m/>
    <m/>
    <m/>
    <m/>
    <m/>
    <m/>
    <m/>
    <m/>
    <m/>
  </r>
  <r>
    <x v="15"/>
    <x v="75"/>
    <s v="02.B.454"/>
    <x v="3"/>
    <x v="24"/>
    <m/>
    <n v="1"/>
    <m/>
    <m/>
    <s v=""/>
    <s v=""/>
    <s v=""/>
    <s v=""/>
    <s v=""/>
    <m/>
    <n v="1"/>
    <s v="Philips"/>
    <x v="21"/>
    <n v="2682"/>
    <n v="0"/>
    <n v="0"/>
    <n v="2682"/>
    <m/>
    <m/>
    <m/>
    <m/>
    <m/>
    <m/>
    <m/>
    <m/>
    <m/>
    <m/>
    <m/>
    <m/>
    <m/>
    <m/>
    <m/>
    <m/>
    <m/>
    <m/>
  </r>
  <r>
    <x v="15"/>
    <x v="75"/>
    <s v="02.B.455"/>
    <x v="3"/>
    <x v="24"/>
    <m/>
    <n v="1"/>
    <m/>
    <m/>
    <s v=""/>
    <s v=""/>
    <s v=""/>
    <s v=""/>
    <s v=""/>
    <m/>
    <n v="1"/>
    <s v="Philips"/>
    <x v="21"/>
    <n v="2682"/>
    <n v="0"/>
    <n v="0"/>
    <n v="2682"/>
    <m/>
    <m/>
    <m/>
    <m/>
    <m/>
    <m/>
    <m/>
    <m/>
    <m/>
    <m/>
    <m/>
    <m/>
    <m/>
    <m/>
    <m/>
    <m/>
    <m/>
    <m/>
  </r>
  <r>
    <x v="15"/>
    <x v="75"/>
    <s v="02.B.456"/>
    <x v="3"/>
    <x v="24"/>
    <m/>
    <n v="1"/>
    <m/>
    <m/>
    <s v=""/>
    <s v=""/>
    <s v=""/>
    <s v=""/>
    <s v=""/>
    <m/>
    <n v="1"/>
    <s v="Philips"/>
    <x v="21"/>
    <n v="2682"/>
    <n v="0"/>
    <n v="0"/>
    <n v="2682"/>
    <m/>
    <m/>
    <m/>
    <m/>
    <m/>
    <m/>
    <m/>
    <m/>
    <m/>
    <m/>
    <m/>
    <m/>
    <m/>
    <m/>
    <m/>
    <m/>
    <m/>
    <m/>
  </r>
  <r>
    <x v="15"/>
    <x v="75"/>
    <s v="02.B.481"/>
    <x v="3"/>
    <x v="24"/>
    <m/>
    <n v="1"/>
    <m/>
    <m/>
    <s v=""/>
    <s v=""/>
    <s v=""/>
    <s v=""/>
    <s v=""/>
    <m/>
    <n v="1"/>
    <s v="Philips"/>
    <x v="21"/>
    <n v="2682"/>
    <n v="0"/>
    <n v="0"/>
    <n v="2682"/>
    <m/>
    <m/>
    <m/>
    <m/>
    <m/>
    <m/>
    <m/>
    <m/>
    <m/>
    <m/>
    <m/>
    <m/>
    <m/>
    <m/>
    <m/>
    <m/>
    <m/>
    <m/>
  </r>
  <r>
    <x v="15"/>
    <x v="32"/>
    <s v="02.B.053"/>
    <x v="1"/>
    <x v="2"/>
    <s v="Docked to Host Monitor"/>
    <n v="1"/>
    <m/>
    <m/>
    <s v=""/>
    <s v=""/>
    <s v=""/>
    <s v=""/>
    <s v=""/>
    <m/>
    <n v="1"/>
    <s v="Philips"/>
    <x v="2"/>
    <n v="0"/>
    <n v="0"/>
    <n v="0"/>
    <n v="0"/>
    <m/>
    <m/>
    <m/>
    <m/>
    <m/>
    <m/>
    <m/>
    <m/>
    <m/>
    <m/>
    <m/>
    <m/>
    <m/>
    <m/>
    <m/>
    <m/>
    <m/>
    <m/>
  </r>
  <r>
    <x v="15"/>
    <x v="32"/>
    <s v="02.B.054"/>
    <x v="1"/>
    <x v="2"/>
    <s v="Docked to Host Monitor"/>
    <n v="1"/>
    <m/>
    <m/>
    <s v=""/>
    <s v=""/>
    <s v=""/>
    <s v=""/>
    <s v=""/>
    <m/>
    <n v="1"/>
    <s v="Philips"/>
    <x v="2"/>
    <n v="0"/>
    <n v="0"/>
    <n v="0"/>
    <n v="0"/>
    <m/>
    <m/>
    <m/>
    <m/>
    <m/>
    <m/>
    <m/>
    <m/>
    <m/>
    <m/>
    <m/>
    <m/>
    <m/>
    <m/>
    <m/>
    <m/>
    <m/>
    <m/>
  </r>
  <r>
    <x v="15"/>
    <x v="78"/>
    <s v="02.B.068"/>
    <x v="1"/>
    <x v="2"/>
    <s v="Docked to Host Monitor"/>
    <n v="1"/>
    <m/>
    <m/>
    <s v=""/>
    <s v=""/>
    <s v=""/>
    <s v=""/>
    <s v=""/>
    <m/>
    <n v="1"/>
    <s v="Philips"/>
    <x v="2"/>
    <n v="0"/>
    <n v="0"/>
    <n v="0"/>
    <n v="0"/>
    <m/>
    <m/>
    <m/>
    <m/>
    <m/>
    <m/>
    <m/>
    <m/>
    <m/>
    <m/>
    <m/>
    <m/>
    <m/>
    <m/>
    <m/>
    <m/>
    <m/>
    <m/>
  </r>
  <r>
    <x v="15"/>
    <x v="78"/>
    <s v="02.B.070"/>
    <x v="1"/>
    <x v="2"/>
    <s v="Docked to Host Monitor"/>
    <n v="1"/>
    <m/>
    <m/>
    <s v=""/>
    <s v=""/>
    <s v=""/>
    <s v=""/>
    <s v=""/>
    <m/>
    <n v="1"/>
    <s v="Philips"/>
    <x v="2"/>
    <n v="0"/>
    <n v="0"/>
    <n v="0"/>
    <n v="0"/>
    <m/>
    <m/>
    <m/>
    <m/>
    <m/>
    <m/>
    <m/>
    <m/>
    <m/>
    <m/>
    <m/>
    <m/>
    <m/>
    <m/>
    <m/>
    <m/>
    <m/>
    <m/>
  </r>
  <r>
    <x v="15"/>
    <x v="78"/>
    <s v="02.B.071"/>
    <x v="1"/>
    <x v="2"/>
    <s v="Docked to Host Monitor"/>
    <n v="1"/>
    <m/>
    <m/>
    <s v=""/>
    <s v=""/>
    <s v=""/>
    <s v=""/>
    <s v=""/>
    <m/>
    <n v="1"/>
    <s v="Philips"/>
    <x v="2"/>
    <n v="0"/>
    <n v="0"/>
    <n v="0"/>
    <n v="0"/>
    <m/>
    <m/>
    <m/>
    <m/>
    <m/>
    <m/>
    <m/>
    <m/>
    <m/>
    <m/>
    <m/>
    <m/>
    <m/>
    <m/>
    <m/>
    <m/>
    <m/>
    <m/>
  </r>
  <r>
    <x v="15"/>
    <x v="78"/>
    <s v="02.B.072"/>
    <x v="1"/>
    <x v="2"/>
    <s v="Docked to Host Monitor"/>
    <n v="1"/>
    <m/>
    <m/>
    <s v=""/>
    <s v=""/>
    <s v=""/>
    <s v=""/>
    <s v=""/>
    <m/>
    <n v="1"/>
    <s v="Philips"/>
    <x v="2"/>
    <n v="0"/>
    <n v="0"/>
    <n v="0"/>
    <n v="0"/>
    <m/>
    <m/>
    <m/>
    <m/>
    <m/>
    <m/>
    <m/>
    <m/>
    <m/>
    <m/>
    <m/>
    <m/>
    <m/>
    <m/>
    <m/>
    <m/>
    <m/>
    <m/>
  </r>
  <r>
    <x v="15"/>
    <x v="78"/>
    <s v="02.B.073"/>
    <x v="1"/>
    <x v="2"/>
    <s v="Docked to Host Monitor"/>
    <n v="1"/>
    <m/>
    <m/>
    <s v=""/>
    <s v=""/>
    <s v=""/>
    <s v=""/>
    <s v=""/>
    <m/>
    <n v="1"/>
    <s v="Philips"/>
    <x v="2"/>
    <n v="0"/>
    <n v="0"/>
    <n v="0"/>
    <n v="0"/>
    <m/>
    <m/>
    <m/>
    <m/>
    <m/>
    <m/>
    <m/>
    <m/>
    <m/>
    <m/>
    <m/>
    <m/>
    <m/>
    <m/>
    <m/>
    <m/>
    <m/>
    <m/>
  </r>
  <r>
    <x v="15"/>
    <x v="78"/>
    <s v="02.B.074"/>
    <x v="1"/>
    <x v="2"/>
    <s v="Docked to Host Monitor"/>
    <n v="1"/>
    <m/>
    <m/>
    <s v=""/>
    <s v=""/>
    <s v=""/>
    <s v=""/>
    <s v=""/>
    <m/>
    <n v="1"/>
    <s v="Philips"/>
    <x v="2"/>
    <n v="0"/>
    <n v="0"/>
    <n v="0"/>
    <n v="0"/>
    <m/>
    <m/>
    <m/>
    <m/>
    <m/>
    <m/>
    <m/>
    <m/>
    <m/>
    <m/>
    <m/>
    <m/>
    <m/>
    <m/>
    <m/>
    <m/>
    <m/>
    <m/>
  </r>
  <r>
    <x v="15"/>
    <x v="78"/>
    <s v="02.B.076"/>
    <x v="1"/>
    <x v="2"/>
    <s v="Docked to Host Monitor"/>
    <n v="1"/>
    <m/>
    <m/>
    <s v=""/>
    <s v=""/>
    <s v=""/>
    <s v=""/>
    <s v=""/>
    <m/>
    <n v="1"/>
    <s v="Philips"/>
    <x v="2"/>
    <n v="0"/>
    <n v="0"/>
    <n v="0"/>
    <n v="0"/>
    <m/>
    <m/>
    <m/>
    <m/>
    <m/>
    <m/>
    <m/>
    <m/>
    <m/>
    <m/>
    <m/>
    <m/>
    <m/>
    <m/>
    <m/>
    <m/>
    <m/>
    <m/>
  </r>
  <r>
    <x v="15"/>
    <x v="78"/>
    <s v="02.B.077"/>
    <x v="1"/>
    <x v="2"/>
    <s v="Docked to Host Monitor"/>
    <n v="1"/>
    <m/>
    <m/>
    <s v=""/>
    <s v=""/>
    <s v=""/>
    <s v=""/>
    <s v=""/>
    <m/>
    <n v="1"/>
    <s v="Philips"/>
    <x v="2"/>
    <n v="0"/>
    <n v="0"/>
    <n v="0"/>
    <n v="0"/>
    <m/>
    <m/>
    <m/>
    <m/>
    <m/>
    <m/>
    <m/>
    <m/>
    <m/>
    <m/>
    <m/>
    <m/>
    <m/>
    <m/>
    <m/>
    <m/>
    <m/>
    <m/>
  </r>
  <r>
    <x v="15"/>
    <x v="78"/>
    <s v="02.B.078"/>
    <x v="1"/>
    <x v="2"/>
    <s v="Docked to Host Monitor"/>
    <n v="1"/>
    <m/>
    <m/>
    <s v=""/>
    <s v=""/>
    <s v=""/>
    <s v=""/>
    <s v=""/>
    <m/>
    <n v="1"/>
    <s v="Philips"/>
    <x v="2"/>
    <n v="0"/>
    <n v="0"/>
    <n v="0"/>
    <n v="0"/>
    <m/>
    <m/>
    <m/>
    <m/>
    <m/>
    <m/>
    <m/>
    <m/>
    <m/>
    <m/>
    <m/>
    <m/>
    <m/>
    <m/>
    <m/>
    <m/>
    <m/>
    <m/>
  </r>
  <r>
    <x v="15"/>
    <x v="78"/>
    <s v="02.B.079"/>
    <x v="1"/>
    <x v="2"/>
    <s v="Docked to Host Monitor"/>
    <n v="1"/>
    <m/>
    <m/>
    <s v=""/>
    <s v=""/>
    <s v=""/>
    <s v=""/>
    <s v=""/>
    <m/>
    <n v="1"/>
    <s v="Philips"/>
    <x v="2"/>
    <n v="0"/>
    <n v="0"/>
    <n v="0"/>
    <n v="0"/>
    <m/>
    <m/>
    <m/>
    <m/>
    <m/>
    <m/>
    <m/>
    <m/>
    <m/>
    <m/>
    <m/>
    <m/>
    <m/>
    <m/>
    <m/>
    <m/>
    <m/>
    <m/>
  </r>
  <r>
    <x v="15"/>
    <x v="78"/>
    <s v="02.B.080"/>
    <x v="1"/>
    <x v="2"/>
    <s v="Docked to Host Monitor"/>
    <n v="1"/>
    <m/>
    <m/>
    <s v=""/>
    <s v=""/>
    <s v=""/>
    <s v=""/>
    <s v=""/>
    <m/>
    <n v="1"/>
    <s v="Philips"/>
    <x v="2"/>
    <n v="0"/>
    <n v="0"/>
    <n v="0"/>
    <n v="0"/>
    <m/>
    <m/>
    <m/>
    <m/>
    <m/>
    <m/>
    <m/>
    <m/>
    <m/>
    <m/>
    <m/>
    <m/>
    <m/>
    <m/>
    <m/>
    <m/>
    <m/>
    <m/>
  </r>
  <r>
    <x v="15"/>
    <x v="78"/>
    <s v="02.B.081"/>
    <x v="1"/>
    <x v="2"/>
    <s v="Docked to Host Monitor"/>
    <n v="1"/>
    <m/>
    <m/>
    <s v=""/>
    <s v=""/>
    <s v=""/>
    <s v=""/>
    <s v=""/>
    <m/>
    <n v="1"/>
    <s v="Philips"/>
    <x v="2"/>
    <n v="0"/>
    <n v="0"/>
    <n v="0"/>
    <n v="0"/>
    <m/>
    <m/>
    <m/>
    <m/>
    <m/>
    <m/>
    <m/>
    <m/>
    <m/>
    <m/>
    <m/>
    <m/>
    <m/>
    <m/>
    <m/>
    <m/>
    <m/>
    <m/>
  </r>
  <r>
    <x v="15"/>
    <x v="78"/>
    <s v="02.B.082"/>
    <x v="1"/>
    <x v="2"/>
    <s v="Docked to Host Monitor"/>
    <n v="1"/>
    <m/>
    <m/>
    <s v=""/>
    <s v=""/>
    <s v=""/>
    <s v=""/>
    <s v=""/>
    <m/>
    <n v="1"/>
    <s v="Philips"/>
    <x v="2"/>
    <n v="0"/>
    <n v="0"/>
    <n v="0"/>
    <n v="0"/>
    <m/>
    <m/>
    <m/>
    <m/>
    <m/>
    <m/>
    <m/>
    <m/>
    <m/>
    <m/>
    <m/>
    <m/>
    <m/>
    <m/>
    <m/>
    <m/>
    <m/>
    <m/>
  </r>
  <r>
    <x v="15"/>
    <x v="78"/>
    <s v="02.B.084"/>
    <x v="1"/>
    <x v="2"/>
    <s v="Docked to Host Monitor"/>
    <n v="1"/>
    <m/>
    <m/>
    <s v=""/>
    <s v=""/>
    <s v=""/>
    <s v=""/>
    <s v=""/>
    <m/>
    <n v="1"/>
    <s v="Philips"/>
    <x v="2"/>
    <n v="0"/>
    <n v="0"/>
    <n v="0"/>
    <n v="0"/>
    <m/>
    <m/>
    <m/>
    <m/>
    <m/>
    <m/>
    <m/>
    <m/>
    <m/>
    <m/>
    <m/>
    <m/>
    <m/>
    <m/>
    <m/>
    <m/>
    <m/>
    <m/>
  </r>
  <r>
    <x v="15"/>
    <x v="78"/>
    <s v="02.B.085"/>
    <x v="1"/>
    <x v="2"/>
    <s v="Docked to Host Monitor"/>
    <n v="1"/>
    <m/>
    <m/>
    <s v=""/>
    <s v=""/>
    <s v=""/>
    <s v=""/>
    <s v=""/>
    <m/>
    <n v="1"/>
    <s v="Philips"/>
    <x v="2"/>
    <n v="0"/>
    <n v="0"/>
    <n v="0"/>
    <n v="0"/>
    <m/>
    <m/>
    <m/>
    <m/>
    <m/>
    <m/>
    <m/>
    <m/>
    <m/>
    <m/>
    <m/>
    <m/>
    <m/>
    <m/>
    <m/>
    <m/>
    <m/>
    <m/>
  </r>
  <r>
    <x v="15"/>
    <x v="78"/>
    <s v="02.B.086"/>
    <x v="1"/>
    <x v="2"/>
    <s v="Docked to Host Monitor"/>
    <n v="1"/>
    <m/>
    <m/>
    <s v=""/>
    <s v=""/>
    <s v=""/>
    <s v=""/>
    <s v=""/>
    <m/>
    <n v="1"/>
    <s v="Philips"/>
    <x v="2"/>
    <n v="0"/>
    <n v="0"/>
    <n v="0"/>
    <n v="0"/>
    <m/>
    <m/>
    <m/>
    <m/>
    <m/>
    <m/>
    <m/>
    <m/>
    <m/>
    <m/>
    <m/>
    <m/>
    <m/>
    <m/>
    <m/>
    <m/>
    <m/>
    <m/>
  </r>
  <r>
    <x v="15"/>
    <x v="78"/>
    <s v="02.B.102"/>
    <x v="1"/>
    <x v="2"/>
    <s v="Docked to Host Monitor"/>
    <n v="1"/>
    <m/>
    <m/>
    <s v=""/>
    <s v=""/>
    <s v=""/>
    <s v=""/>
    <s v=""/>
    <m/>
    <n v="1"/>
    <s v="Philips"/>
    <x v="2"/>
    <n v="0"/>
    <n v="0"/>
    <n v="0"/>
    <n v="0"/>
    <m/>
    <m/>
    <m/>
    <m/>
    <m/>
    <m/>
    <m/>
    <m/>
    <m/>
    <m/>
    <m/>
    <m/>
    <m/>
    <m/>
    <m/>
    <m/>
    <m/>
    <m/>
  </r>
  <r>
    <x v="15"/>
    <x v="78"/>
    <s v="02.B.103"/>
    <x v="1"/>
    <x v="2"/>
    <s v="Docked to Host Monitor"/>
    <n v="1"/>
    <m/>
    <m/>
    <s v=""/>
    <s v=""/>
    <s v=""/>
    <s v=""/>
    <s v=""/>
    <m/>
    <n v="1"/>
    <s v="Philips"/>
    <x v="2"/>
    <n v="0"/>
    <n v="0"/>
    <n v="0"/>
    <n v="0"/>
    <m/>
    <m/>
    <m/>
    <m/>
    <m/>
    <m/>
    <m/>
    <m/>
    <m/>
    <m/>
    <m/>
    <m/>
    <m/>
    <m/>
    <m/>
    <m/>
    <m/>
    <m/>
  </r>
  <r>
    <x v="15"/>
    <x v="78"/>
    <s v="02.B.104"/>
    <x v="1"/>
    <x v="2"/>
    <s v="Docked to Host Monitor"/>
    <n v="1"/>
    <m/>
    <m/>
    <s v=""/>
    <s v=""/>
    <s v=""/>
    <s v=""/>
    <s v=""/>
    <m/>
    <n v="1"/>
    <s v="Philips"/>
    <x v="2"/>
    <n v="0"/>
    <n v="0"/>
    <n v="0"/>
    <n v="0"/>
    <m/>
    <m/>
    <m/>
    <m/>
    <m/>
    <m/>
    <m/>
    <m/>
    <m/>
    <m/>
    <m/>
    <m/>
    <m/>
    <m/>
    <m/>
    <m/>
    <m/>
    <m/>
  </r>
  <r>
    <x v="15"/>
    <x v="67"/>
    <s v="02.B.149"/>
    <x v="3"/>
    <x v="2"/>
    <s v="Docked to Host Monitor"/>
    <n v="1"/>
    <m/>
    <m/>
    <s v=""/>
    <s v=""/>
    <s v=""/>
    <s v=""/>
    <s v=""/>
    <m/>
    <n v="1"/>
    <s v="Philips"/>
    <x v="2"/>
    <n v="0"/>
    <n v="0"/>
    <n v="0"/>
    <n v="0"/>
    <m/>
    <m/>
    <m/>
    <m/>
    <m/>
    <m/>
    <m/>
    <m/>
    <m/>
    <m/>
    <m/>
    <m/>
    <m/>
    <m/>
    <m/>
    <m/>
    <m/>
    <m/>
  </r>
  <r>
    <x v="15"/>
    <x v="67"/>
    <s v="02.B.154"/>
    <x v="3"/>
    <x v="2"/>
    <s v="Docked to Host Monitor"/>
    <n v="1"/>
    <m/>
    <m/>
    <s v=""/>
    <s v=""/>
    <s v=""/>
    <s v=""/>
    <s v=""/>
    <m/>
    <n v="1"/>
    <s v="Philips"/>
    <x v="2"/>
    <n v="0"/>
    <n v="0"/>
    <n v="0"/>
    <n v="0"/>
    <m/>
    <m/>
    <m/>
    <m/>
    <m/>
    <m/>
    <m/>
    <m/>
    <m/>
    <m/>
    <m/>
    <m/>
    <m/>
    <m/>
    <m/>
    <m/>
    <m/>
    <m/>
  </r>
  <r>
    <x v="15"/>
    <x v="67"/>
    <s v="02.B.161"/>
    <x v="3"/>
    <x v="2"/>
    <s v="Docked to Host Monitor"/>
    <n v="1"/>
    <m/>
    <m/>
    <s v=""/>
    <s v=""/>
    <s v=""/>
    <s v=""/>
    <s v=""/>
    <m/>
    <n v="1"/>
    <s v="Philips"/>
    <x v="2"/>
    <n v="0"/>
    <n v="0"/>
    <n v="0"/>
    <n v="0"/>
    <m/>
    <m/>
    <m/>
    <m/>
    <m/>
    <m/>
    <m/>
    <m/>
    <m/>
    <m/>
    <m/>
    <m/>
    <m/>
    <m/>
    <m/>
    <m/>
    <m/>
    <m/>
  </r>
  <r>
    <x v="15"/>
    <x v="68"/>
    <s v="02.B.163"/>
    <x v="3"/>
    <x v="2"/>
    <s v="Docked to Host Monitor"/>
    <n v="1"/>
    <m/>
    <m/>
    <s v=""/>
    <s v=""/>
    <s v=""/>
    <s v=""/>
    <s v=""/>
    <m/>
    <n v="1"/>
    <s v="Philips"/>
    <x v="2"/>
    <n v="0"/>
    <n v="0"/>
    <n v="0"/>
    <n v="0"/>
    <m/>
    <m/>
    <m/>
    <m/>
    <m/>
    <m/>
    <m/>
    <m/>
    <m/>
    <m/>
    <m/>
    <m/>
    <m/>
    <m/>
    <m/>
    <m/>
    <m/>
    <m/>
  </r>
  <r>
    <x v="15"/>
    <x v="69"/>
    <s v="02.B.235"/>
    <x v="3"/>
    <x v="2"/>
    <s v="Docked to Host Monitor"/>
    <n v="1"/>
    <m/>
    <m/>
    <s v=""/>
    <s v=""/>
    <s v=""/>
    <s v=""/>
    <s v=""/>
    <m/>
    <n v="1"/>
    <s v="Philips"/>
    <x v="2"/>
    <n v="0"/>
    <n v="0"/>
    <n v="0"/>
    <n v="0"/>
    <m/>
    <m/>
    <m/>
    <m/>
    <m/>
    <m/>
    <m/>
    <m/>
    <m/>
    <m/>
    <m/>
    <m/>
    <m/>
    <m/>
    <m/>
    <m/>
    <m/>
    <m/>
  </r>
  <r>
    <x v="15"/>
    <x v="70"/>
    <s v="02.B.242"/>
    <x v="3"/>
    <x v="2"/>
    <s v="Docked to Host Monitor"/>
    <n v="1"/>
    <m/>
    <m/>
    <s v=""/>
    <s v=""/>
    <s v=""/>
    <s v=""/>
    <s v=""/>
    <m/>
    <n v="1"/>
    <s v="Philips"/>
    <x v="2"/>
    <n v="0"/>
    <n v="0"/>
    <n v="0"/>
    <n v="0"/>
    <m/>
    <m/>
    <m/>
    <m/>
    <m/>
    <m/>
    <m/>
    <m/>
    <m/>
    <m/>
    <m/>
    <m/>
    <m/>
    <m/>
    <m/>
    <m/>
    <m/>
    <m/>
  </r>
  <r>
    <x v="15"/>
    <x v="71"/>
    <s v="02.B.247"/>
    <x v="3"/>
    <x v="2"/>
    <s v="Docked to Host Monitor"/>
    <n v="1"/>
    <m/>
    <m/>
    <s v=""/>
    <s v=""/>
    <s v=""/>
    <s v=""/>
    <s v=""/>
    <m/>
    <n v="1"/>
    <s v="Philips"/>
    <x v="2"/>
    <n v="0"/>
    <n v="0"/>
    <n v="0"/>
    <n v="0"/>
    <m/>
    <m/>
    <m/>
    <m/>
    <m/>
    <m/>
    <m/>
    <m/>
    <m/>
    <m/>
    <m/>
    <m/>
    <m/>
    <m/>
    <m/>
    <m/>
    <m/>
    <m/>
  </r>
  <r>
    <x v="15"/>
    <x v="72"/>
    <s v="02.B.255"/>
    <x v="3"/>
    <x v="2"/>
    <s v="Docked to Host Monitor"/>
    <n v="1"/>
    <m/>
    <m/>
    <s v=""/>
    <s v=""/>
    <s v=""/>
    <s v=""/>
    <s v=""/>
    <m/>
    <n v="1"/>
    <s v="Philips"/>
    <x v="2"/>
    <n v="0"/>
    <n v="0"/>
    <n v="0"/>
    <n v="0"/>
    <m/>
    <m/>
    <m/>
    <m/>
    <m/>
    <m/>
    <m/>
    <m/>
    <m/>
    <m/>
    <m/>
    <m/>
    <m/>
    <m/>
    <m/>
    <m/>
    <m/>
    <m/>
  </r>
  <r>
    <x v="15"/>
    <x v="21"/>
    <s v="02.B.088"/>
    <x v="1"/>
    <x v="2"/>
    <s v="Docked to Host Monitor"/>
    <n v="1"/>
    <m/>
    <m/>
    <s v=""/>
    <s v=""/>
    <s v=""/>
    <s v=""/>
    <s v=""/>
    <m/>
    <n v="1"/>
    <s v="Philips"/>
    <x v="2"/>
    <n v="0"/>
    <n v="0"/>
    <n v="0"/>
    <n v="0"/>
    <m/>
    <m/>
    <m/>
    <m/>
    <m/>
    <m/>
    <m/>
    <m/>
    <m/>
    <m/>
    <m/>
    <m/>
    <m/>
    <m/>
    <m/>
    <m/>
    <m/>
    <m/>
  </r>
  <r>
    <x v="15"/>
    <x v="21"/>
    <s v="02.B.092"/>
    <x v="1"/>
    <x v="2"/>
    <s v="Docked to Host Monitor"/>
    <n v="1"/>
    <m/>
    <m/>
    <s v=""/>
    <s v=""/>
    <s v=""/>
    <s v=""/>
    <s v=""/>
    <m/>
    <n v="1"/>
    <s v="Philips"/>
    <x v="2"/>
    <n v="0"/>
    <n v="0"/>
    <n v="0"/>
    <n v="0"/>
    <m/>
    <m/>
    <m/>
    <m/>
    <m/>
    <m/>
    <m/>
    <m/>
    <m/>
    <m/>
    <m/>
    <m/>
    <m/>
    <m/>
    <m/>
    <m/>
    <m/>
    <m/>
  </r>
  <r>
    <x v="15"/>
    <x v="78"/>
    <s v="02.B.108"/>
    <x v="1"/>
    <x v="2"/>
    <s v="Docked to Host Monitor"/>
    <n v="1"/>
    <m/>
    <m/>
    <s v=""/>
    <s v=""/>
    <s v=""/>
    <s v=""/>
    <s v=""/>
    <m/>
    <n v="1"/>
    <s v="Philips"/>
    <x v="2"/>
    <n v="0"/>
    <n v="0"/>
    <n v="0"/>
    <n v="0"/>
    <m/>
    <m/>
    <m/>
    <m/>
    <m/>
    <m/>
    <m/>
    <m/>
    <m/>
    <m/>
    <m/>
    <m/>
    <m/>
    <m/>
    <m/>
    <m/>
    <m/>
    <m/>
  </r>
  <r>
    <x v="15"/>
    <x v="78"/>
    <s v="02.B.109"/>
    <x v="1"/>
    <x v="2"/>
    <s v="Docked to Host Monitor"/>
    <n v="1"/>
    <m/>
    <m/>
    <s v=""/>
    <s v=""/>
    <s v=""/>
    <s v=""/>
    <s v=""/>
    <m/>
    <n v="1"/>
    <s v="Philips"/>
    <x v="2"/>
    <n v="0"/>
    <n v="0"/>
    <n v="0"/>
    <n v="0"/>
    <m/>
    <m/>
    <m/>
    <m/>
    <m/>
    <m/>
    <m/>
    <m/>
    <m/>
    <m/>
    <m/>
    <m/>
    <m/>
    <m/>
    <m/>
    <m/>
    <m/>
    <m/>
  </r>
  <r>
    <x v="15"/>
    <x v="78"/>
    <s v="02.B.110"/>
    <x v="1"/>
    <x v="2"/>
    <s v="Docked to Host Monitor"/>
    <n v="1"/>
    <m/>
    <m/>
    <s v=""/>
    <s v=""/>
    <s v=""/>
    <s v=""/>
    <s v=""/>
    <m/>
    <n v="1"/>
    <s v="Philips"/>
    <x v="2"/>
    <n v="0"/>
    <n v="0"/>
    <n v="0"/>
    <n v="0"/>
    <m/>
    <m/>
    <m/>
    <m/>
    <m/>
    <m/>
    <m/>
    <m/>
    <m/>
    <m/>
    <m/>
    <m/>
    <m/>
    <m/>
    <m/>
    <m/>
    <m/>
    <m/>
  </r>
  <r>
    <x v="15"/>
    <x v="66"/>
    <s v="02.B.117"/>
    <x v="1"/>
    <x v="2"/>
    <s v="Docked to Host Monitor"/>
    <n v="1"/>
    <m/>
    <m/>
    <s v=""/>
    <s v=""/>
    <s v=""/>
    <s v=""/>
    <s v=""/>
    <m/>
    <n v="1"/>
    <s v="Philips"/>
    <x v="2"/>
    <n v="0"/>
    <n v="0"/>
    <n v="0"/>
    <n v="0"/>
    <m/>
    <m/>
    <m/>
    <m/>
    <m/>
    <m/>
    <m/>
    <m/>
    <m/>
    <m/>
    <m/>
    <m/>
    <m/>
    <m/>
    <m/>
    <m/>
    <m/>
    <m/>
  </r>
  <r>
    <x v="15"/>
    <x v="66"/>
    <s v="02.B.118"/>
    <x v="1"/>
    <x v="2"/>
    <s v="Docked to Host Monitor"/>
    <n v="1"/>
    <m/>
    <m/>
    <s v=""/>
    <s v=""/>
    <s v=""/>
    <s v=""/>
    <s v=""/>
    <m/>
    <n v="1"/>
    <s v="Philips"/>
    <x v="2"/>
    <n v="0"/>
    <n v="0"/>
    <n v="0"/>
    <n v="0"/>
    <m/>
    <m/>
    <m/>
    <m/>
    <m/>
    <m/>
    <m/>
    <m/>
    <m/>
    <m/>
    <m/>
    <m/>
    <m/>
    <m/>
    <m/>
    <m/>
    <m/>
    <m/>
  </r>
  <r>
    <x v="15"/>
    <x v="66"/>
    <s v="02.B.119"/>
    <x v="1"/>
    <x v="2"/>
    <s v="Docked to Host Monitor"/>
    <n v="1"/>
    <m/>
    <m/>
    <s v=""/>
    <s v=""/>
    <s v=""/>
    <s v=""/>
    <s v=""/>
    <m/>
    <n v="1"/>
    <s v="Philips"/>
    <x v="2"/>
    <n v="0"/>
    <n v="0"/>
    <n v="0"/>
    <n v="0"/>
    <m/>
    <m/>
    <m/>
    <m/>
    <m/>
    <m/>
    <m/>
    <m/>
    <m/>
    <m/>
    <m/>
    <m/>
    <m/>
    <m/>
    <m/>
    <m/>
    <m/>
    <m/>
  </r>
  <r>
    <x v="15"/>
    <x v="79"/>
    <s v="02.B.123"/>
    <x v="1"/>
    <x v="2"/>
    <s v="Docked to Host Monitor"/>
    <n v="1"/>
    <m/>
    <m/>
    <s v=""/>
    <s v=""/>
    <s v=""/>
    <s v=""/>
    <s v=""/>
    <m/>
    <n v="1"/>
    <s v="Philips"/>
    <x v="2"/>
    <n v="0"/>
    <n v="0"/>
    <n v="0"/>
    <n v="0"/>
    <m/>
    <m/>
    <m/>
    <m/>
    <m/>
    <m/>
    <m/>
    <m/>
    <m/>
    <m/>
    <m/>
    <m/>
    <m/>
    <m/>
    <m/>
    <m/>
    <m/>
    <m/>
  </r>
  <r>
    <x v="15"/>
    <x v="79"/>
    <s v="02.B.124"/>
    <x v="1"/>
    <x v="2"/>
    <s v="Docked to Host Monitor"/>
    <n v="1"/>
    <m/>
    <m/>
    <s v=""/>
    <s v=""/>
    <s v=""/>
    <s v=""/>
    <s v=""/>
    <m/>
    <n v="1"/>
    <s v="Philips"/>
    <x v="2"/>
    <n v="0"/>
    <n v="0"/>
    <n v="0"/>
    <n v="0"/>
    <m/>
    <m/>
    <m/>
    <m/>
    <m/>
    <m/>
    <m/>
    <m/>
    <m/>
    <m/>
    <m/>
    <m/>
    <m/>
    <m/>
    <m/>
    <m/>
    <m/>
    <m/>
  </r>
  <r>
    <x v="15"/>
    <x v="66"/>
    <s v="02.B.126"/>
    <x v="1"/>
    <x v="2"/>
    <s v="Docked to Host Monitor"/>
    <n v="1"/>
    <m/>
    <m/>
    <s v=""/>
    <s v=""/>
    <s v=""/>
    <s v=""/>
    <s v=""/>
    <m/>
    <n v="1"/>
    <s v="Philips"/>
    <x v="2"/>
    <n v="0"/>
    <n v="0"/>
    <n v="0"/>
    <n v="0"/>
    <m/>
    <m/>
    <m/>
    <m/>
    <m/>
    <m/>
    <m/>
    <m/>
    <m/>
    <m/>
    <m/>
    <m/>
    <m/>
    <m/>
    <m/>
    <m/>
    <m/>
    <m/>
  </r>
  <r>
    <x v="15"/>
    <x v="66"/>
    <s v="02.B.127"/>
    <x v="1"/>
    <x v="2"/>
    <s v="Docked to Host Monitor"/>
    <n v="1"/>
    <m/>
    <m/>
    <s v=""/>
    <s v=""/>
    <s v=""/>
    <s v=""/>
    <s v=""/>
    <m/>
    <n v="1"/>
    <s v="Philips"/>
    <x v="2"/>
    <n v="0"/>
    <n v="0"/>
    <n v="0"/>
    <n v="0"/>
    <m/>
    <m/>
    <m/>
    <m/>
    <m/>
    <m/>
    <m/>
    <m/>
    <m/>
    <m/>
    <m/>
    <m/>
    <m/>
    <m/>
    <m/>
    <m/>
    <m/>
    <m/>
  </r>
  <r>
    <x v="15"/>
    <x v="66"/>
    <s v="02.B.128"/>
    <x v="1"/>
    <x v="2"/>
    <s v="Docked to Host Monitor"/>
    <n v="1"/>
    <m/>
    <m/>
    <s v=""/>
    <s v=""/>
    <s v=""/>
    <s v=""/>
    <s v=""/>
    <m/>
    <n v="1"/>
    <s v="Philips"/>
    <x v="2"/>
    <n v="0"/>
    <n v="0"/>
    <n v="0"/>
    <n v="0"/>
    <m/>
    <m/>
    <m/>
    <m/>
    <m/>
    <m/>
    <m/>
    <m/>
    <m/>
    <m/>
    <m/>
    <m/>
    <m/>
    <m/>
    <m/>
    <m/>
    <m/>
    <m/>
  </r>
  <r>
    <x v="15"/>
    <x v="66"/>
    <s v="02.B.129"/>
    <x v="1"/>
    <x v="2"/>
    <s v="Docked to Host Monitor"/>
    <n v="1"/>
    <m/>
    <m/>
    <s v=""/>
    <s v=""/>
    <s v=""/>
    <s v=""/>
    <s v=""/>
    <m/>
    <n v="1"/>
    <s v="Philips"/>
    <x v="2"/>
    <n v="0"/>
    <n v="0"/>
    <n v="0"/>
    <n v="0"/>
    <m/>
    <m/>
    <m/>
    <m/>
    <m/>
    <m/>
    <m/>
    <m/>
    <m/>
    <m/>
    <m/>
    <m/>
    <m/>
    <m/>
    <m/>
    <m/>
    <m/>
    <m/>
  </r>
  <r>
    <x v="15"/>
    <x v="66"/>
    <s v="02.B.130"/>
    <x v="1"/>
    <x v="2"/>
    <s v="Docked to Host Monitor"/>
    <n v="1"/>
    <m/>
    <m/>
    <s v=""/>
    <s v=""/>
    <s v=""/>
    <s v=""/>
    <s v=""/>
    <m/>
    <n v="1"/>
    <s v="Philips"/>
    <x v="2"/>
    <n v="0"/>
    <n v="0"/>
    <n v="0"/>
    <n v="0"/>
    <m/>
    <m/>
    <m/>
    <m/>
    <m/>
    <m/>
    <m/>
    <m/>
    <m/>
    <m/>
    <m/>
    <m/>
    <m/>
    <m/>
    <m/>
    <m/>
    <m/>
    <m/>
  </r>
  <r>
    <x v="15"/>
    <x v="62"/>
    <s v="02.B.155"/>
    <x v="1"/>
    <x v="2"/>
    <s v="Docked to Host Monitor"/>
    <n v="1"/>
    <m/>
    <m/>
    <s v=""/>
    <s v=""/>
    <s v=""/>
    <s v=""/>
    <s v=""/>
    <m/>
    <n v="1"/>
    <s v="Philips"/>
    <x v="2"/>
    <n v="0"/>
    <n v="0"/>
    <n v="0"/>
    <n v="0"/>
    <m/>
    <m/>
    <m/>
    <m/>
    <m/>
    <m/>
    <m/>
    <m/>
    <m/>
    <m/>
    <m/>
    <m/>
    <m/>
    <m/>
    <m/>
    <m/>
    <m/>
    <m/>
  </r>
  <r>
    <x v="15"/>
    <x v="62"/>
    <s v="02.B.164"/>
    <x v="1"/>
    <x v="2"/>
    <s v="Docked to Host Monitor"/>
    <n v="1"/>
    <m/>
    <m/>
    <s v=""/>
    <s v=""/>
    <s v=""/>
    <s v=""/>
    <s v=""/>
    <m/>
    <n v="1"/>
    <s v="Philips"/>
    <x v="2"/>
    <n v="0"/>
    <n v="0"/>
    <n v="0"/>
    <n v="0"/>
    <m/>
    <m/>
    <m/>
    <m/>
    <m/>
    <m/>
    <m/>
    <m/>
    <m/>
    <m/>
    <m/>
    <m/>
    <m/>
    <m/>
    <m/>
    <m/>
    <m/>
    <m/>
  </r>
  <r>
    <x v="15"/>
    <x v="80"/>
    <s v="02.B.169"/>
    <x v="1"/>
    <x v="2"/>
    <s v="Docked to Host Monitor"/>
    <n v="1"/>
    <m/>
    <m/>
    <s v=""/>
    <s v=""/>
    <s v=""/>
    <s v=""/>
    <s v=""/>
    <m/>
    <n v="1"/>
    <s v="Philips"/>
    <x v="2"/>
    <n v="0"/>
    <n v="0"/>
    <n v="0"/>
    <n v="0"/>
    <m/>
    <m/>
    <m/>
    <m/>
    <m/>
    <m/>
    <m/>
    <m/>
    <m/>
    <m/>
    <m/>
    <m/>
    <m/>
    <m/>
    <m/>
    <m/>
    <m/>
    <m/>
  </r>
  <r>
    <x v="15"/>
    <x v="80"/>
    <s v="02.B.170"/>
    <x v="1"/>
    <x v="2"/>
    <s v="Docked to Host Monitor"/>
    <n v="1"/>
    <m/>
    <m/>
    <s v=""/>
    <s v=""/>
    <s v=""/>
    <s v=""/>
    <s v=""/>
    <m/>
    <n v="1"/>
    <s v="Philips"/>
    <x v="2"/>
    <n v="0"/>
    <n v="0"/>
    <n v="0"/>
    <n v="0"/>
    <m/>
    <m/>
    <m/>
    <m/>
    <m/>
    <m/>
    <m/>
    <m/>
    <m/>
    <m/>
    <m/>
    <m/>
    <m/>
    <m/>
    <m/>
    <m/>
    <m/>
    <m/>
  </r>
  <r>
    <x v="15"/>
    <x v="80"/>
    <s v="02.B.172"/>
    <x v="1"/>
    <x v="2"/>
    <s v="Docked to Host Monitor"/>
    <n v="1"/>
    <m/>
    <m/>
    <s v=""/>
    <s v=""/>
    <s v=""/>
    <s v=""/>
    <s v=""/>
    <m/>
    <n v="1"/>
    <s v="Philips"/>
    <x v="2"/>
    <n v="0"/>
    <n v="0"/>
    <n v="0"/>
    <n v="0"/>
    <m/>
    <m/>
    <m/>
    <m/>
    <m/>
    <m/>
    <m/>
    <m/>
    <m/>
    <m/>
    <m/>
    <m/>
    <m/>
    <m/>
    <m/>
    <m/>
    <m/>
    <m/>
  </r>
  <r>
    <x v="15"/>
    <x v="80"/>
    <s v="02.B.173"/>
    <x v="1"/>
    <x v="2"/>
    <s v="Docked to Host Monitor"/>
    <n v="1"/>
    <m/>
    <m/>
    <s v=""/>
    <s v=""/>
    <s v=""/>
    <s v=""/>
    <s v=""/>
    <m/>
    <n v="1"/>
    <s v="Philips"/>
    <x v="2"/>
    <n v="0"/>
    <n v="0"/>
    <n v="0"/>
    <n v="0"/>
    <m/>
    <m/>
    <m/>
    <m/>
    <m/>
    <m/>
    <m/>
    <m/>
    <m/>
    <m/>
    <m/>
    <m/>
    <m/>
    <m/>
    <m/>
    <m/>
    <m/>
    <m/>
  </r>
  <r>
    <x v="15"/>
    <x v="80"/>
    <s v="02.B.174"/>
    <x v="1"/>
    <x v="2"/>
    <s v="Docked to Host Monitor"/>
    <n v="1"/>
    <m/>
    <m/>
    <s v=""/>
    <s v=""/>
    <s v=""/>
    <s v=""/>
    <s v=""/>
    <m/>
    <n v="1"/>
    <s v="Philips"/>
    <x v="2"/>
    <n v="0"/>
    <n v="0"/>
    <n v="0"/>
    <n v="0"/>
    <m/>
    <m/>
    <m/>
    <m/>
    <m/>
    <m/>
    <m/>
    <m/>
    <m/>
    <m/>
    <m/>
    <m/>
    <m/>
    <m/>
    <m/>
    <m/>
    <m/>
    <m/>
  </r>
  <r>
    <x v="15"/>
    <x v="80"/>
    <s v="02.B.176"/>
    <x v="1"/>
    <x v="2"/>
    <s v="Docked to Host Monitor"/>
    <n v="1"/>
    <m/>
    <m/>
    <s v=""/>
    <s v=""/>
    <s v=""/>
    <s v=""/>
    <s v=""/>
    <m/>
    <n v="1"/>
    <s v="Philips"/>
    <x v="2"/>
    <n v="0"/>
    <n v="0"/>
    <n v="0"/>
    <n v="0"/>
    <m/>
    <m/>
    <m/>
    <m/>
    <m/>
    <m/>
    <m/>
    <m/>
    <m/>
    <m/>
    <m/>
    <m/>
    <m/>
    <m/>
    <m/>
    <m/>
    <m/>
    <m/>
  </r>
  <r>
    <x v="15"/>
    <x v="80"/>
    <s v="02.B.178"/>
    <x v="1"/>
    <x v="2"/>
    <s v="Docked to Host Monitor"/>
    <n v="1"/>
    <m/>
    <m/>
    <s v=""/>
    <s v=""/>
    <s v=""/>
    <s v=""/>
    <s v=""/>
    <m/>
    <n v="1"/>
    <s v="Philips"/>
    <x v="2"/>
    <n v="0"/>
    <n v="0"/>
    <n v="0"/>
    <n v="0"/>
    <m/>
    <m/>
    <m/>
    <m/>
    <m/>
    <m/>
    <m/>
    <m/>
    <m/>
    <m/>
    <m/>
    <m/>
    <m/>
    <m/>
    <m/>
    <m/>
    <m/>
    <m/>
  </r>
  <r>
    <x v="15"/>
    <x v="80"/>
    <s v="02.B.179"/>
    <x v="1"/>
    <x v="2"/>
    <s v="Docked to Host Monitor"/>
    <n v="1"/>
    <m/>
    <m/>
    <s v=""/>
    <s v=""/>
    <s v=""/>
    <s v=""/>
    <s v=""/>
    <m/>
    <n v="1"/>
    <s v="Philips"/>
    <x v="2"/>
    <n v="0"/>
    <n v="0"/>
    <n v="0"/>
    <n v="0"/>
    <m/>
    <m/>
    <m/>
    <m/>
    <m/>
    <m/>
    <m/>
    <m/>
    <m/>
    <m/>
    <m/>
    <m/>
    <m/>
    <m/>
    <m/>
    <m/>
    <m/>
    <m/>
  </r>
  <r>
    <x v="15"/>
    <x v="80"/>
    <s v="02.B.181"/>
    <x v="1"/>
    <x v="2"/>
    <s v="Docked to Host Monitor"/>
    <n v="1"/>
    <m/>
    <m/>
    <s v=""/>
    <s v=""/>
    <s v=""/>
    <s v=""/>
    <s v=""/>
    <m/>
    <n v="1"/>
    <s v="Philips"/>
    <x v="2"/>
    <n v="0"/>
    <n v="0"/>
    <n v="0"/>
    <n v="0"/>
    <m/>
    <m/>
    <m/>
    <m/>
    <m/>
    <m/>
    <m/>
    <m/>
    <m/>
    <m/>
    <m/>
    <m/>
    <m/>
    <m/>
    <m/>
    <m/>
    <m/>
    <m/>
  </r>
  <r>
    <x v="15"/>
    <x v="80"/>
    <s v="02.B.182"/>
    <x v="1"/>
    <x v="2"/>
    <s v="Docked to Host Monitor"/>
    <n v="1"/>
    <m/>
    <m/>
    <s v=""/>
    <s v=""/>
    <s v=""/>
    <s v=""/>
    <s v=""/>
    <m/>
    <n v="1"/>
    <s v="Philips"/>
    <x v="2"/>
    <n v="0"/>
    <n v="0"/>
    <n v="0"/>
    <n v="0"/>
    <m/>
    <m/>
    <m/>
    <m/>
    <m/>
    <m/>
    <m/>
    <m/>
    <m/>
    <m/>
    <m/>
    <m/>
    <m/>
    <m/>
    <m/>
    <m/>
    <m/>
    <m/>
  </r>
  <r>
    <x v="15"/>
    <x v="80"/>
    <s v="02.B.184"/>
    <x v="1"/>
    <x v="2"/>
    <s v="Docked to Host Monitor"/>
    <n v="1"/>
    <m/>
    <m/>
    <s v=""/>
    <s v=""/>
    <s v=""/>
    <s v=""/>
    <s v=""/>
    <m/>
    <n v="1"/>
    <s v="Philips"/>
    <x v="2"/>
    <n v="0"/>
    <n v="0"/>
    <n v="0"/>
    <n v="0"/>
    <m/>
    <m/>
    <m/>
    <m/>
    <m/>
    <m/>
    <m/>
    <m/>
    <m/>
    <m/>
    <m/>
    <m/>
    <m/>
    <m/>
    <m/>
    <m/>
    <m/>
    <m/>
  </r>
  <r>
    <x v="15"/>
    <x v="80"/>
    <s v="02.B.185"/>
    <x v="1"/>
    <x v="2"/>
    <s v="Docked to Host Monitor"/>
    <n v="1"/>
    <m/>
    <m/>
    <s v=""/>
    <s v=""/>
    <s v=""/>
    <s v=""/>
    <s v=""/>
    <m/>
    <n v="1"/>
    <s v="Philips"/>
    <x v="2"/>
    <n v="0"/>
    <n v="0"/>
    <n v="0"/>
    <n v="0"/>
    <m/>
    <m/>
    <m/>
    <m/>
    <m/>
    <m/>
    <m/>
    <m/>
    <m/>
    <m/>
    <m/>
    <m/>
    <m/>
    <m/>
    <m/>
    <m/>
    <m/>
    <m/>
  </r>
  <r>
    <x v="15"/>
    <x v="81"/>
    <s v="02.B.187"/>
    <x v="1"/>
    <x v="2"/>
    <s v="Docked to Host Monitor"/>
    <n v="1"/>
    <m/>
    <m/>
    <s v=""/>
    <s v=""/>
    <s v=""/>
    <s v=""/>
    <s v=""/>
    <m/>
    <n v="1"/>
    <s v="Philips"/>
    <x v="2"/>
    <n v="0"/>
    <n v="0"/>
    <n v="0"/>
    <n v="0"/>
    <m/>
    <m/>
    <m/>
    <m/>
    <m/>
    <m/>
    <m/>
    <m/>
    <m/>
    <m/>
    <m/>
    <m/>
    <m/>
    <m/>
    <m/>
    <m/>
    <m/>
    <m/>
  </r>
  <r>
    <x v="15"/>
    <x v="80"/>
    <s v="02.B.188"/>
    <x v="1"/>
    <x v="2"/>
    <s v="Docked to Host Monitor"/>
    <n v="1"/>
    <m/>
    <m/>
    <s v=""/>
    <s v=""/>
    <s v=""/>
    <s v=""/>
    <s v=""/>
    <m/>
    <n v="1"/>
    <s v="Philips"/>
    <x v="2"/>
    <n v="0"/>
    <n v="0"/>
    <n v="0"/>
    <n v="0"/>
    <m/>
    <m/>
    <m/>
    <m/>
    <m/>
    <m/>
    <m/>
    <m/>
    <m/>
    <m/>
    <m/>
    <m/>
    <m/>
    <m/>
    <m/>
    <m/>
    <m/>
    <m/>
  </r>
  <r>
    <x v="15"/>
    <x v="22"/>
    <s v="02.B.192"/>
    <x v="1"/>
    <x v="2"/>
    <s v="Docked to Host Monitor"/>
    <n v="1"/>
    <m/>
    <m/>
    <s v=""/>
    <s v=""/>
    <s v=""/>
    <s v=""/>
    <s v=""/>
    <m/>
    <n v="1"/>
    <s v="Philips"/>
    <x v="2"/>
    <n v="0"/>
    <n v="0"/>
    <n v="0"/>
    <n v="0"/>
    <m/>
    <m/>
    <m/>
    <m/>
    <m/>
    <m/>
    <m/>
    <m/>
    <m/>
    <m/>
    <m/>
    <m/>
    <m/>
    <m/>
    <m/>
    <m/>
    <m/>
    <m/>
  </r>
  <r>
    <x v="15"/>
    <x v="80"/>
    <s v="02.B.195"/>
    <x v="1"/>
    <x v="2"/>
    <s v="Docked to Host Monitor"/>
    <n v="1"/>
    <m/>
    <m/>
    <s v=""/>
    <s v=""/>
    <s v=""/>
    <s v=""/>
    <s v=""/>
    <m/>
    <n v="1"/>
    <s v="Philips"/>
    <x v="2"/>
    <n v="0"/>
    <n v="0"/>
    <n v="0"/>
    <n v="0"/>
    <m/>
    <m/>
    <m/>
    <m/>
    <m/>
    <m/>
    <m/>
    <m/>
    <m/>
    <m/>
    <m/>
    <m/>
    <m/>
    <m/>
    <m/>
    <m/>
    <m/>
    <m/>
  </r>
  <r>
    <x v="15"/>
    <x v="80"/>
    <s v="02.B.196"/>
    <x v="1"/>
    <x v="2"/>
    <s v="Docked to Host Monitor"/>
    <n v="1"/>
    <m/>
    <m/>
    <s v=""/>
    <s v=""/>
    <s v=""/>
    <s v=""/>
    <s v=""/>
    <m/>
    <n v="1"/>
    <s v="Philips"/>
    <x v="2"/>
    <n v="0"/>
    <n v="0"/>
    <n v="0"/>
    <n v="0"/>
    <m/>
    <m/>
    <m/>
    <m/>
    <m/>
    <m/>
    <m/>
    <m/>
    <m/>
    <m/>
    <m/>
    <m/>
    <m/>
    <m/>
    <m/>
    <m/>
    <m/>
    <m/>
  </r>
  <r>
    <x v="15"/>
    <x v="80"/>
    <s v="02.B.198"/>
    <x v="1"/>
    <x v="2"/>
    <s v="Docked to Host Monitor"/>
    <n v="1"/>
    <m/>
    <m/>
    <s v=""/>
    <s v=""/>
    <s v=""/>
    <s v=""/>
    <s v=""/>
    <m/>
    <n v="1"/>
    <s v="Philips"/>
    <x v="2"/>
    <n v="0"/>
    <n v="0"/>
    <n v="0"/>
    <n v="0"/>
    <m/>
    <m/>
    <m/>
    <m/>
    <m/>
    <m/>
    <m/>
    <m/>
    <m/>
    <m/>
    <m/>
    <m/>
    <m/>
    <m/>
    <m/>
    <m/>
    <m/>
    <m/>
  </r>
  <r>
    <x v="15"/>
    <x v="80"/>
    <s v="02.B.199"/>
    <x v="1"/>
    <x v="2"/>
    <s v="Docked to Host Monitor"/>
    <n v="1"/>
    <m/>
    <m/>
    <s v=""/>
    <s v=""/>
    <s v=""/>
    <s v=""/>
    <s v=""/>
    <m/>
    <n v="1"/>
    <s v="Philips"/>
    <x v="2"/>
    <n v="0"/>
    <n v="0"/>
    <n v="0"/>
    <n v="0"/>
    <m/>
    <m/>
    <m/>
    <m/>
    <m/>
    <m/>
    <m/>
    <m/>
    <m/>
    <m/>
    <m/>
    <m/>
    <m/>
    <m/>
    <m/>
    <m/>
    <m/>
    <m/>
  </r>
  <r>
    <x v="15"/>
    <x v="82"/>
    <s v="02.B.200"/>
    <x v="1"/>
    <x v="2"/>
    <s v="Docked to Host Monitor"/>
    <n v="1"/>
    <m/>
    <m/>
    <s v=""/>
    <s v=""/>
    <s v=""/>
    <s v=""/>
    <s v=""/>
    <m/>
    <n v="1"/>
    <s v="Philips"/>
    <x v="2"/>
    <n v="0"/>
    <n v="0"/>
    <n v="0"/>
    <n v="0"/>
    <m/>
    <m/>
    <m/>
    <m/>
    <m/>
    <m/>
    <m/>
    <m/>
    <m/>
    <m/>
    <m/>
    <m/>
    <m/>
    <m/>
    <m/>
    <m/>
    <m/>
    <m/>
  </r>
  <r>
    <x v="15"/>
    <x v="80"/>
    <s v="02.B.202"/>
    <x v="1"/>
    <x v="2"/>
    <s v="Docked to Host Monitor"/>
    <n v="1"/>
    <m/>
    <m/>
    <s v=""/>
    <s v=""/>
    <s v=""/>
    <s v=""/>
    <s v=""/>
    <m/>
    <n v="1"/>
    <s v="Philips"/>
    <x v="2"/>
    <n v="0"/>
    <n v="0"/>
    <n v="0"/>
    <n v="0"/>
    <m/>
    <m/>
    <m/>
    <m/>
    <m/>
    <m/>
    <m/>
    <m/>
    <m/>
    <m/>
    <m/>
    <m/>
    <m/>
    <m/>
    <m/>
    <m/>
    <m/>
    <m/>
  </r>
  <r>
    <x v="15"/>
    <x v="80"/>
    <s v="02.B.203"/>
    <x v="1"/>
    <x v="2"/>
    <s v="Docked to Host Monitor"/>
    <n v="1"/>
    <m/>
    <m/>
    <s v=""/>
    <s v=""/>
    <s v=""/>
    <s v=""/>
    <s v=""/>
    <m/>
    <n v="1"/>
    <s v="Philips"/>
    <x v="2"/>
    <n v="0"/>
    <n v="0"/>
    <n v="0"/>
    <n v="0"/>
    <m/>
    <m/>
    <m/>
    <m/>
    <m/>
    <m/>
    <m/>
    <m/>
    <m/>
    <m/>
    <m/>
    <m/>
    <m/>
    <m/>
    <m/>
    <m/>
    <m/>
    <m/>
  </r>
  <r>
    <x v="15"/>
    <x v="82"/>
    <s v="02.B.208"/>
    <x v="1"/>
    <x v="2"/>
    <s v="Docked to Host Monitor"/>
    <n v="1"/>
    <m/>
    <m/>
    <s v=""/>
    <s v=""/>
    <s v=""/>
    <s v=""/>
    <s v=""/>
    <m/>
    <n v="1"/>
    <s v="Philips"/>
    <x v="2"/>
    <n v="0"/>
    <n v="0"/>
    <n v="0"/>
    <n v="0"/>
    <m/>
    <m/>
    <m/>
    <m/>
    <m/>
    <m/>
    <m/>
    <m/>
    <m/>
    <m/>
    <m/>
    <m/>
    <m/>
    <m/>
    <m/>
    <m/>
    <m/>
    <m/>
  </r>
  <r>
    <x v="15"/>
    <x v="80"/>
    <s v="02.B.210"/>
    <x v="1"/>
    <x v="2"/>
    <s v="Docked to Host Monitor"/>
    <n v="1"/>
    <m/>
    <m/>
    <s v=""/>
    <s v=""/>
    <s v=""/>
    <s v=""/>
    <s v=""/>
    <m/>
    <n v="1"/>
    <s v="Philips"/>
    <x v="2"/>
    <n v="0"/>
    <n v="0"/>
    <n v="0"/>
    <n v="0"/>
    <m/>
    <m/>
    <m/>
    <m/>
    <m/>
    <m/>
    <m/>
    <m/>
    <m/>
    <m/>
    <m/>
    <m/>
    <m/>
    <m/>
    <m/>
    <m/>
    <m/>
    <m/>
  </r>
  <r>
    <x v="15"/>
    <x v="80"/>
    <s v="02.B.211"/>
    <x v="1"/>
    <x v="2"/>
    <s v="Docked to Host Monitor"/>
    <n v="1"/>
    <m/>
    <m/>
    <s v=""/>
    <s v=""/>
    <s v=""/>
    <s v=""/>
    <s v=""/>
    <m/>
    <n v="1"/>
    <s v="Philips"/>
    <x v="2"/>
    <n v="0"/>
    <n v="0"/>
    <n v="0"/>
    <n v="0"/>
    <m/>
    <m/>
    <m/>
    <m/>
    <m/>
    <m/>
    <m/>
    <m/>
    <m/>
    <m/>
    <m/>
    <m/>
    <m/>
    <m/>
    <m/>
    <m/>
    <m/>
    <m/>
  </r>
  <r>
    <x v="15"/>
    <x v="22"/>
    <s v="02.B.214"/>
    <x v="1"/>
    <x v="2"/>
    <s v="Docked to Host Monitor"/>
    <n v="1"/>
    <m/>
    <m/>
    <s v=""/>
    <s v=""/>
    <s v=""/>
    <s v=""/>
    <s v=""/>
    <m/>
    <n v="1"/>
    <s v="Philips"/>
    <x v="2"/>
    <n v="0"/>
    <n v="0"/>
    <n v="0"/>
    <n v="0"/>
    <m/>
    <m/>
    <m/>
    <m/>
    <m/>
    <m/>
    <m/>
    <m/>
    <m/>
    <m/>
    <m/>
    <m/>
    <m/>
    <m/>
    <m/>
    <m/>
    <m/>
    <m/>
  </r>
  <r>
    <x v="15"/>
    <x v="62"/>
    <s v="02.B.234"/>
    <x v="1"/>
    <x v="2"/>
    <s v="Docked to Host Monitor"/>
    <n v="1"/>
    <m/>
    <m/>
    <s v=""/>
    <s v=""/>
    <s v=""/>
    <s v=""/>
    <s v=""/>
    <m/>
    <n v="1"/>
    <s v="Philips"/>
    <x v="2"/>
    <n v="0"/>
    <n v="0"/>
    <n v="0"/>
    <n v="0"/>
    <m/>
    <m/>
    <m/>
    <m/>
    <m/>
    <m/>
    <m/>
    <m/>
    <m/>
    <m/>
    <m/>
    <m/>
    <m/>
    <m/>
    <m/>
    <m/>
    <m/>
    <m/>
  </r>
  <r>
    <x v="15"/>
    <x v="62"/>
    <s v="02.B.245"/>
    <x v="1"/>
    <x v="2"/>
    <s v="Docked to Host Monitor"/>
    <n v="1"/>
    <m/>
    <m/>
    <s v=""/>
    <s v=""/>
    <s v=""/>
    <s v=""/>
    <s v=""/>
    <m/>
    <n v="1"/>
    <s v="Philips"/>
    <x v="2"/>
    <n v="0"/>
    <n v="0"/>
    <n v="0"/>
    <n v="0"/>
    <m/>
    <m/>
    <m/>
    <m/>
    <m/>
    <m/>
    <m/>
    <m/>
    <m/>
    <m/>
    <m/>
    <m/>
    <m/>
    <m/>
    <m/>
    <m/>
    <m/>
    <m/>
  </r>
  <r>
    <x v="15"/>
    <x v="62"/>
    <s v="02.B.246"/>
    <x v="1"/>
    <x v="2"/>
    <s v="Docked to Host Monitor"/>
    <n v="1"/>
    <m/>
    <m/>
    <s v=""/>
    <s v=""/>
    <s v=""/>
    <s v=""/>
    <s v=""/>
    <m/>
    <n v="1"/>
    <s v="Philips"/>
    <x v="2"/>
    <n v="0"/>
    <n v="0"/>
    <n v="0"/>
    <n v="0"/>
    <m/>
    <m/>
    <m/>
    <m/>
    <m/>
    <m/>
    <m/>
    <m/>
    <m/>
    <m/>
    <m/>
    <m/>
    <m/>
    <m/>
    <m/>
    <m/>
    <m/>
    <m/>
  </r>
  <r>
    <x v="15"/>
    <x v="62"/>
    <s v="02.B.256"/>
    <x v="1"/>
    <x v="2"/>
    <s v="Docked to Host Monitor"/>
    <n v="1"/>
    <m/>
    <m/>
    <s v=""/>
    <s v=""/>
    <s v=""/>
    <s v=""/>
    <s v=""/>
    <m/>
    <n v="1"/>
    <s v="Philips"/>
    <x v="2"/>
    <n v="0"/>
    <n v="0"/>
    <n v="0"/>
    <n v="0"/>
    <m/>
    <m/>
    <m/>
    <m/>
    <m/>
    <m/>
    <m/>
    <m/>
    <m/>
    <m/>
    <m/>
    <m/>
    <m/>
    <m/>
    <m/>
    <m/>
    <m/>
    <m/>
  </r>
  <r>
    <x v="15"/>
    <x v="62"/>
    <s v="02.B.272"/>
    <x v="1"/>
    <x v="2"/>
    <s v="Docked to Host Monitor"/>
    <n v="1"/>
    <m/>
    <m/>
    <s v=""/>
    <s v=""/>
    <s v=""/>
    <s v=""/>
    <s v=""/>
    <m/>
    <n v="1"/>
    <s v="Philips"/>
    <x v="2"/>
    <n v="0"/>
    <n v="0"/>
    <n v="0"/>
    <n v="0"/>
    <m/>
    <m/>
    <m/>
    <m/>
    <m/>
    <m/>
    <m/>
    <m/>
    <m/>
    <m/>
    <m/>
    <m/>
    <m/>
    <m/>
    <m/>
    <m/>
    <m/>
    <m/>
  </r>
  <r>
    <x v="15"/>
    <x v="73"/>
    <s v="02.B.273"/>
    <x v="3"/>
    <x v="2"/>
    <s v="Docked to Host Monitor"/>
    <n v="1"/>
    <m/>
    <m/>
    <s v=""/>
    <s v=""/>
    <s v=""/>
    <s v=""/>
    <s v=""/>
    <m/>
    <n v="1"/>
    <s v="Philips"/>
    <x v="2"/>
    <n v="0"/>
    <n v="0"/>
    <n v="0"/>
    <n v="0"/>
    <m/>
    <m/>
    <m/>
    <m/>
    <m/>
    <m/>
    <m/>
    <m/>
    <m/>
    <m/>
    <m/>
    <m/>
    <m/>
    <m/>
    <m/>
    <m/>
    <m/>
    <m/>
  </r>
  <r>
    <x v="15"/>
    <x v="74"/>
    <s v="02.B.281"/>
    <x v="3"/>
    <x v="2"/>
    <s v="Docked to Host Monitor"/>
    <n v="1"/>
    <m/>
    <m/>
    <s v=""/>
    <s v=""/>
    <s v=""/>
    <s v=""/>
    <s v=""/>
    <m/>
    <n v="1"/>
    <s v="Philips"/>
    <x v="2"/>
    <n v="0"/>
    <n v="0"/>
    <n v="0"/>
    <n v="0"/>
    <m/>
    <m/>
    <m/>
    <m/>
    <m/>
    <m/>
    <m/>
    <m/>
    <m/>
    <m/>
    <m/>
    <m/>
    <m/>
    <m/>
    <m/>
    <m/>
    <m/>
    <m/>
  </r>
  <r>
    <x v="15"/>
    <x v="62"/>
    <s v="02.B.283"/>
    <x v="1"/>
    <x v="2"/>
    <s v="Docked to Host Monitor"/>
    <n v="1"/>
    <m/>
    <m/>
    <s v=""/>
    <s v=""/>
    <s v=""/>
    <s v=""/>
    <s v=""/>
    <m/>
    <n v="1"/>
    <s v="Philips"/>
    <x v="2"/>
    <n v="0"/>
    <n v="0"/>
    <n v="0"/>
    <n v="0"/>
    <m/>
    <m/>
    <m/>
    <m/>
    <m/>
    <m/>
    <m/>
    <m/>
    <m/>
    <m/>
    <m/>
    <m/>
    <m/>
    <m/>
    <m/>
    <m/>
    <m/>
    <m/>
  </r>
  <r>
    <x v="15"/>
    <x v="62"/>
    <s v="02.B.284"/>
    <x v="1"/>
    <x v="2"/>
    <s v="Docked to Host Monitor"/>
    <n v="1"/>
    <m/>
    <m/>
    <s v=""/>
    <s v=""/>
    <s v=""/>
    <s v=""/>
    <s v=""/>
    <m/>
    <n v="1"/>
    <s v="Philips"/>
    <x v="2"/>
    <n v="0"/>
    <n v="0"/>
    <n v="0"/>
    <n v="0"/>
    <m/>
    <m/>
    <m/>
    <m/>
    <m/>
    <m/>
    <m/>
    <m/>
    <m/>
    <m/>
    <m/>
    <m/>
    <m/>
    <m/>
    <m/>
    <m/>
    <m/>
    <m/>
  </r>
  <r>
    <x v="15"/>
    <x v="75"/>
    <s v="02.B.285"/>
    <x v="3"/>
    <x v="2"/>
    <s v="Docked to Host Monitor"/>
    <n v="1"/>
    <m/>
    <m/>
    <s v=""/>
    <s v=""/>
    <s v=""/>
    <s v=""/>
    <s v=""/>
    <m/>
    <n v="1"/>
    <s v="Philips"/>
    <x v="2"/>
    <n v="0"/>
    <n v="0"/>
    <n v="0"/>
    <n v="0"/>
    <m/>
    <m/>
    <m/>
    <m/>
    <m/>
    <m/>
    <m/>
    <m/>
    <m/>
    <m/>
    <m/>
    <m/>
    <m/>
    <m/>
    <m/>
    <m/>
    <m/>
    <m/>
  </r>
  <r>
    <x v="15"/>
    <x v="74"/>
    <s v="02.B.294"/>
    <x v="3"/>
    <x v="2"/>
    <s v="Docked to Host Monitor"/>
    <n v="1"/>
    <m/>
    <m/>
    <s v=""/>
    <s v=""/>
    <s v=""/>
    <s v=""/>
    <s v=""/>
    <m/>
    <n v="1"/>
    <s v="Philips"/>
    <x v="2"/>
    <n v="0"/>
    <n v="0"/>
    <n v="0"/>
    <n v="0"/>
    <m/>
    <m/>
    <m/>
    <m/>
    <m/>
    <m/>
    <m/>
    <m/>
    <m/>
    <m/>
    <m/>
    <m/>
    <m/>
    <m/>
    <m/>
    <m/>
    <m/>
    <m/>
  </r>
  <r>
    <x v="15"/>
    <x v="62"/>
    <s v="02.B.295"/>
    <x v="1"/>
    <x v="2"/>
    <s v="Docked to Host Monitor"/>
    <n v="1"/>
    <m/>
    <m/>
    <s v=""/>
    <s v=""/>
    <s v=""/>
    <s v=""/>
    <s v=""/>
    <m/>
    <n v="1"/>
    <s v="Philips"/>
    <x v="2"/>
    <n v="0"/>
    <n v="0"/>
    <n v="0"/>
    <n v="0"/>
    <m/>
    <m/>
    <m/>
    <m/>
    <m/>
    <m/>
    <m/>
    <m/>
    <m/>
    <m/>
    <m/>
    <m/>
    <m/>
    <m/>
    <m/>
    <m/>
    <m/>
    <m/>
  </r>
  <r>
    <x v="15"/>
    <x v="62"/>
    <s v="02.B.448"/>
    <x v="1"/>
    <x v="2"/>
    <s v="Docked to Host Monitor"/>
    <n v="1"/>
    <m/>
    <m/>
    <s v=""/>
    <s v=""/>
    <s v=""/>
    <s v=""/>
    <s v=""/>
    <m/>
    <n v="1"/>
    <s v="Philips"/>
    <x v="2"/>
    <n v="0"/>
    <n v="0"/>
    <n v="0"/>
    <n v="0"/>
    <m/>
    <m/>
    <m/>
    <m/>
    <m/>
    <m/>
    <m/>
    <m/>
    <m/>
    <m/>
    <m/>
    <m/>
    <m/>
    <m/>
    <m/>
    <m/>
    <m/>
    <m/>
  </r>
  <r>
    <x v="15"/>
    <x v="62"/>
    <s v="02.B.450"/>
    <x v="1"/>
    <x v="2"/>
    <s v="Docked to Host Monitor"/>
    <n v="1"/>
    <m/>
    <m/>
    <s v=""/>
    <s v=""/>
    <s v=""/>
    <s v=""/>
    <s v=""/>
    <m/>
    <n v="1"/>
    <s v="Philips"/>
    <x v="2"/>
    <n v="0"/>
    <n v="0"/>
    <n v="0"/>
    <n v="0"/>
    <m/>
    <m/>
    <m/>
    <m/>
    <m/>
    <m/>
    <m/>
    <m/>
    <m/>
    <m/>
    <m/>
    <m/>
    <m/>
    <m/>
    <m/>
    <m/>
    <m/>
    <m/>
  </r>
  <r>
    <x v="15"/>
    <x v="75"/>
    <s v="02.B.454"/>
    <x v="3"/>
    <x v="2"/>
    <s v="Docked to Host Monitor"/>
    <n v="1"/>
    <m/>
    <m/>
    <s v=""/>
    <s v=""/>
    <s v=""/>
    <s v=""/>
    <s v=""/>
    <m/>
    <n v="1"/>
    <s v="Philips"/>
    <x v="2"/>
    <n v="0"/>
    <n v="0"/>
    <n v="0"/>
    <n v="0"/>
    <m/>
    <m/>
    <m/>
    <m/>
    <m/>
    <m/>
    <m/>
    <m/>
    <m/>
    <m/>
    <m/>
    <m/>
    <m/>
    <m/>
    <m/>
    <m/>
    <m/>
    <m/>
  </r>
  <r>
    <x v="15"/>
    <x v="75"/>
    <s v="02.B.455"/>
    <x v="3"/>
    <x v="2"/>
    <s v="Docked to Host Monitor"/>
    <n v="1"/>
    <m/>
    <m/>
    <s v=""/>
    <s v=""/>
    <s v=""/>
    <s v=""/>
    <s v=""/>
    <m/>
    <n v="1"/>
    <s v="Philips"/>
    <x v="2"/>
    <n v="0"/>
    <n v="0"/>
    <n v="0"/>
    <n v="0"/>
    <m/>
    <m/>
    <m/>
    <m/>
    <m/>
    <m/>
    <m/>
    <m/>
    <m/>
    <m/>
    <m/>
    <m/>
    <m/>
    <m/>
    <m/>
    <m/>
    <m/>
    <m/>
  </r>
  <r>
    <x v="15"/>
    <x v="75"/>
    <s v="02.B.456"/>
    <x v="3"/>
    <x v="2"/>
    <s v="Docked to Host Monitor"/>
    <n v="1"/>
    <m/>
    <m/>
    <s v=""/>
    <s v=""/>
    <s v=""/>
    <s v=""/>
    <s v=""/>
    <m/>
    <n v="1"/>
    <s v="Philips"/>
    <x v="2"/>
    <n v="0"/>
    <n v="0"/>
    <n v="0"/>
    <n v="0"/>
    <m/>
    <m/>
    <m/>
    <m/>
    <m/>
    <m/>
    <m/>
    <m/>
    <m/>
    <m/>
    <m/>
    <m/>
    <m/>
    <m/>
    <m/>
    <m/>
    <m/>
    <m/>
  </r>
  <r>
    <x v="15"/>
    <x v="62"/>
    <s v="02.B.457"/>
    <x v="1"/>
    <x v="2"/>
    <s v="Docked to Host Monitor"/>
    <n v="1"/>
    <m/>
    <m/>
    <s v=""/>
    <s v=""/>
    <s v=""/>
    <s v=""/>
    <s v=""/>
    <m/>
    <n v="1"/>
    <s v="Philips"/>
    <x v="2"/>
    <n v="0"/>
    <n v="0"/>
    <n v="0"/>
    <n v="0"/>
    <m/>
    <m/>
    <m/>
    <m/>
    <m/>
    <m/>
    <m/>
    <m/>
    <m/>
    <m/>
    <m/>
    <m/>
    <m/>
    <m/>
    <m/>
    <m/>
    <m/>
    <m/>
  </r>
  <r>
    <x v="15"/>
    <x v="62"/>
    <s v="02.B.458"/>
    <x v="1"/>
    <x v="2"/>
    <s v="Docked to Host Monitor"/>
    <n v="1"/>
    <m/>
    <m/>
    <s v=""/>
    <s v=""/>
    <s v=""/>
    <s v=""/>
    <s v=""/>
    <m/>
    <n v="1"/>
    <s v="Philips"/>
    <x v="2"/>
    <n v="0"/>
    <n v="0"/>
    <n v="0"/>
    <n v="0"/>
    <m/>
    <m/>
    <m/>
    <m/>
    <m/>
    <m/>
    <m/>
    <m/>
    <m/>
    <m/>
    <m/>
    <m/>
    <m/>
    <m/>
    <m/>
    <m/>
    <m/>
    <m/>
  </r>
  <r>
    <x v="15"/>
    <x v="62"/>
    <s v="02.B.464"/>
    <x v="1"/>
    <x v="2"/>
    <s v="Docked to Host Monitor"/>
    <n v="1"/>
    <m/>
    <m/>
    <s v=""/>
    <s v=""/>
    <s v=""/>
    <s v=""/>
    <s v=""/>
    <m/>
    <n v="1"/>
    <s v="Philips"/>
    <x v="2"/>
    <n v="0"/>
    <n v="0"/>
    <n v="0"/>
    <n v="0"/>
    <m/>
    <m/>
    <m/>
    <m/>
    <m/>
    <m/>
    <m/>
    <m/>
    <m/>
    <m/>
    <m/>
    <m/>
    <m/>
    <m/>
    <m/>
    <m/>
    <m/>
    <m/>
  </r>
  <r>
    <x v="15"/>
    <x v="62"/>
    <s v="02.B.465"/>
    <x v="1"/>
    <x v="2"/>
    <s v="Docked to Host Monitor"/>
    <n v="1"/>
    <m/>
    <m/>
    <s v=""/>
    <s v=""/>
    <s v=""/>
    <s v=""/>
    <s v=""/>
    <m/>
    <n v="1"/>
    <s v="Philips"/>
    <x v="2"/>
    <n v="0"/>
    <n v="0"/>
    <n v="0"/>
    <n v="0"/>
    <m/>
    <m/>
    <m/>
    <m/>
    <m/>
    <m/>
    <m/>
    <m/>
    <m/>
    <m/>
    <m/>
    <m/>
    <m/>
    <m/>
    <m/>
    <m/>
    <m/>
    <m/>
  </r>
  <r>
    <x v="15"/>
    <x v="75"/>
    <s v="02.B.481"/>
    <x v="3"/>
    <x v="2"/>
    <s v="Docked to Host Monitor"/>
    <n v="1"/>
    <m/>
    <m/>
    <s v=""/>
    <s v=""/>
    <s v=""/>
    <s v=""/>
    <s v=""/>
    <m/>
    <n v="1"/>
    <s v="Philips"/>
    <x v="2"/>
    <n v="0"/>
    <n v="0"/>
    <n v="0"/>
    <n v="0"/>
    <m/>
    <m/>
    <m/>
    <m/>
    <m/>
    <m/>
    <m/>
    <m/>
    <m/>
    <m/>
    <m/>
    <m/>
    <m/>
    <m/>
    <m/>
    <m/>
    <m/>
    <m/>
  </r>
  <r>
    <x v="16"/>
    <x v="34"/>
    <s v="08.B.166"/>
    <x v="1"/>
    <x v="1"/>
    <s v="Fixed (wall)"/>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6"/>
    <x v="34"/>
    <s v="09.B.165"/>
    <x v="1"/>
    <x v="1"/>
    <s v="Fixed (wall)"/>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6"/>
    <x v="34"/>
    <s v="10.B.165"/>
    <x v="1"/>
    <x v="1"/>
    <s v="Fixed (wall)"/>
    <n v="1"/>
    <m/>
    <m/>
    <s v=""/>
    <s v=""/>
    <s v=""/>
    <s v=""/>
    <s v=""/>
    <m/>
    <n v="1"/>
    <s v="Philips"/>
    <x v="12"/>
    <n v="0"/>
    <n v="1127"/>
    <n v="1127"/>
    <n v="2254"/>
    <m/>
    <m/>
    <s v="Compact &amp; medium screen"/>
    <s v="3, 5 &amp; 12 Leads"/>
    <s v="Adult"/>
    <s v="Finger, Forehead, Ear, Reusable &amp; Disposable"/>
    <s v="Nellcor"/>
    <s v=""/>
    <s v=""/>
    <s v=""/>
    <s v=""/>
    <s v="2x IBP channel provision only"/>
    <s v=""/>
    <s v=""/>
    <s v="A4 Network"/>
    <s v="Provsion only"/>
    <s v=""/>
    <s v="Yes"/>
  </r>
  <r>
    <x v="16"/>
    <x v="34"/>
    <s v="08.B.166"/>
    <x v="1"/>
    <x v="2"/>
    <s v="Docked to Host Monitor"/>
    <n v="1"/>
    <m/>
    <m/>
    <s v=""/>
    <s v=""/>
    <s v=""/>
    <s v=""/>
    <s v=""/>
    <m/>
    <n v="1"/>
    <s v="Philips"/>
    <x v="2"/>
    <n v="0"/>
    <n v="0"/>
    <n v="0"/>
    <n v="0"/>
    <m/>
    <m/>
    <m/>
    <m/>
    <m/>
    <m/>
    <m/>
    <m/>
    <m/>
    <m/>
    <m/>
    <m/>
    <m/>
    <m/>
    <m/>
    <m/>
    <m/>
    <m/>
  </r>
  <r>
    <x v="16"/>
    <x v="34"/>
    <s v="09.B.165"/>
    <x v="1"/>
    <x v="2"/>
    <s v="Docked to Host Monitor"/>
    <n v="1"/>
    <m/>
    <m/>
    <s v=""/>
    <s v=""/>
    <s v=""/>
    <s v=""/>
    <s v=""/>
    <m/>
    <n v="1"/>
    <s v="Philips"/>
    <x v="2"/>
    <n v="0"/>
    <n v="0"/>
    <n v="0"/>
    <n v="0"/>
    <m/>
    <m/>
    <m/>
    <m/>
    <m/>
    <m/>
    <m/>
    <m/>
    <m/>
    <m/>
    <m/>
    <m/>
    <m/>
    <m/>
    <m/>
    <m/>
    <m/>
    <m/>
  </r>
  <r>
    <x v="16"/>
    <x v="34"/>
    <s v="10.B.165"/>
    <x v="1"/>
    <x v="2"/>
    <s v="Docked to Host Monitor"/>
    <n v="1"/>
    <m/>
    <m/>
    <s v=""/>
    <s v=""/>
    <s v=""/>
    <s v=""/>
    <s v=""/>
    <m/>
    <n v="1"/>
    <s v="Philips"/>
    <x v="2"/>
    <n v="0"/>
    <n v="0"/>
    <n v="0"/>
    <n v="0"/>
    <m/>
    <m/>
    <m/>
    <m/>
    <m/>
    <m/>
    <m/>
    <m/>
    <m/>
    <m/>
    <m/>
    <m/>
    <m/>
    <m/>
    <m/>
    <m/>
    <m/>
    <m/>
  </r>
  <r>
    <x v="17"/>
    <x v="0"/>
    <s v="04.A.103"/>
    <x v="0"/>
    <x v="0"/>
    <s v="Mobile (trolley mounted)"/>
    <n v="1"/>
    <m/>
    <s v="003774"/>
    <s v="MONITOR: LOW ACUITY - Mobile"/>
    <s v="WELCH ALLYN"/>
    <s v="75CT"/>
    <n v="100080201517"/>
    <s v="Ward 3 East "/>
    <n v="1"/>
    <n v="0"/>
    <s v="Philips"/>
    <x v="0"/>
    <n v="0"/>
    <n v="0"/>
    <n v="0"/>
    <n v="0"/>
    <m/>
    <m/>
    <s v="Compact"/>
    <s v=""/>
    <s v="Adult"/>
    <s v="Finger, Forehead, Ear, Reusable &amp; Disposable"/>
    <s v="Nellcor"/>
    <s v=""/>
    <s v=""/>
    <s v=""/>
    <s v=""/>
    <s v=""/>
    <s v=""/>
    <s v=""/>
    <s v=""/>
    <s v=""/>
    <s v=""/>
    <s v=""/>
  </r>
  <r>
    <x v="17"/>
    <x v="0"/>
    <s v="04.A.103"/>
    <x v="0"/>
    <x v="0"/>
    <s v="Mobile (trolley mounted)"/>
    <n v="1"/>
    <m/>
    <s v="005108"/>
    <s v="MONITOR: LOW ACUITY - Mobile"/>
    <s v="WELCH ALLYN"/>
    <s v="75CT"/>
    <n v="0"/>
    <s v="WARD 2 EAST "/>
    <n v="1"/>
    <n v="0"/>
    <s v="Philips"/>
    <x v="0"/>
    <n v="0"/>
    <n v="0"/>
    <n v="0"/>
    <n v="0"/>
    <m/>
    <m/>
    <s v="Compact"/>
    <s v=""/>
    <s v="Adult"/>
    <s v="Finger, Forehead, Ear, Reusable &amp; Disposable"/>
    <s v="Nellcor"/>
    <s v=""/>
    <s v=""/>
    <s v=""/>
    <s v=""/>
    <s v=""/>
    <s v=""/>
    <s v=""/>
    <s v=""/>
    <s v=""/>
    <s v=""/>
    <s v=""/>
  </r>
  <r>
    <x v="17"/>
    <x v="0"/>
    <s v="04.A.103"/>
    <x v="0"/>
    <x v="0"/>
    <s v="Mobile (trolley mounted)"/>
    <n v="1"/>
    <m/>
    <s v="005109"/>
    <s v="MONITOR: LOW ACUITY - Mobile"/>
    <s v="WELCH ALLYN"/>
    <s v="75CT"/>
    <n v="0"/>
    <s v="WARD 2 EAST "/>
    <n v="1"/>
    <n v="0"/>
    <s v="Philips"/>
    <x v="0"/>
    <n v="0"/>
    <n v="0"/>
    <n v="0"/>
    <n v="0"/>
    <m/>
    <m/>
    <s v="Compact"/>
    <s v=""/>
    <s v="Adult"/>
    <s v="Finger, Forehead, Ear, Reusable &amp; Disposable"/>
    <s v="Nellcor"/>
    <s v=""/>
    <s v=""/>
    <s v=""/>
    <s v=""/>
    <s v=""/>
    <s v=""/>
    <s v=""/>
    <s v=""/>
    <s v=""/>
    <s v=""/>
    <s v=""/>
  </r>
  <r>
    <x v="17"/>
    <x v="0"/>
    <s v="04.A.103"/>
    <x v="0"/>
    <x v="0"/>
    <s v="Mobile (trolley mounted)"/>
    <n v="1"/>
    <m/>
    <s v="005110"/>
    <s v="MONITOR: LOW ACUITY - Mobile"/>
    <s v="WELCH ALLYN"/>
    <s v="75CT"/>
    <n v="0"/>
    <s v="WARD 2 EAST "/>
    <n v="1"/>
    <n v="0"/>
    <s v="Philips"/>
    <x v="0"/>
    <n v="0"/>
    <n v="0"/>
    <n v="0"/>
    <n v="0"/>
    <m/>
    <m/>
    <s v="Compact"/>
    <s v=""/>
    <s v="Adult"/>
    <s v="Finger, Forehead, Ear, Reusable &amp; Disposable"/>
    <s v="Nellcor"/>
    <s v=""/>
    <s v=""/>
    <s v=""/>
    <s v=""/>
    <s v=""/>
    <s v=""/>
    <s v=""/>
    <s v=""/>
    <s v=""/>
    <s v=""/>
    <s v=""/>
  </r>
  <r>
    <x v="17"/>
    <x v="0"/>
    <s v="04.A.103"/>
    <x v="0"/>
    <x v="0"/>
    <s v="Mobile (trolley mounted)"/>
    <n v="1"/>
    <m/>
    <s v="005421"/>
    <s v="MONITOR: LOW ACUITY - Mobile"/>
    <s v="WELCH ALLYN"/>
    <s v="75CT"/>
    <n v="0"/>
    <s v="WARD 2D "/>
    <n v="1"/>
    <n v="0"/>
    <s v="Philips"/>
    <x v="0"/>
    <n v="0"/>
    <n v="0"/>
    <n v="0"/>
    <n v="0"/>
    <m/>
    <m/>
    <s v="Compact"/>
    <s v=""/>
    <s v="Adult"/>
    <s v="Finger, Forehead, Ear, Reusable &amp; Disposable"/>
    <s v="Nellcor"/>
    <s v=""/>
    <s v=""/>
    <s v=""/>
    <s v=""/>
    <s v=""/>
    <s v=""/>
    <s v=""/>
    <s v=""/>
    <s v=""/>
    <s v=""/>
    <s v=""/>
  </r>
  <r>
    <x v="17"/>
    <x v="0"/>
    <s v="04.A.103"/>
    <x v="0"/>
    <x v="0"/>
    <s v="Mobile (trolley mounted)"/>
    <n v="1"/>
    <m/>
    <s v="005422"/>
    <s v="MONITOR: LOW ACUITY - Mobile"/>
    <s v="WELCH ALLYN"/>
    <s v="75CT"/>
    <n v="0"/>
    <s v="WARD 2C "/>
    <n v="1"/>
    <n v="0"/>
    <s v="Philips"/>
    <x v="0"/>
    <n v="0"/>
    <n v="0"/>
    <n v="0"/>
    <n v="0"/>
    <m/>
    <m/>
    <s v="Compact"/>
    <s v=""/>
    <s v="Adult"/>
    <s v="Finger, Forehead, Ear, Reusable &amp; Disposable"/>
    <s v="Nellcor"/>
    <s v=""/>
    <s v=""/>
    <s v=""/>
    <s v=""/>
    <s v=""/>
    <s v=""/>
    <s v=""/>
    <s v=""/>
    <s v=""/>
    <s v=""/>
    <s v=""/>
  </r>
  <r>
    <x v="17"/>
    <x v="0"/>
    <s v="04.A.103"/>
    <x v="0"/>
    <x v="0"/>
    <s v="Mobile (trolley mounted)"/>
    <n v="1"/>
    <m/>
    <s v="005423"/>
    <s v="MONITOR: LOW ACUITY - Mobile"/>
    <s v="WELCH ALLYN"/>
    <s v="75CT"/>
    <n v="0"/>
    <s v="WARD 2C "/>
    <n v="1"/>
    <n v="0"/>
    <s v="Philips"/>
    <x v="0"/>
    <n v="0"/>
    <n v="0"/>
    <n v="0"/>
    <n v="0"/>
    <m/>
    <m/>
    <s v="Compact"/>
    <s v=""/>
    <s v="Adult"/>
    <s v="Finger, Forehead, Ear, Reusable &amp; Disposable"/>
    <s v="Nellcor"/>
    <s v=""/>
    <s v=""/>
    <s v=""/>
    <s v=""/>
    <s v=""/>
    <s v=""/>
    <s v=""/>
    <s v=""/>
    <s v=""/>
    <s v=""/>
    <s v=""/>
  </r>
  <r>
    <x v="17"/>
    <x v="0"/>
    <s v="04.A.103"/>
    <x v="0"/>
    <x v="0"/>
    <s v="Mobile (trolley mounted)"/>
    <n v="1"/>
    <m/>
    <s v="006134"/>
    <s v="MONITOR: LOW ACUITY - Mobile"/>
    <s v="WELCH ALLYN"/>
    <s v="75CT"/>
    <n v="0"/>
    <s v="WARD 3 EAST "/>
    <n v="1"/>
    <n v="0"/>
    <s v="Philips"/>
    <x v="0"/>
    <n v="0"/>
    <n v="0"/>
    <n v="0"/>
    <n v="0"/>
    <m/>
    <m/>
    <s v="Compact"/>
    <s v=""/>
    <s v="Adult"/>
    <s v="Finger, Forehead, Ear, Reusable &amp; Disposable"/>
    <s v="Nellcor"/>
    <s v=""/>
    <s v=""/>
    <s v=""/>
    <s v=""/>
    <s v=""/>
    <s v=""/>
    <s v=""/>
    <s v=""/>
    <s v=""/>
    <s v=""/>
    <s v=""/>
  </r>
  <r>
    <x v="17"/>
    <x v="0"/>
    <s v="04.A.103"/>
    <x v="0"/>
    <x v="0"/>
    <s v="Mobile (trolley mounted)"/>
    <n v="1"/>
    <m/>
    <s v="006819"/>
    <s v="MONITOR: LOW ACUITY - Mobile"/>
    <s v="WELCH ALLYN"/>
    <s v="75CT"/>
    <n v="0"/>
    <s v="WARD 2 EAST "/>
    <n v="1"/>
    <n v="0"/>
    <s v="Philips"/>
    <x v="0"/>
    <n v="0"/>
    <n v="0"/>
    <n v="0"/>
    <n v="0"/>
    <m/>
    <m/>
    <s v="Compact"/>
    <s v=""/>
    <s v="Adult"/>
    <s v="Finger, Forehead, Ear, Reusable &amp; Disposable"/>
    <s v="Nellcor"/>
    <s v=""/>
    <s v=""/>
    <s v=""/>
    <s v=""/>
    <s v=""/>
    <s v=""/>
    <s v=""/>
    <s v=""/>
    <s v=""/>
    <s v=""/>
    <s v=""/>
  </r>
  <r>
    <x v="18"/>
    <x v="1"/>
    <s v="LG.B.174"/>
    <x v="0"/>
    <x v="0"/>
    <s v="Mobile (trolley mounted)"/>
    <n v="1"/>
    <m/>
    <s v="000432"/>
    <s v="MONITOR: LOW ACUITY - Mobile"/>
    <s v="WELCH ALLYN"/>
    <s v="42N0B"/>
    <n v="201628860"/>
    <s v="Emergency Department "/>
    <n v="1"/>
    <n v="0"/>
    <s v="Philips"/>
    <x v="0"/>
    <n v="0"/>
    <n v="0"/>
    <n v="0"/>
    <n v="0"/>
    <m/>
    <m/>
    <s v="Compact"/>
    <s v=""/>
    <s v="Adult"/>
    <s v="Finger, Forehead, Ear, Reusable &amp; Disposable"/>
    <s v="Nellcor"/>
    <s v=""/>
    <s v=""/>
    <s v=""/>
    <s v=""/>
    <s v=""/>
    <s v=""/>
    <s v=""/>
    <s v=""/>
    <s v=""/>
    <s v=""/>
    <s v=""/>
  </r>
  <r>
    <x v="18"/>
    <x v="1"/>
    <s v="LG.B.174"/>
    <x v="0"/>
    <x v="0"/>
    <s v="Mobile (trolley mounted)"/>
    <n v="1"/>
    <m/>
    <s v="000494"/>
    <s v="MONITOR: LOW ACUITY - Mobile"/>
    <s v="WELCH ALLYN"/>
    <s v="42N0B"/>
    <n v="201628776"/>
    <s v="Emergency Department "/>
    <n v="1"/>
    <n v="0"/>
    <s v="Philips"/>
    <x v="0"/>
    <n v="0"/>
    <n v="0"/>
    <n v="0"/>
    <n v="0"/>
    <m/>
    <m/>
    <s v="Compact"/>
    <s v=""/>
    <s v="Adult"/>
    <s v="Finger, Forehead, Ear, Reusable &amp; Disposable"/>
    <s v="Nellcor"/>
    <s v=""/>
    <s v=""/>
    <s v=""/>
    <s v=""/>
    <s v=""/>
    <s v=""/>
    <s v=""/>
    <s v=""/>
    <s v=""/>
    <s v=""/>
    <s v=""/>
  </r>
  <r>
    <x v="18"/>
    <x v="1"/>
    <s v="LG.B.174"/>
    <x v="0"/>
    <x v="0"/>
    <s v="Mobile (trolley mounted)"/>
    <n v="1"/>
    <m/>
    <s v="001060"/>
    <s v="MONITOR: LOW ACUITY - Mobile"/>
    <s v="WELCH ALLYN"/>
    <s v="75CT"/>
    <n v="100014182217"/>
    <s v="Cardiac Care Unit"/>
    <n v="1"/>
    <n v="0"/>
    <s v="Philips"/>
    <x v="0"/>
    <n v="0"/>
    <n v="0"/>
    <n v="0"/>
    <n v="0"/>
    <m/>
    <m/>
    <s v="Compact"/>
    <s v=""/>
    <s v="Adult"/>
    <s v="Finger, Forehead, Ear, Reusable &amp; Disposable"/>
    <s v="Nellcor"/>
    <s v=""/>
    <s v=""/>
    <s v=""/>
    <s v=""/>
    <s v=""/>
    <s v=""/>
    <s v=""/>
    <s v=""/>
    <s v=""/>
    <s v=""/>
    <s v=""/>
  </r>
  <r>
    <x v="18"/>
    <x v="1"/>
    <s v="LG.B.174"/>
    <x v="0"/>
    <x v="0"/>
    <s v="Mobile (trolley mounted)"/>
    <n v="1"/>
    <m/>
    <s v="003008"/>
    <s v="MONITOR: LOW ACUITY - Mobile"/>
    <s v="WELCH ALLYN"/>
    <s v="75CT"/>
    <n v="100014142217"/>
    <s v="Cardiac Care Unit"/>
    <n v="1"/>
    <n v="0"/>
    <s v="Philips"/>
    <x v="0"/>
    <n v="0"/>
    <n v="0"/>
    <n v="0"/>
    <n v="0"/>
    <m/>
    <m/>
    <s v="Compact"/>
    <s v=""/>
    <s v="Adult"/>
    <s v="Finger, Forehead, Ear, Reusable &amp; Disposable"/>
    <s v="Nellcor"/>
    <s v=""/>
    <s v=""/>
    <s v=""/>
    <s v=""/>
    <s v=""/>
    <s v=""/>
    <s v=""/>
    <s v=""/>
    <s v=""/>
    <s v=""/>
    <s v=""/>
  </r>
  <r>
    <x v="18"/>
    <x v="31"/>
    <s v="LG.B.445"/>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18"/>
    <x v="31"/>
    <s v="LG.B.446"/>
    <x v="1"/>
    <x v="1"/>
    <s v="Wall Mounted"/>
    <n v="1"/>
    <m/>
    <m/>
    <s v=""/>
    <s v=""/>
    <s v=""/>
    <s v=""/>
    <s v=""/>
    <m/>
    <n v="1"/>
    <s v="Philips"/>
    <x v="1"/>
    <n v="17729"/>
    <n v="1127"/>
    <n v="1127"/>
    <n v="19983"/>
    <m/>
    <m/>
    <s v="Compact &amp; medium screen"/>
    <s v="3, 5 &amp; 12 Leads"/>
    <s v="Adult"/>
    <s v="Finger, Forehead, Ear, Reusable &amp; Disposable"/>
    <s v="Nellcor"/>
    <s v=""/>
    <s v=""/>
    <s v=""/>
    <s v=""/>
    <s v="2x IBP channel provision only"/>
    <s v=""/>
    <s v=""/>
    <s v="A4 Network"/>
    <s v="Provsion only"/>
    <s v=""/>
    <s v="Yes"/>
  </r>
  <r>
    <x v="18"/>
    <x v="31"/>
    <s v="LG.B.445"/>
    <x v="1"/>
    <x v="2"/>
    <s v="Docked to Host Monitor"/>
    <n v="1"/>
    <m/>
    <m/>
    <s v=""/>
    <s v=""/>
    <s v=""/>
    <s v=""/>
    <s v=""/>
    <m/>
    <n v="1"/>
    <s v="Philips"/>
    <x v="2"/>
    <n v="0"/>
    <n v="0"/>
    <n v="0"/>
    <n v="0"/>
    <m/>
    <m/>
    <m/>
    <m/>
    <m/>
    <m/>
    <m/>
    <m/>
    <m/>
    <m/>
    <m/>
    <m/>
    <m/>
    <m/>
    <m/>
    <m/>
    <m/>
    <m/>
  </r>
  <r>
    <x v="18"/>
    <x v="31"/>
    <s v="LG.B.446"/>
    <x v="1"/>
    <x v="2"/>
    <s v="Docked to Host Monitor"/>
    <n v="1"/>
    <m/>
    <m/>
    <s v=""/>
    <s v=""/>
    <s v=""/>
    <s v=""/>
    <s v=""/>
    <m/>
    <n v="1"/>
    <s v="Philips"/>
    <x v="2"/>
    <n v="0"/>
    <n v="0"/>
    <n v="0"/>
    <n v="0"/>
    <m/>
    <m/>
    <m/>
    <m/>
    <m/>
    <m/>
    <m/>
    <m/>
    <m/>
    <m/>
    <m/>
    <m/>
    <m/>
    <m/>
    <m/>
    <m/>
    <m/>
    <m/>
  </r>
  <r>
    <x v="3"/>
    <x v="0"/>
    <s v="07.B.127"/>
    <x v="1"/>
    <x v="25"/>
    <s v="Module"/>
    <n v="1"/>
    <m/>
    <s v="006107"/>
    <s v="MULTI-PARAMETERS MODULE, PHYSIOLOGICAL"/>
    <s v="PHILIPS MEDICAL SYSTEMS AUSTRA"/>
    <s v="Hemodynamic Extension"/>
    <s v="DE69763462"/>
    <s v="CCU FH"/>
    <n v="1"/>
    <n v="0"/>
    <s v="Philips"/>
    <x v="3"/>
    <n v="0"/>
    <n v="0"/>
    <n v="0"/>
    <n v="0"/>
    <m/>
    <m/>
    <m/>
    <m/>
    <m/>
    <m/>
    <m/>
    <m/>
    <m/>
    <m/>
    <m/>
    <m/>
    <m/>
    <m/>
    <m/>
    <m/>
    <m/>
    <m/>
  </r>
  <r>
    <x v="3"/>
    <x v="0"/>
    <s v="07.B.127"/>
    <x v="1"/>
    <x v="25"/>
    <s v="Module"/>
    <n v="1"/>
    <m/>
    <s v="006108"/>
    <s v="MULTI-PARAMETERS MODULE, PHYSIOLOGICAL"/>
    <s v="PHILIPS MEDICAL SYSTEMS AUSTRA"/>
    <s v="Hemodynamic Extension"/>
    <s v="DE69761357"/>
    <s v="CCU FH"/>
    <n v="1"/>
    <n v="0"/>
    <s v="Philips"/>
    <x v="3"/>
    <n v="0"/>
    <n v="0"/>
    <n v="0"/>
    <n v="0"/>
    <m/>
    <m/>
    <m/>
    <m/>
    <m/>
    <m/>
    <m/>
    <m/>
    <m/>
    <m/>
    <m/>
    <m/>
    <m/>
    <m/>
    <m/>
    <m/>
    <m/>
    <m/>
  </r>
  <r>
    <x v="3"/>
    <x v="0"/>
    <s v="07.B.127"/>
    <x v="1"/>
    <x v="18"/>
    <s v="Module"/>
    <n v="1"/>
    <m/>
    <s v="Temp006"/>
    <s v="MODULE, CO2"/>
    <s v="PHILIPS MEDICAL SYSTEMS AUSTRA"/>
    <s v="Microstream CO₂ Extension"/>
    <s v="DE61414245"/>
    <s v="CCU FH"/>
    <n v="1"/>
    <n v="0"/>
    <s v="Philips"/>
    <x v="18"/>
    <n v="0"/>
    <n v="0"/>
    <n v="0"/>
    <n v="0"/>
    <m/>
    <m/>
    <m/>
    <m/>
    <m/>
    <m/>
    <m/>
    <m/>
    <m/>
    <m/>
    <m/>
    <m/>
    <m/>
    <m/>
    <m/>
    <m/>
    <m/>
    <m/>
  </r>
  <r>
    <x v="3"/>
    <x v="0"/>
    <s v="07.B.127"/>
    <x v="1"/>
    <x v="18"/>
    <s v="Module"/>
    <n v="1"/>
    <m/>
    <s v="Temp007"/>
    <s v="MODULE, CO2"/>
    <s v="PHILIPS MEDICAL SYSTEMS AUSTRA"/>
    <s v="Microstream CO₂ Extension"/>
    <s v="DE61414264"/>
    <s v="CCU FH"/>
    <n v="1"/>
    <n v="0"/>
    <s v="Philips"/>
    <x v="18"/>
    <n v="0"/>
    <n v="0"/>
    <n v="0"/>
    <n v="0"/>
    <m/>
    <m/>
    <m/>
    <m/>
    <m/>
    <m/>
    <m/>
    <m/>
    <m/>
    <m/>
    <m/>
    <m/>
    <m/>
    <m/>
    <m/>
    <m/>
    <m/>
    <m/>
  </r>
  <r>
    <x v="6"/>
    <x v="16"/>
    <s v="LG.B.099"/>
    <x v="3"/>
    <x v="18"/>
    <s v="Module"/>
    <n v="1"/>
    <m/>
    <m/>
    <m/>
    <m/>
    <m/>
    <m/>
    <m/>
    <m/>
    <n v="1"/>
    <s v="Philips"/>
    <x v="18"/>
    <n v="0"/>
    <n v="0"/>
    <n v="0"/>
    <n v="0"/>
    <m/>
    <m/>
    <m/>
    <m/>
    <m/>
    <m/>
    <m/>
    <m/>
    <m/>
    <m/>
    <m/>
    <m/>
    <m/>
    <m/>
    <m/>
    <m/>
    <m/>
    <m/>
  </r>
  <r>
    <x v="6"/>
    <x v="16"/>
    <s v="LG.B.101"/>
    <x v="3"/>
    <x v="18"/>
    <s v="Module"/>
    <n v="1"/>
    <m/>
    <m/>
    <m/>
    <m/>
    <m/>
    <m/>
    <m/>
    <m/>
    <n v="1"/>
    <s v="Philips"/>
    <x v="18"/>
    <n v="0"/>
    <n v="0"/>
    <n v="0"/>
    <n v="0"/>
    <m/>
    <m/>
    <m/>
    <m/>
    <m/>
    <m/>
    <m/>
    <m/>
    <m/>
    <m/>
    <m/>
    <m/>
    <m/>
    <m/>
    <m/>
    <m/>
    <m/>
    <m/>
  </r>
  <r>
    <x v="6"/>
    <x v="16"/>
    <s v="LG.B.103"/>
    <x v="3"/>
    <x v="18"/>
    <s v="Module"/>
    <n v="1"/>
    <m/>
    <m/>
    <m/>
    <m/>
    <m/>
    <m/>
    <m/>
    <m/>
    <n v="1"/>
    <s v="Philips"/>
    <x v="18"/>
    <n v="0"/>
    <n v="0"/>
    <n v="0"/>
    <n v="0"/>
    <m/>
    <m/>
    <m/>
    <m/>
    <m/>
    <m/>
    <m/>
    <m/>
    <m/>
    <m/>
    <m/>
    <m/>
    <m/>
    <m/>
    <m/>
    <m/>
    <m/>
    <m/>
  </r>
  <r>
    <x v="6"/>
    <x v="17"/>
    <s v="LG.B.110"/>
    <x v="3"/>
    <x v="18"/>
    <s v="Module"/>
    <n v="1"/>
    <m/>
    <m/>
    <m/>
    <m/>
    <m/>
    <m/>
    <m/>
    <m/>
    <n v="1"/>
    <s v="Philips"/>
    <x v="18"/>
    <n v="0"/>
    <n v="0"/>
    <n v="0"/>
    <n v="0"/>
    <m/>
    <m/>
    <m/>
    <m/>
    <m/>
    <m/>
    <m/>
    <m/>
    <m/>
    <m/>
    <m/>
    <m/>
    <m/>
    <m/>
    <m/>
    <m/>
    <m/>
    <m/>
  </r>
  <r>
    <x v="6"/>
    <x v="16"/>
    <s v="LG.B.115"/>
    <x v="3"/>
    <x v="18"/>
    <s v="Module"/>
    <n v="1"/>
    <m/>
    <m/>
    <m/>
    <m/>
    <m/>
    <m/>
    <m/>
    <m/>
    <n v="1"/>
    <s v="Philips"/>
    <x v="18"/>
    <n v="0"/>
    <n v="0"/>
    <n v="0"/>
    <n v="0"/>
    <m/>
    <m/>
    <m/>
    <m/>
    <m/>
    <m/>
    <m/>
    <m/>
    <m/>
    <m/>
    <m/>
    <m/>
    <m/>
    <m/>
    <m/>
    <m/>
    <m/>
    <m/>
  </r>
  <r>
    <x v="6"/>
    <x v="0"/>
    <s v="LG.B.301"/>
    <x v="1"/>
    <x v="18"/>
    <s v="Module"/>
    <n v="1"/>
    <m/>
    <s v="temp 006"/>
    <s v="MODULE, CO2"/>
    <s v="PHILIPS MEDICAL SYSTEMS AUSTRA"/>
    <s v="Capnography Extension"/>
    <s v="DE69748234"/>
    <s v="ED - FH"/>
    <n v="1"/>
    <n v="0"/>
    <s v="Philips"/>
    <x v="18"/>
    <n v="0"/>
    <n v="0"/>
    <n v="0"/>
    <n v="0"/>
    <m/>
    <m/>
    <m/>
    <m/>
    <m/>
    <m/>
    <m/>
    <m/>
    <m/>
    <m/>
    <m/>
    <m/>
    <m/>
    <m/>
    <m/>
    <m/>
    <m/>
    <m/>
  </r>
  <r>
    <x v="6"/>
    <x v="0"/>
    <s v="LG.B.301"/>
    <x v="1"/>
    <x v="18"/>
    <s v="Module"/>
    <n v="1"/>
    <m/>
    <s v="006105"/>
    <s v="MODULE, CO2"/>
    <s v="PHILIPS MEDICAL SYSTEMS AUSTRA"/>
    <s v="Microstream CO₂ Extension"/>
    <s v="DE69765780"/>
    <s v="ED FH"/>
    <n v="1"/>
    <n v="0"/>
    <s v="Philips"/>
    <x v="18"/>
    <n v="0"/>
    <n v="0"/>
    <n v="0"/>
    <n v="0"/>
    <m/>
    <m/>
    <m/>
    <m/>
    <m/>
    <m/>
    <m/>
    <m/>
    <m/>
    <m/>
    <m/>
    <m/>
    <m/>
    <m/>
    <m/>
    <m/>
    <m/>
    <m/>
  </r>
  <r>
    <x v="6"/>
    <x v="0"/>
    <s v="LG.B.301"/>
    <x v="1"/>
    <x v="18"/>
    <s v="Module"/>
    <n v="1"/>
    <m/>
    <s v="005381"/>
    <s v="MODULE, CO2"/>
    <s v="PHILIPS MEDICAL SYSTEMS AUSTRA"/>
    <s v="Microstream CO₂ Extension"/>
    <s v="DE742A2344"/>
    <s v="ED FH"/>
    <n v="1"/>
    <n v="0"/>
    <s v="Philips"/>
    <x v="18"/>
    <n v="0"/>
    <n v="0"/>
    <n v="0"/>
    <n v="0"/>
    <m/>
    <m/>
    <m/>
    <m/>
    <m/>
    <m/>
    <m/>
    <m/>
    <m/>
    <m/>
    <m/>
    <m/>
    <m/>
    <m/>
    <m/>
    <m/>
    <m/>
    <m/>
  </r>
  <r>
    <x v="6"/>
    <x v="0"/>
    <s v="LG.B.301"/>
    <x v="1"/>
    <x v="18"/>
    <s v="Module"/>
    <n v="1"/>
    <m/>
    <s v="005383"/>
    <s v="MODULE, CO2"/>
    <s v="PHILIPS MEDICAL SYSTEMS AUSTRA"/>
    <s v="Microstream CO₂ Extension"/>
    <s v="DE742A2351"/>
    <s v="ED FH"/>
    <n v="1"/>
    <n v="0"/>
    <s v="Philips"/>
    <x v="18"/>
    <n v="0"/>
    <n v="0"/>
    <n v="0"/>
    <n v="0"/>
    <m/>
    <m/>
    <m/>
    <m/>
    <m/>
    <m/>
    <m/>
    <m/>
    <m/>
    <m/>
    <m/>
    <m/>
    <m/>
    <m/>
    <m/>
    <m/>
    <m/>
    <m/>
  </r>
  <r>
    <x v="6"/>
    <x v="0"/>
    <s v="LG.B.301"/>
    <x v="1"/>
    <x v="18"/>
    <s v="Module"/>
    <n v="1"/>
    <m/>
    <s v="005382"/>
    <s v="MODULE, CO2"/>
    <s v="PHILIPS MEDICAL SYSTEMS AUSTRA"/>
    <s v="Microstream CO₂ Extension"/>
    <s v="DE742A2354"/>
    <s v="ED FH"/>
    <n v="1"/>
    <n v="0"/>
    <s v="Philips"/>
    <x v="18"/>
    <n v="0"/>
    <n v="0"/>
    <n v="0"/>
    <n v="0"/>
    <m/>
    <m/>
    <m/>
    <m/>
    <m/>
    <m/>
    <m/>
    <m/>
    <m/>
    <m/>
    <m/>
    <m/>
    <m/>
    <m/>
    <m/>
    <m/>
    <m/>
    <m/>
  </r>
  <r>
    <x v="6"/>
    <x v="0"/>
    <s v="LG.B.301"/>
    <x v="1"/>
    <x v="18"/>
    <s v="Module"/>
    <n v="1"/>
    <m/>
    <s v="Temp008"/>
    <s v="MODULE, CO2"/>
    <s v="PHILIPS MEDICAL SYSTEMS AUSTRA"/>
    <s v="CO2,  Microstream -  MMS Module "/>
    <s v="DE43511160"/>
    <s v="EMERGENCY DEPARTMENT"/>
    <n v="1"/>
    <n v="0"/>
    <s v="Philips"/>
    <x v="18"/>
    <n v="0"/>
    <n v="0"/>
    <n v="0"/>
    <n v="0"/>
    <m/>
    <m/>
    <m/>
    <m/>
    <m/>
    <m/>
    <m/>
    <m/>
    <m/>
    <m/>
    <m/>
    <m/>
    <m/>
    <m/>
    <m/>
    <m/>
    <m/>
    <m/>
  </r>
  <r>
    <x v="6"/>
    <x v="0"/>
    <s v="LG.B.301"/>
    <x v="1"/>
    <x v="18"/>
    <s v="Module"/>
    <n v="1"/>
    <m/>
    <s v="Temp009"/>
    <s v="MULTI-PARAMETERS MODULE, PHYSIOLOGICAL"/>
    <s v="PHILIPS MEDICAL SYSTEMS AUSTRA"/>
    <s v="CO2,  Microstream -  MMS Module "/>
    <s v="DE45582589"/>
    <s v="EMERGENCY DEPARTMENT"/>
    <n v="1"/>
    <n v="0"/>
    <s v="Philips"/>
    <x v="18"/>
    <n v="0"/>
    <n v="0"/>
    <n v="0"/>
    <n v="0"/>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357C3CD-1BDC-47B5-9F99-16F8D29F9AAF}" name="PivotTable1" cacheId="5" applyNumberFormats="0" applyBorderFormats="0" applyFontFormats="0" applyPatternFormats="0" applyAlignmentFormats="0" applyWidthHeightFormats="1" dataCaption="Values" updatedVersion="8" minRefreshableVersion="3" showDrill="0" itemPrintTitles="1" createdVersion="8" indent="0" compact="0" compactData="0" multipleFieldFilters="0">
  <location ref="B3:H271" firstHeaderRow="0" firstDataRow="1" firstDataCol="4"/>
  <pivotFields count="40">
    <pivotField axis="axisRow" compact="0" outline="0" showAll="0" defaultSubtotal="0">
      <items count="19">
        <item x="0"/>
        <item x="1"/>
        <item x="2"/>
        <item x="3"/>
        <item x="4"/>
        <item x="5"/>
        <item x="6"/>
        <item x="7"/>
        <item x="8"/>
        <item x="9"/>
        <item x="10"/>
        <item x="11"/>
        <item x="12"/>
        <item x="13"/>
        <item x="14"/>
        <item x="15"/>
        <item x="16"/>
        <item x="17"/>
        <item x="18"/>
      </items>
    </pivotField>
    <pivotField axis="axisRow" compact="0" outline="0" showAll="0" defaultSubtotal="0">
      <items count="84">
        <item x="41"/>
        <item x="21"/>
        <item x="22"/>
        <item x="10"/>
        <item x="2"/>
        <item x="36"/>
        <item x="39"/>
        <item x="38"/>
        <item x="9"/>
        <item x="13"/>
        <item x="14"/>
        <item x="8"/>
        <item x="11"/>
        <item x="62"/>
        <item x="18"/>
        <item x="1"/>
        <item x="5"/>
        <item x="23"/>
        <item x="15"/>
        <item x="40"/>
        <item x="76"/>
        <item x="44"/>
        <item x="19"/>
        <item x="24"/>
        <item x="56"/>
        <item x="45"/>
        <item x="57"/>
        <item x="46"/>
        <item x="63"/>
        <item x="25"/>
        <item x="26"/>
        <item x="20"/>
        <item x="6"/>
        <item x="65"/>
        <item x="73"/>
        <item x="74"/>
        <item x="75"/>
        <item x="71"/>
        <item x="69"/>
        <item x="72"/>
        <item x="70"/>
        <item x="67"/>
        <item x="68"/>
        <item x="27"/>
        <item x="28"/>
        <item x="29"/>
        <item x="30"/>
        <item x="37"/>
        <item x="81"/>
        <item x="31"/>
        <item x="79"/>
        <item x="32"/>
        <item x="48"/>
        <item x="66"/>
        <item x="49"/>
        <item x="33"/>
        <item x="80"/>
        <item x="82"/>
        <item x="78"/>
        <item x="16"/>
        <item x="17"/>
        <item x="50"/>
        <item x="53"/>
        <item x="51"/>
        <item x="34"/>
        <item x="52"/>
        <item x="77"/>
        <item x="61"/>
        <item x="60"/>
        <item x="42"/>
        <item x="43"/>
        <item x="54"/>
        <item x="7"/>
        <item x="64"/>
        <item x="0"/>
        <item x="83"/>
        <item x="55"/>
        <item x="12"/>
        <item x="3"/>
        <item x="4"/>
        <item x="35"/>
        <item x="59"/>
        <item x="58"/>
        <item x="47"/>
      </items>
    </pivotField>
    <pivotField compact="0" outline="0" showAll="0" defaultSubtotal="0"/>
    <pivotField compact="0" outline="0" showAll="0" defaultSubtotal="0">
      <items count="6">
        <item x="2"/>
        <item x="3"/>
        <item x="0"/>
        <item x="1"/>
        <item x="5"/>
        <item x="4"/>
      </items>
    </pivotField>
    <pivotField axis="axisRow" compact="0" outline="0" showAll="0" defaultSubtotal="0">
      <items count="34">
        <item x="11"/>
        <item x="20"/>
        <item x="14"/>
        <item x="15"/>
        <item x="6"/>
        <item m="1" x="30"/>
        <item m="1" x="31"/>
        <item m="1" x="33"/>
        <item x="12"/>
        <item m="1" x="29"/>
        <item m="1" x="28"/>
        <item x="0"/>
        <item m="1" x="27"/>
        <item x="10"/>
        <item x="13"/>
        <item x="16"/>
        <item x="21"/>
        <item x="7"/>
        <item x="22"/>
        <item x="23"/>
        <item x="17"/>
        <item m="1" x="26"/>
        <item x="18"/>
        <item x="24"/>
        <item x="2"/>
        <item m="1" x="32"/>
        <item x="4"/>
        <item x="5"/>
        <item x="8"/>
        <item x="9"/>
        <item x="1"/>
        <item x="3"/>
        <item x="19"/>
        <item x="25"/>
      </items>
    </pivotField>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dataField="1" compact="0" outline="0" showAll="0" defaultSubtotal="0"/>
    <pivotField compact="0" outline="0" showAll="0" defaultSubtotal="0"/>
    <pivotField axis="axisRow" compact="0" outline="0" showAll="0" defaultSubtotal="0">
      <items count="24">
        <item x="6"/>
        <item x="0"/>
        <item x="11"/>
        <item x="20"/>
        <item x="15"/>
        <item x="14"/>
        <item x="18"/>
        <item x="1"/>
        <item x="12"/>
        <item x="7"/>
        <item x="21"/>
        <item x="2"/>
        <item x="8"/>
        <item x="16"/>
        <item m="1" x="22"/>
        <item m="1" x="23"/>
        <item x="9"/>
        <item x="3"/>
        <item x="4"/>
        <item x="5"/>
        <item x="10"/>
        <item x="13"/>
        <item x="19"/>
        <item x="17"/>
      </items>
    </pivotField>
    <pivotField compact="0" outline="0" showAll="0" defaultSubtotal="0"/>
    <pivotField compact="0" outline="0" showAll="0" defaultSubtotal="0"/>
    <pivotField compact="0" outline="0" showAll="0" defaultSubtotal="0"/>
    <pivotField compact="0" numFmtId="44"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1"/>
    <field x="4"/>
    <field x="17"/>
  </rowFields>
  <rowItems count="268">
    <i>
      <x/>
      <x v="74"/>
      <x v="11"/>
      <x v="1"/>
    </i>
    <i>
      <x v="1"/>
      <x v="4"/>
      <x v="24"/>
      <x v="11"/>
    </i>
    <i r="2">
      <x v="30"/>
      <x v="7"/>
    </i>
    <i r="1">
      <x v="15"/>
      <x v="11"/>
      <x v="1"/>
    </i>
    <i>
      <x v="2"/>
      <x v="16"/>
      <x v="11"/>
      <x v="1"/>
    </i>
    <i r="1">
      <x v="78"/>
      <x v="11"/>
      <x v="1"/>
    </i>
    <i r="1">
      <x v="79"/>
      <x v="11"/>
      <x v="1"/>
    </i>
    <i>
      <x v="3"/>
      <x v="3"/>
      <x v="17"/>
      <x v="12"/>
    </i>
    <i r="2">
      <x v="24"/>
      <x v="11"/>
    </i>
    <i r="2">
      <x v="30"/>
      <x v="7"/>
    </i>
    <i r="1">
      <x v="8"/>
      <x v="17"/>
      <x v="12"/>
    </i>
    <i r="2">
      <x v="24"/>
      <x v="11"/>
    </i>
    <i r="2">
      <x v="30"/>
      <x v="9"/>
    </i>
    <i r="1">
      <x v="9"/>
      <x v="17"/>
      <x v="12"/>
    </i>
    <i r="2">
      <x v="24"/>
      <x v="11"/>
    </i>
    <i r="2">
      <x v="30"/>
      <x v="7"/>
    </i>
    <i r="1">
      <x v="10"/>
      <x v="17"/>
      <x v="12"/>
    </i>
    <i r="2">
      <x v="24"/>
      <x v="11"/>
    </i>
    <i r="2">
      <x v="30"/>
      <x v="7"/>
    </i>
    <i r="1">
      <x v="11"/>
      <x v="17"/>
      <x v="12"/>
    </i>
    <i r="2">
      <x v="24"/>
      <x v="11"/>
    </i>
    <i r="2">
      <x v="30"/>
      <x v="9"/>
    </i>
    <i r="1">
      <x v="12"/>
      <x v="17"/>
      <x v="12"/>
    </i>
    <i r="2">
      <x v="24"/>
      <x v="11"/>
    </i>
    <i r="2">
      <x v="30"/>
      <x v="7"/>
    </i>
    <i r="1">
      <x v="32"/>
      <x v="31"/>
      <x v="17"/>
    </i>
    <i r="1">
      <x v="72"/>
      <x v="4"/>
      <x/>
    </i>
    <i r="2">
      <x v="26"/>
      <x v="18"/>
    </i>
    <i r="2">
      <x v="27"/>
      <x v="19"/>
    </i>
    <i r="1">
      <x v="74"/>
      <x v="13"/>
      <x v="11"/>
    </i>
    <i r="2">
      <x v="17"/>
      <x v="12"/>
    </i>
    <i r="2">
      <x v="22"/>
      <x v="6"/>
    </i>
    <i r="2">
      <x v="28"/>
      <x v="16"/>
    </i>
    <i r="2">
      <x v="29"/>
      <x v="16"/>
    </i>
    <i r="2">
      <x v="33"/>
      <x v="17"/>
    </i>
    <i r="1">
      <x v="77"/>
      <x v="24"/>
      <x v="11"/>
    </i>
    <i r="2">
      <x v="30"/>
      <x v="7"/>
    </i>
    <i>
      <x v="4"/>
      <x v="78"/>
      <x v="11"/>
      <x v="1"/>
    </i>
    <i>
      <x v="5"/>
      <x v="18"/>
      <x v="11"/>
      <x v="1"/>
    </i>
    <i>
      <x v="6"/>
      <x v="1"/>
      <x v="24"/>
      <x v="11"/>
    </i>
    <i r="2">
      <x v="30"/>
      <x v="7"/>
    </i>
    <i r="1">
      <x v="2"/>
      <x v="24"/>
      <x v="11"/>
    </i>
    <i r="2">
      <x v="30"/>
      <x v="7"/>
    </i>
    <i r="1">
      <x v="14"/>
      <x v="8"/>
      <x v="17"/>
    </i>
    <i r="1">
      <x v="15"/>
      <x v="11"/>
      <x v="1"/>
    </i>
    <i r="2">
      <x v="14"/>
      <x v="11"/>
    </i>
    <i r="1">
      <x v="17"/>
      <x v="24"/>
      <x v="21"/>
    </i>
    <i r="2">
      <x v="30"/>
      <x v="7"/>
    </i>
    <i r="1">
      <x v="22"/>
      <x v="8"/>
      <x v="2"/>
    </i>
    <i r="1">
      <x v="23"/>
      <x v="24"/>
      <x v="21"/>
    </i>
    <i r="2">
      <x v="30"/>
      <x v="7"/>
    </i>
    <i r="1">
      <x v="29"/>
      <x v="24"/>
      <x v="21"/>
    </i>
    <i r="2">
      <x v="30"/>
      <x v="7"/>
    </i>
    <i r="1">
      <x v="30"/>
      <x v="24"/>
      <x v="21"/>
    </i>
    <i r="2">
      <x v="30"/>
      <x v="7"/>
    </i>
    <i r="1">
      <x v="31"/>
      <x v="11"/>
      <x v="1"/>
    </i>
    <i r="1">
      <x v="43"/>
      <x v="24"/>
      <x v="11"/>
    </i>
    <i r="2">
      <x v="30"/>
      <x v="7"/>
    </i>
    <i r="1">
      <x v="44"/>
      <x v="24"/>
      <x v="11"/>
    </i>
    <i r="2">
      <x v="30"/>
      <x v="7"/>
    </i>
    <i r="1">
      <x v="45"/>
      <x v="24"/>
      <x v="11"/>
    </i>
    <i r="3">
      <x v="21"/>
    </i>
    <i r="2">
      <x v="30"/>
      <x v="7"/>
    </i>
    <i r="1">
      <x v="46"/>
      <x v="24"/>
      <x v="11"/>
    </i>
    <i r="2">
      <x v="30"/>
      <x v="7"/>
    </i>
    <i r="1">
      <x v="49"/>
      <x v="24"/>
      <x v="11"/>
    </i>
    <i r="2">
      <x v="30"/>
      <x v="7"/>
    </i>
    <i r="1">
      <x v="51"/>
      <x v="24"/>
      <x v="21"/>
    </i>
    <i r="2">
      <x v="30"/>
      <x v="7"/>
    </i>
    <i r="1">
      <x v="55"/>
      <x v="24"/>
      <x v="21"/>
    </i>
    <i r="2">
      <x v="30"/>
      <x v="7"/>
    </i>
    <i r="1">
      <x v="59"/>
      <x/>
      <x v="20"/>
    </i>
    <i r="2">
      <x v="8"/>
      <x v="17"/>
    </i>
    <i r="2">
      <x v="22"/>
      <x v="6"/>
    </i>
    <i r="2">
      <x v="24"/>
      <x v="11"/>
    </i>
    <i r="2">
      <x v="30"/>
      <x v="9"/>
    </i>
    <i r="1">
      <x v="60"/>
      <x/>
      <x v="20"/>
    </i>
    <i r="2">
      <x v="8"/>
      <x v="17"/>
    </i>
    <i r="2">
      <x v="22"/>
      <x v="6"/>
    </i>
    <i r="2">
      <x v="24"/>
      <x v="11"/>
    </i>
    <i r="2">
      <x v="30"/>
      <x v="9"/>
    </i>
    <i r="1">
      <x v="64"/>
      <x v="24"/>
      <x v="11"/>
    </i>
    <i r="2">
      <x v="30"/>
      <x v="8"/>
    </i>
    <i r="1">
      <x v="72"/>
      <x v="4"/>
      <x/>
    </i>
    <i r="2">
      <x v="27"/>
      <x v="19"/>
    </i>
    <i r="1">
      <x v="74"/>
      <x v="22"/>
      <x v="6"/>
    </i>
    <i r="2">
      <x v="24"/>
      <x v="11"/>
    </i>
    <i r="1">
      <x v="80"/>
      <x v="24"/>
      <x v="21"/>
    </i>
    <i r="2">
      <x v="30"/>
      <x v="7"/>
    </i>
    <i>
      <x v="7"/>
      <x v="64"/>
      <x v="24"/>
      <x v="11"/>
    </i>
    <i r="2">
      <x v="30"/>
      <x v="8"/>
    </i>
    <i r="1">
      <x v="74"/>
      <x v="11"/>
      <x v="1"/>
    </i>
    <i>
      <x v="8"/>
      <x v="3"/>
      <x v="24"/>
      <x v="11"/>
    </i>
    <i r="2">
      <x v="30"/>
      <x v="7"/>
    </i>
    <i>
      <x v="9"/>
      <x v="5"/>
      <x/>
      <x v="20"/>
    </i>
    <i r="2">
      <x v="2"/>
      <x v="5"/>
    </i>
    <i r="2">
      <x v="3"/>
      <x v="4"/>
    </i>
    <i r="2">
      <x v="22"/>
      <x v="6"/>
    </i>
    <i r="2">
      <x v="24"/>
      <x v="11"/>
    </i>
    <i r="2">
      <x v="30"/>
      <x v="9"/>
    </i>
    <i r="1">
      <x v="6"/>
      <x/>
      <x v="20"/>
    </i>
    <i r="2">
      <x v="2"/>
      <x v="5"/>
    </i>
    <i r="2">
      <x v="3"/>
      <x v="4"/>
    </i>
    <i r="2">
      <x v="22"/>
      <x v="6"/>
    </i>
    <i r="2">
      <x v="24"/>
      <x v="11"/>
    </i>
    <i r="2">
      <x v="30"/>
      <x v="9"/>
    </i>
    <i r="1">
      <x v="7"/>
      <x/>
      <x v="20"/>
    </i>
    <i r="2">
      <x v="2"/>
      <x v="5"/>
    </i>
    <i r="2">
      <x v="3"/>
      <x v="4"/>
    </i>
    <i r="2">
      <x v="22"/>
      <x v="6"/>
    </i>
    <i r="2">
      <x v="24"/>
      <x v="11"/>
    </i>
    <i r="2">
      <x v="30"/>
      <x v="9"/>
    </i>
    <i r="1">
      <x v="32"/>
      <x v="4"/>
      <x v="17"/>
    </i>
    <i r="2">
      <x v="26"/>
      <x v="18"/>
    </i>
    <i r="1">
      <x v="47"/>
      <x/>
      <x v="20"/>
    </i>
    <i r="2">
      <x v="2"/>
      <x v="5"/>
    </i>
    <i r="2">
      <x v="3"/>
      <x v="4"/>
    </i>
    <i r="2">
      <x v="22"/>
      <x v="6"/>
    </i>
    <i r="2">
      <x v="24"/>
      <x v="11"/>
    </i>
    <i r="2">
      <x v="30"/>
      <x v="9"/>
    </i>
    <i r="1">
      <x v="72"/>
      <x v="4"/>
      <x/>
    </i>
    <i r="2">
      <x v="27"/>
      <x v="19"/>
    </i>
    <i r="1">
      <x v="74"/>
      <x v="14"/>
      <x v="11"/>
    </i>
    <i r="2">
      <x v="15"/>
      <x v="13"/>
    </i>
    <i r="2">
      <x v="20"/>
      <x v="23"/>
    </i>
    <i>
      <x v="10"/>
      <x v="19"/>
      <x v="11"/>
      <x v="1"/>
    </i>
    <i r="1">
      <x v="78"/>
      <x v="11"/>
      <x v="1"/>
    </i>
    <i>
      <x v="11"/>
      <x v="64"/>
      <x v="24"/>
      <x v="11"/>
    </i>
    <i r="2">
      <x v="30"/>
      <x v="8"/>
    </i>
    <i>
      <x v="12"/>
      <x/>
      <x v="24"/>
      <x v="11"/>
    </i>
    <i r="2">
      <x v="30"/>
      <x v="7"/>
    </i>
    <i r="1">
      <x v="78"/>
      <x v="11"/>
      <x v="1"/>
    </i>
    <i r="2">
      <x v="24"/>
      <x v="11"/>
    </i>
    <i r="2">
      <x v="30"/>
      <x v="8"/>
    </i>
    <i>
      <x v="13"/>
      <x v="13"/>
      <x v="24"/>
      <x v="11"/>
    </i>
    <i r="2">
      <x v="30"/>
      <x v="8"/>
    </i>
    <i r="1">
      <x v="21"/>
      <x v="8"/>
      <x v="2"/>
    </i>
    <i r="1">
      <x v="23"/>
      <x v="24"/>
      <x v="11"/>
    </i>
    <i r="2">
      <x v="30"/>
      <x v="8"/>
    </i>
    <i r="1">
      <x v="24"/>
      <x v="24"/>
      <x v="11"/>
    </i>
    <i r="2">
      <x v="30"/>
      <x v="8"/>
    </i>
    <i r="1">
      <x v="25"/>
      <x v="8"/>
      <x v="2"/>
    </i>
    <i r="1">
      <x v="26"/>
      <x v="24"/>
      <x v="11"/>
    </i>
    <i r="2">
      <x v="30"/>
      <x v="8"/>
    </i>
    <i r="1">
      <x v="27"/>
      <x v="8"/>
      <x v="13"/>
    </i>
    <i r="1">
      <x v="28"/>
      <x v="15"/>
      <x v="13"/>
    </i>
    <i r="1">
      <x v="51"/>
      <x v="24"/>
      <x v="11"/>
    </i>
    <i r="2">
      <x v="30"/>
      <x v="8"/>
    </i>
    <i r="1">
      <x v="52"/>
      <x v="11"/>
      <x v="1"/>
    </i>
    <i r="1">
      <x v="54"/>
      <x v="11"/>
      <x v="1"/>
    </i>
    <i r="1">
      <x v="61"/>
      <x v="11"/>
      <x v="1"/>
    </i>
    <i r="1">
      <x v="62"/>
      <x v="24"/>
      <x v="11"/>
    </i>
    <i r="2">
      <x v="30"/>
      <x v="8"/>
    </i>
    <i r="1">
      <x v="63"/>
      <x v="11"/>
      <x v="1"/>
    </i>
    <i r="1">
      <x v="65"/>
      <x v="11"/>
      <x v="1"/>
    </i>
    <i r="1">
      <x v="67"/>
      <x v="24"/>
      <x v="11"/>
    </i>
    <i r="2">
      <x v="30"/>
      <x v="8"/>
    </i>
    <i r="1">
      <x v="68"/>
      <x v="24"/>
      <x v="11"/>
    </i>
    <i r="2">
      <x v="30"/>
      <x v="8"/>
    </i>
    <i r="1">
      <x v="69"/>
      <x v="8"/>
      <x v="2"/>
    </i>
    <i r="1">
      <x v="70"/>
      <x v="8"/>
      <x v="2"/>
    </i>
    <i r="1">
      <x v="71"/>
      <x v="24"/>
      <x v="11"/>
    </i>
    <i r="2">
      <x v="30"/>
      <x v="8"/>
    </i>
    <i r="1">
      <x v="76"/>
      <x v="24"/>
      <x v="11"/>
    </i>
    <i r="2">
      <x v="30"/>
      <x v="8"/>
    </i>
    <i r="1">
      <x v="81"/>
      <x v="24"/>
      <x v="11"/>
    </i>
    <i r="2">
      <x v="30"/>
      <x v="8"/>
    </i>
    <i r="1">
      <x v="82"/>
      <x v="24"/>
      <x v="11"/>
    </i>
    <i r="2">
      <x v="30"/>
      <x v="8"/>
    </i>
    <i r="1">
      <x v="83"/>
      <x v="11"/>
      <x v="1"/>
    </i>
    <i>
      <x v="14"/>
      <x/>
      <x v="11"/>
      <x v="1"/>
    </i>
    <i r="1">
      <x v="1"/>
      <x v="11"/>
      <x v="1"/>
    </i>
    <i r="1">
      <x v="78"/>
      <x v="11"/>
      <x v="1"/>
    </i>
    <i>
      <x v="15"/>
      <x v="1"/>
      <x v="24"/>
      <x v="11"/>
    </i>
    <i r="2">
      <x v="30"/>
      <x v="8"/>
    </i>
    <i r="1">
      <x v="2"/>
      <x v="24"/>
      <x v="11"/>
    </i>
    <i r="2">
      <x v="30"/>
      <x v="8"/>
    </i>
    <i r="1">
      <x v="13"/>
      <x v="16"/>
      <x v="2"/>
    </i>
    <i r="2">
      <x v="24"/>
      <x v="11"/>
    </i>
    <i r="2">
      <x v="30"/>
      <x v="8"/>
    </i>
    <i r="1">
      <x v="14"/>
      <x v="16"/>
      <x v="2"/>
    </i>
    <i r="1">
      <x v="20"/>
      <x v="16"/>
      <x v="2"/>
    </i>
    <i r="1">
      <x v="33"/>
      <x v="4"/>
      <x/>
    </i>
    <i r="3">
      <x v="17"/>
    </i>
    <i r="2">
      <x v="26"/>
      <x v="18"/>
    </i>
    <i r="2">
      <x v="27"/>
      <x v="19"/>
    </i>
    <i r="2">
      <x v="31"/>
      <x v="17"/>
    </i>
    <i r="1">
      <x v="34"/>
      <x v="1"/>
      <x v="5"/>
    </i>
    <i r="2">
      <x v="18"/>
      <x v="4"/>
    </i>
    <i r="2">
      <x v="19"/>
      <x v="3"/>
    </i>
    <i r="2">
      <x v="23"/>
      <x v="10"/>
    </i>
    <i r="2">
      <x v="24"/>
      <x v="11"/>
    </i>
    <i r="2">
      <x v="30"/>
      <x v="9"/>
    </i>
    <i r="1">
      <x v="35"/>
      <x v="1"/>
      <x v="5"/>
    </i>
    <i r="2">
      <x v="18"/>
      <x v="4"/>
    </i>
    <i r="2">
      <x v="19"/>
      <x v="3"/>
    </i>
    <i r="2">
      <x v="23"/>
      <x v="10"/>
    </i>
    <i r="2">
      <x v="24"/>
      <x v="11"/>
    </i>
    <i r="2">
      <x v="30"/>
      <x v="9"/>
    </i>
    <i r="1">
      <x v="36"/>
      <x v="1"/>
      <x v="5"/>
    </i>
    <i r="2">
      <x v="18"/>
      <x v="4"/>
    </i>
    <i r="2">
      <x v="19"/>
      <x v="3"/>
    </i>
    <i r="2">
      <x v="23"/>
      <x v="10"/>
    </i>
    <i r="2">
      <x v="24"/>
      <x v="11"/>
    </i>
    <i r="2">
      <x v="30"/>
      <x v="9"/>
    </i>
    <i r="1">
      <x v="37"/>
      <x v="1"/>
      <x v="5"/>
    </i>
    <i r="2">
      <x v="18"/>
      <x v="4"/>
    </i>
    <i r="2">
      <x v="19"/>
      <x v="3"/>
    </i>
    <i r="2">
      <x v="23"/>
      <x v="10"/>
    </i>
    <i r="2">
      <x v="24"/>
      <x v="11"/>
    </i>
    <i r="2">
      <x v="30"/>
      <x v="9"/>
    </i>
    <i r="1">
      <x v="38"/>
      <x v="1"/>
      <x v="5"/>
    </i>
    <i r="2">
      <x v="18"/>
      <x v="4"/>
    </i>
    <i r="2">
      <x v="19"/>
      <x v="3"/>
    </i>
    <i r="2">
      <x v="23"/>
      <x v="10"/>
    </i>
    <i r="2">
      <x v="24"/>
      <x v="11"/>
    </i>
    <i r="2">
      <x v="30"/>
      <x v="9"/>
    </i>
    <i r="1">
      <x v="39"/>
      <x v="1"/>
      <x v="5"/>
    </i>
    <i r="2">
      <x v="18"/>
      <x v="4"/>
    </i>
    <i r="2">
      <x v="19"/>
      <x v="3"/>
    </i>
    <i r="2">
      <x v="23"/>
      <x v="10"/>
    </i>
    <i r="2">
      <x v="24"/>
      <x v="11"/>
    </i>
    <i r="2">
      <x v="30"/>
      <x v="9"/>
    </i>
    <i r="1">
      <x v="40"/>
      <x v="1"/>
      <x v="5"/>
    </i>
    <i r="2">
      <x v="18"/>
      <x v="4"/>
    </i>
    <i r="2">
      <x v="19"/>
      <x v="3"/>
    </i>
    <i r="2">
      <x v="23"/>
      <x v="10"/>
    </i>
    <i r="2">
      <x v="24"/>
      <x v="11"/>
    </i>
    <i r="2">
      <x v="30"/>
      <x v="9"/>
    </i>
    <i r="1">
      <x v="41"/>
      <x v="1"/>
      <x v="5"/>
    </i>
    <i r="2">
      <x v="18"/>
      <x v="4"/>
    </i>
    <i r="2">
      <x v="19"/>
      <x v="3"/>
    </i>
    <i r="2">
      <x v="23"/>
      <x v="10"/>
    </i>
    <i r="2">
      <x v="24"/>
      <x v="11"/>
    </i>
    <i r="2">
      <x v="30"/>
      <x v="9"/>
    </i>
    <i r="1">
      <x v="42"/>
      <x v="1"/>
      <x v="5"/>
    </i>
    <i r="2">
      <x v="18"/>
      <x v="4"/>
    </i>
    <i r="2">
      <x v="19"/>
      <x v="3"/>
    </i>
    <i r="2">
      <x v="23"/>
      <x v="10"/>
    </i>
    <i r="2">
      <x v="24"/>
      <x v="11"/>
    </i>
    <i r="2">
      <x v="30"/>
      <x v="9"/>
    </i>
    <i r="1">
      <x v="48"/>
      <x v="24"/>
      <x v="11"/>
    </i>
    <i r="2">
      <x v="30"/>
      <x v="8"/>
    </i>
    <i r="1">
      <x v="50"/>
      <x v="24"/>
      <x v="11"/>
    </i>
    <i r="2">
      <x v="30"/>
      <x v="8"/>
    </i>
    <i r="1">
      <x v="51"/>
      <x v="24"/>
      <x v="11"/>
    </i>
    <i r="2">
      <x v="32"/>
      <x v="22"/>
    </i>
    <i r="1">
      <x v="53"/>
      <x v="24"/>
      <x v="11"/>
    </i>
    <i r="2">
      <x v="32"/>
      <x v="22"/>
    </i>
    <i r="1">
      <x v="56"/>
      <x v="24"/>
      <x v="11"/>
    </i>
    <i r="2">
      <x v="30"/>
      <x v="8"/>
    </i>
    <i r="1">
      <x v="57"/>
      <x v="24"/>
      <x v="11"/>
    </i>
    <i r="2">
      <x v="30"/>
      <x v="8"/>
    </i>
    <i r="1">
      <x v="58"/>
      <x v="24"/>
      <x v="11"/>
    </i>
    <i r="2">
      <x v="30"/>
      <x v="8"/>
    </i>
    <i r="1">
      <x v="66"/>
      <x v="11"/>
      <x v="1"/>
    </i>
    <i r="1">
      <x v="72"/>
      <x v="4"/>
      <x/>
    </i>
    <i r="2">
      <x v="27"/>
      <x v="19"/>
    </i>
    <i r="1">
      <x v="73"/>
      <x v="31"/>
      <x v="17"/>
    </i>
    <i r="1">
      <x v="75"/>
      <x v="14"/>
      <x v="11"/>
    </i>
    <i r="2">
      <x v="22"/>
      <x v="6"/>
    </i>
    <i>
      <x v="16"/>
      <x v="64"/>
      <x v="24"/>
      <x v="11"/>
    </i>
    <i r="2">
      <x v="30"/>
      <x v="8"/>
    </i>
    <i>
      <x v="17"/>
      <x v="74"/>
      <x v="11"/>
      <x v="1"/>
    </i>
    <i>
      <x v="18"/>
      <x v="15"/>
      <x v="11"/>
      <x v="1"/>
    </i>
    <i r="1">
      <x v="49"/>
      <x v="24"/>
      <x v="11"/>
    </i>
    <i r="2">
      <x v="30"/>
      <x v="7"/>
    </i>
    <i t="grand">
      <x/>
    </i>
  </rowItems>
  <colFields count="1">
    <field x="-2"/>
  </colFields>
  <colItems count="3">
    <i>
      <x/>
    </i>
    <i i="1">
      <x v="1"/>
    </i>
    <i i="2">
      <x v="2"/>
    </i>
  </colItems>
  <dataFields count="3">
    <dataField name="Sum of Qty Required" fld="6" baseField="0" baseItem="0"/>
    <dataField name="Sum of QTY Transfer" fld="14" baseField="17" baseItem="12"/>
    <dataField name="Sum of New Quantity Required " fld="15" baseField="17" baseItem="1"/>
  </dataFields>
  <formats count="126">
    <format dxfId="287">
      <pivotArea dataOnly="0" labelOnly="1" outline="0" fieldPosition="0">
        <references count="1">
          <reference field="4294967294" count="2">
            <x v="1"/>
            <x v="2"/>
          </reference>
        </references>
      </pivotArea>
    </format>
    <format dxfId="286">
      <pivotArea dataOnly="0" labelOnly="1" offset="A256" fieldPosition="0">
        <references count="1">
          <reference field="0" count="1" defaultSubtotal="1">
            <x v="1"/>
          </reference>
        </references>
      </pivotArea>
    </format>
    <format dxfId="285">
      <pivotArea dataOnly="0" labelOnly="1" offset="A256" fieldPosition="0">
        <references count="1">
          <reference field="0" count="1" defaultSubtotal="1">
            <x v="2"/>
          </reference>
        </references>
      </pivotArea>
    </format>
    <format dxfId="284">
      <pivotArea dataOnly="0" labelOnly="1" offset="A256" fieldPosition="0">
        <references count="1">
          <reference field="0" count="1" defaultSubtotal="1">
            <x v="3"/>
          </reference>
        </references>
      </pivotArea>
    </format>
    <format dxfId="283">
      <pivotArea dataOnly="0" labelOnly="1" offset="A256" fieldPosition="0">
        <references count="1">
          <reference field="0" count="1" defaultSubtotal="1">
            <x v="4"/>
          </reference>
        </references>
      </pivotArea>
    </format>
    <format dxfId="282">
      <pivotArea dataOnly="0" labelOnly="1" offset="A256" fieldPosition="0">
        <references count="1">
          <reference field="0" count="1" defaultSubtotal="1">
            <x v="5"/>
          </reference>
        </references>
      </pivotArea>
    </format>
    <format dxfId="281">
      <pivotArea dataOnly="0" labelOnly="1" offset="A256" fieldPosition="0">
        <references count="1">
          <reference field="0" count="1" defaultSubtotal="1">
            <x v="6"/>
          </reference>
        </references>
      </pivotArea>
    </format>
    <format dxfId="280">
      <pivotArea dataOnly="0" labelOnly="1" offset="A256" fieldPosition="0">
        <references count="1">
          <reference field="0" count="1" defaultSubtotal="1">
            <x v="7"/>
          </reference>
        </references>
      </pivotArea>
    </format>
    <format dxfId="279">
      <pivotArea dataOnly="0" labelOnly="1" offset="A256" fieldPosition="0">
        <references count="1">
          <reference field="0" count="1" defaultSubtotal="1">
            <x v="8"/>
          </reference>
        </references>
      </pivotArea>
    </format>
    <format dxfId="278">
      <pivotArea dataOnly="0" labelOnly="1" offset="A256" fieldPosition="0">
        <references count="1">
          <reference field="0" count="1" defaultSubtotal="1">
            <x v="9"/>
          </reference>
        </references>
      </pivotArea>
    </format>
    <format dxfId="277">
      <pivotArea dataOnly="0" labelOnly="1" offset="A256" fieldPosition="0">
        <references count="1">
          <reference field="0" count="1" defaultSubtotal="1">
            <x v="10"/>
          </reference>
        </references>
      </pivotArea>
    </format>
    <format dxfId="276">
      <pivotArea dataOnly="0" labelOnly="1" offset="A256" fieldPosition="0">
        <references count="1">
          <reference field="0" count="1" defaultSubtotal="1">
            <x v="11"/>
          </reference>
        </references>
      </pivotArea>
    </format>
    <format dxfId="275">
      <pivotArea dataOnly="0" labelOnly="1" offset="A256" fieldPosition="0">
        <references count="1">
          <reference field="0" count="1" defaultSubtotal="1">
            <x v="12"/>
          </reference>
        </references>
      </pivotArea>
    </format>
    <format dxfId="274">
      <pivotArea dataOnly="0" labelOnly="1" offset="A256" fieldPosition="0">
        <references count="1">
          <reference field="0" count="1" defaultSubtotal="1">
            <x v="13"/>
          </reference>
        </references>
      </pivotArea>
    </format>
    <format dxfId="273">
      <pivotArea dataOnly="0" labelOnly="1" offset="A256" fieldPosition="0">
        <references count="1">
          <reference field="0" count="1" defaultSubtotal="1">
            <x v="14"/>
          </reference>
        </references>
      </pivotArea>
    </format>
    <format dxfId="272">
      <pivotArea dataOnly="0" labelOnly="1" offset="A256" fieldPosition="0">
        <references count="1">
          <reference field="0" count="1" defaultSubtotal="1">
            <x v="15"/>
          </reference>
        </references>
      </pivotArea>
    </format>
    <format dxfId="271">
      <pivotArea dataOnly="0" labelOnly="1" offset="A256" fieldPosition="0">
        <references count="1">
          <reference field="0" count="1" defaultSubtotal="1">
            <x v="16"/>
          </reference>
        </references>
      </pivotArea>
    </format>
    <format dxfId="270">
      <pivotArea dataOnly="0" labelOnly="1" offset="A256" fieldPosition="0">
        <references count="1">
          <reference field="0" count="1" defaultSubtotal="1">
            <x v="17"/>
          </reference>
        </references>
      </pivotArea>
    </format>
    <format dxfId="269">
      <pivotArea dataOnly="0" labelOnly="1" offset="A256" fieldPosition="0">
        <references count="1">
          <reference field="0" count="1" defaultSubtotal="1">
            <x v="18"/>
          </reference>
        </references>
      </pivotArea>
    </format>
    <format dxfId="268">
      <pivotArea outline="0" collapsedLevelsAreSubtotals="1" fieldPosition="0"/>
    </format>
    <format dxfId="267">
      <pivotArea dataOnly="0" labelOnly="1" outline="0" fieldPosition="0">
        <references count="1">
          <reference field="4294967294" count="2">
            <x v="1"/>
            <x v="2"/>
          </reference>
        </references>
      </pivotArea>
    </format>
    <format dxfId="266">
      <pivotArea outline="0" collapsedLevelsAreSubtotals="1" fieldPosition="0"/>
    </format>
    <format dxfId="265">
      <pivotArea dataOnly="0" labelOnly="1" outline="0" fieldPosition="0">
        <references count="1">
          <reference field="4294967294" count="2">
            <x v="1"/>
            <x v="2"/>
          </reference>
        </references>
      </pivotArea>
    </format>
    <format dxfId="264">
      <pivotArea outline="0" collapsedLevelsAreSubtotals="1" fieldPosition="0">
        <references count="1">
          <reference field="0" count="0" selected="0" defaultSubtotal="1"/>
        </references>
      </pivotArea>
    </format>
    <format dxfId="263">
      <pivotArea dataOnly="0" labelOnly="1" fieldPosition="0">
        <references count="1">
          <reference field="0" count="0"/>
        </references>
      </pivotArea>
    </format>
    <format dxfId="262">
      <pivotArea dataOnly="0" labelOnly="1" fieldPosition="0">
        <references count="1">
          <reference field="0" count="0" defaultSubtotal="1"/>
        </references>
      </pivotArea>
    </format>
    <format dxfId="261">
      <pivotArea dataOnly="0" labelOnly="1" fieldPosition="0">
        <references count="2">
          <reference field="0" count="1" selected="0">
            <x v="0"/>
          </reference>
          <reference field="4" count="1">
            <x v="11"/>
          </reference>
        </references>
      </pivotArea>
    </format>
    <format dxfId="260">
      <pivotArea dataOnly="0" labelOnly="1" fieldPosition="0">
        <references count="2">
          <reference field="0" count="1" selected="0">
            <x v="1"/>
          </reference>
          <reference field="4" count="3">
            <x v="11"/>
            <x v="12"/>
            <x v="24"/>
          </reference>
        </references>
      </pivotArea>
    </format>
    <format dxfId="259">
      <pivotArea dataOnly="0" labelOnly="1" fieldPosition="0">
        <references count="2">
          <reference field="0" count="1" selected="0">
            <x v="2"/>
          </reference>
          <reference field="4" count="1">
            <x v="11"/>
          </reference>
        </references>
      </pivotArea>
    </format>
    <format dxfId="258">
      <pivotArea dataOnly="0" labelOnly="1" fieldPosition="0">
        <references count="2">
          <reference field="0" count="1" selected="0">
            <x v="3"/>
          </reference>
          <reference field="4" count="9">
            <x v="0"/>
            <x v="5"/>
            <x v="6"/>
            <x v="7"/>
            <x v="9"/>
            <x v="12"/>
            <x v="13"/>
            <x v="17"/>
            <x v="24"/>
          </reference>
        </references>
      </pivotArea>
    </format>
    <format dxfId="257">
      <pivotArea dataOnly="0" labelOnly="1" fieldPosition="0">
        <references count="2">
          <reference field="0" count="1" selected="0">
            <x v="4"/>
          </reference>
          <reference field="4" count="1">
            <x v="11"/>
          </reference>
        </references>
      </pivotArea>
    </format>
    <format dxfId="256">
      <pivotArea dataOnly="0" labelOnly="1" fieldPosition="0">
        <references count="2">
          <reference field="0" count="1" selected="0">
            <x v="5"/>
          </reference>
          <reference field="4" count="1">
            <x v="11"/>
          </reference>
        </references>
      </pivotArea>
    </format>
    <format dxfId="255">
      <pivotArea dataOnly="0" labelOnly="1" fieldPosition="0">
        <references count="2">
          <reference field="0" count="1" selected="0">
            <x v="6"/>
          </reference>
          <reference field="4" count="9">
            <x v="0"/>
            <x v="4"/>
            <x v="6"/>
            <x v="8"/>
            <x v="9"/>
            <x v="11"/>
            <x v="12"/>
            <x v="14"/>
            <x v="24"/>
          </reference>
        </references>
      </pivotArea>
    </format>
    <format dxfId="254">
      <pivotArea dataOnly="0" labelOnly="1" fieldPosition="0">
        <references count="2">
          <reference field="0" count="1" selected="0">
            <x v="7"/>
          </reference>
          <reference field="4" count="3">
            <x v="11"/>
            <x v="12"/>
            <x v="24"/>
          </reference>
        </references>
      </pivotArea>
    </format>
    <format dxfId="253">
      <pivotArea dataOnly="0" labelOnly="1" fieldPosition="0">
        <references count="2">
          <reference field="0" count="1" selected="0">
            <x v="8"/>
          </reference>
          <reference field="4" count="2">
            <x v="12"/>
            <x v="24"/>
          </reference>
        </references>
      </pivotArea>
    </format>
    <format dxfId="252">
      <pivotArea dataOnly="0" labelOnly="1" fieldPosition="0">
        <references count="2">
          <reference field="0" count="1" selected="0">
            <x v="9"/>
          </reference>
          <reference field="4" count="13">
            <x v="0"/>
            <x v="2"/>
            <x v="3"/>
            <x v="4"/>
            <x v="5"/>
            <x v="6"/>
            <x v="9"/>
            <x v="14"/>
            <x v="15"/>
            <x v="20"/>
            <x v="21"/>
            <x v="24"/>
            <x v="25"/>
          </reference>
        </references>
      </pivotArea>
    </format>
    <format dxfId="251">
      <pivotArea dataOnly="0" labelOnly="1" fieldPosition="0">
        <references count="2">
          <reference field="0" count="1" selected="0">
            <x v="10"/>
          </reference>
          <reference field="4" count="1">
            <x v="11"/>
          </reference>
        </references>
      </pivotArea>
    </format>
    <format dxfId="250">
      <pivotArea dataOnly="0" labelOnly="1" fieldPosition="0">
        <references count="2">
          <reference field="0" count="1" selected="0">
            <x v="11"/>
          </reference>
          <reference field="4" count="2">
            <x v="12"/>
            <x v="24"/>
          </reference>
        </references>
      </pivotArea>
    </format>
    <format dxfId="249">
      <pivotArea dataOnly="0" labelOnly="1" fieldPosition="0">
        <references count="2">
          <reference field="0" count="1" selected="0">
            <x v="12"/>
          </reference>
          <reference field="4" count="3">
            <x v="11"/>
            <x v="12"/>
            <x v="24"/>
          </reference>
        </references>
      </pivotArea>
    </format>
    <format dxfId="248">
      <pivotArea dataOnly="0" labelOnly="1" fieldPosition="0">
        <references count="2">
          <reference field="0" count="1" selected="0">
            <x v="13"/>
          </reference>
          <reference field="4" count="5">
            <x v="8"/>
            <x v="11"/>
            <x v="12"/>
            <x v="15"/>
            <x v="24"/>
          </reference>
        </references>
      </pivotArea>
    </format>
    <format dxfId="247">
      <pivotArea dataOnly="0" labelOnly="1" fieldPosition="0">
        <references count="2">
          <reference field="0" count="1" selected="0">
            <x v="14"/>
          </reference>
          <reference field="4" count="1">
            <x v="11"/>
          </reference>
        </references>
      </pivotArea>
    </format>
    <format dxfId="246">
      <pivotArea dataOnly="0" labelOnly="1" fieldPosition="0">
        <references count="2">
          <reference field="0" count="1" selected="0">
            <x v="15"/>
          </reference>
          <reference field="4" count="16">
            <x v="1"/>
            <x v="4"/>
            <x v="5"/>
            <x v="6"/>
            <x v="7"/>
            <x v="8"/>
            <x v="10"/>
            <x v="11"/>
            <x v="12"/>
            <x v="14"/>
            <x v="16"/>
            <x v="18"/>
            <x v="19"/>
            <x v="22"/>
            <x v="23"/>
            <x v="24"/>
          </reference>
        </references>
      </pivotArea>
    </format>
    <format dxfId="245">
      <pivotArea dataOnly="0" labelOnly="1" fieldPosition="0">
        <references count="2">
          <reference field="0" count="1" selected="0">
            <x v="16"/>
          </reference>
          <reference field="4" count="2">
            <x v="12"/>
            <x v="24"/>
          </reference>
        </references>
      </pivotArea>
    </format>
    <format dxfId="244">
      <pivotArea dataOnly="0" labelOnly="1" fieldPosition="0">
        <references count="2">
          <reference field="0" count="1" selected="0">
            <x v="17"/>
          </reference>
          <reference field="4" count="1">
            <x v="11"/>
          </reference>
        </references>
      </pivotArea>
    </format>
    <format dxfId="243">
      <pivotArea dataOnly="0" labelOnly="1" fieldPosition="0">
        <references count="2">
          <reference field="0" count="1" selected="0">
            <x v="18"/>
          </reference>
          <reference field="4" count="3">
            <x v="11"/>
            <x v="12"/>
            <x v="24"/>
          </reference>
        </references>
      </pivotArea>
    </format>
    <format dxfId="242">
      <pivotArea dataOnly="0" labelOnly="1" fieldPosition="0">
        <references count="3">
          <reference field="0" count="1" selected="0">
            <x v="0"/>
          </reference>
          <reference field="4" count="1" selected="0">
            <x v="11"/>
          </reference>
          <reference field="17" count="1">
            <x v="1"/>
          </reference>
        </references>
      </pivotArea>
    </format>
    <format dxfId="241">
      <pivotArea dataOnly="0" labelOnly="1" fieldPosition="0">
        <references count="3">
          <reference field="0" count="1" selected="0">
            <x v="1"/>
          </reference>
          <reference field="4" count="1" selected="0">
            <x v="11"/>
          </reference>
          <reference field="17" count="1">
            <x v="1"/>
          </reference>
        </references>
      </pivotArea>
    </format>
    <format dxfId="240">
      <pivotArea dataOnly="0" labelOnly="1" fieldPosition="0">
        <references count="3">
          <reference field="0" count="1" selected="0">
            <x v="1"/>
          </reference>
          <reference field="4" count="1" selected="0">
            <x v="12"/>
          </reference>
          <reference field="17" count="1">
            <x v="7"/>
          </reference>
        </references>
      </pivotArea>
    </format>
    <format dxfId="239">
      <pivotArea dataOnly="0" labelOnly="1" fieldPosition="0">
        <references count="3">
          <reference field="0" count="1" selected="0">
            <x v="1"/>
          </reference>
          <reference field="4" count="1" selected="0">
            <x v="24"/>
          </reference>
          <reference field="17" count="1">
            <x v="11"/>
          </reference>
        </references>
      </pivotArea>
    </format>
    <format dxfId="238">
      <pivotArea dataOnly="0" labelOnly="1" fieldPosition="0">
        <references count="3">
          <reference field="0" count="1" selected="0">
            <x v="2"/>
          </reference>
          <reference field="4" count="1" selected="0">
            <x v="11"/>
          </reference>
          <reference field="17" count="1">
            <x v="1"/>
          </reference>
        </references>
      </pivotArea>
    </format>
    <format dxfId="237">
      <pivotArea dataOnly="0" labelOnly="1" fieldPosition="0">
        <references count="3">
          <reference field="0" count="1" selected="0">
            <x v="3"/>
          </reference>
          <reference field="4" count="1" selected="0">
            <x v="0"/>
          </reference>
          <reference field="17" count="1">
            <x v="15"/>
          </reference>
        </references>
      </pivotArea>
    </format>
    <format dxfId="236">
      <pivotArea dataOnly="0" labelOnly="1" fieldPosition="0">
        <references count="3">
          <reference field="0" count="1" selected="0">
            <x v="3"/>
          </reference>
          <reference field="4" count="1" selected="0">
            <x v="5"/>
          </reference>
          <reference field="17" count="1">
            <x v="15"/>
          </reference>
        </references>
      </pivotArea>
    </format>
    <format dxfId="235">
      <pivotArea dataOnly="0" labelOnly="1" fieldPosition="0">
        <references count="3">
          <reference field="0" count="1" selected="0">
            <x v="3"/>
          </reference>
          <reference field="4" count="1" selected="0">
            <x v="6"/>
          </reference>
          <reference field="17" count="1">
            <x v="14"/>
          </reference>
        </references>
      </pivotArea>
    </format>
    <format dxfId="234">
      <pivotArea dataOnly="0" labelOnly="1" fieldPosition="0">
        <references count="3">
          <reference field="0" count="1" selected="0">
            <x v="3"/>
          </reference>
          <reference field="4" count="1" selected="0">
            <x v="7"/>
          </reference>
          <reference field="17" count="1">
            <x v="15"/>
          </reference>
        </references>
      </pivotArea>
    </format>
    <format dxfId="233">
      <pivotArea dataOnly="0" labelOnly="1" fieldPosition="0">
        <references count="3">
          <reference field="0" count="1" selected="0">
            <x v="3"/>
          </reference>
          <reference field="4" count="1" selected="0">
            <x v="9"/>
          </reference>
          <reference field="17" count="1">
            <x v="9"/>
          </reference>
        </references>
      </pivotArea>
    </format>
    <format dxfId="232">
      <pivotArea dataOnly="0" labelOnly="1" fieldPosition="0">
        <references count="3">
          <reference field="0" count="1" selected="0">
            <x v="3"/>
          </reference>
          <reference field="4" count="1" selected="0">
            <x v="12"/>
          </reference>
          <reference field="17" count="1">
            <x v="7"/>
          </reference>
        </references>
      </pivotArea>
    </format>
    <format dxfId="231">
      <pivotArea dataOnly="0" labelOnly="1" fieldPosition="0">
        <references count="3">
          <reference field="0" count="1" selected="0">
            <x v="3"/>
          </reference>
          <reference field="4" count="1" selected="0">
            <x v="13"/>
          </reference>
          <reference field="17" count="1">
            <x v="8"/>
          </reference>
        </references>
      </pivotArea>
    </format>
    <format dxfId="230">
      <pivotArea dataOnly="0" labelOnly="1" fieldPosition="0">
        <references count="3">
          <reference field="0" count="1" selected="0">
            <x v="3"/>
          </reference>
          <reference field="4" count="1" selected="0">
            <x v="17"/>
          </reference>
          <reference field="17" count="1">
            <x v="12"/>
          </reference>
        </references>
      </pivotArea>
    </format>
    <format dxfId="229">
      <pivotArea dataOnly="0" labelOnly="1" fieldPosition="0">
        <references count="3">
          <reference field="0" count="1" selected="0">
            <x v="3"/>
          </reference>
          <reference field="4" count="1" selected="0">
            <x v="24"/>
          </reference>
          <reference field="17" count="1">
            <x v="11"/>
          </reference>
        </references>
      </pivotArea>
    </format>
    <format dxfId="228">
      <pivotArea dataOnly="0" labelOnly="1" fieldPosition="0">
        <references count="3">
          <reference field="0" count="1" selected="0">
            <x v="4"/>
          </reference>
          <reference field="4" count="1" selected="0">
            <x v="11"/>
          </reference>
          <reference field="17" count="1">
            <x v="1"/>
          </reference>
        </references>
      </pivotArea>
    </format>
    <format dxfId="227">
      <pivotArea dataOnly="0" labelOnly="1" fieldPosition="0">
        <references count="3">
          <reference field="0" count="1" selected="0">
            <x v="5"/>
          </reference>
          <reference field="4" count="1" selected="0">
            <x v="11"/>
          </reference>
          <reference field="17" count="1">
            <x v="1"/>
          </reference>
        </references>
      </pivotArea>
    </format>
    <format dxfId="226">
      <pivotArea dataOnly="0" labelOnly="1" fieldPosition="0">
        <references count="3">
          <reference field="0" count="1" selected="0">
            <x v="6"/>
          </reference>
          <reference field="4" count="1" selected="0">
            <x v="0"/>
          </reference>
          <reference field="17" count="1">
            <x v="15"/>
          </reference>
        </references>
      </pivotArea>
    </format>
    <format dxfId="225">
      <pivotArea dataOnly="0" labelOnly="1" fieldPosition="0">
        <references count="3">
          <reference field="0" count="1" selected="0">
            <x v="6"/>
          </reference>
          <reference field="4" count="1" selected="0">
            <x v="4"/>
          </reference>
          <reference field="17" count="1">
            <x v="0"/>
          </reference>
        </references>
      </pivotArea>
    </format>
    <format dxfId="224">
      <pivotArea dataOnly="0" labelOnly="1" fieldPosition="0">
        <references count="3">
          <reference field="0" count="1" selected="0">
            <x v="6"/>
          </reference>
          <reference field="4" count="1" selected="0">
            <x v="6"/>
          </reference>
          <reference field="17" count="1">
            <x v="14"/>
          </reference>
        </references>
      </pivotArea>
    </format>
    <format dxfId="223">
      <pivotArea dataOnly="0" labelOnly="1" fieldPosition="0">
        <references count="3">
          <reference field="0" count="1" selected="0">
            <x v="6"/>
          </reference>
          <reference field="4" count="1" selected="0">
            <x v="8"/>
          </reference>
          <reference field="17" count="2">
            <x v="2"/>
            <x v="7"/>
          </reference>
        </references>
      </pivotArea>
    </format>
    <format dxfId="222">
      <pivotArea dataOnly="0" labelOnly="1" fieldPosition="0">
        <references count="3">
          <reference field="0" count="1" selected="0">
            <x v="6"/>
          </reference>
          <reference field="4" count="1" selected="0">
            <x v="9"/>
          </reference>
          <reference field="17" count="1">
            <x v="9"/>
          </reference>
        </references>
      </pivotArea>
    </format>
    <format dxfId="221">
      <pivotArea dataOnly="0" labelOnly="1" fieldPosition="0">
        <references count="3">
          <reference field="0" count="1" selected="0">
            <x v="6"/>
          </reference>
          <reference field="4" count="1" selected="0">
            <x v="11"/>
          </reference>
          <reference field="17" count="1">
            <x v="1"/>
          </reference>
        </references>
      </pivotArea>
    </format>
    <format dxfId="220">
      <pivotArea dataOnly="0" labelOnly="1" fieldPosition="0">
        <references count="3">
          <reference field="0" count="1" selected="0">
            <x v="6"/>
          </reference>
          <reference field="4" count="1" selected="0">
            <x v="12"/>
          </reference>
          <reference field="17" count="1">
            <x v="7"/>
          </reference>
        </references>
      </pivotArea>
    </format>
    <format dxfId="219">
      <pivotArea dataOnly="0" labelOnly="1" fieldPosition="0">
        <references count="3">
          <reference field="0" count="1" selected="0">
            <x v="6"/>
          </reference>
          <reference field="4" count="1" selected="0">
            <x v="14"/>
          </reference>
          <reference field="17" count="1">
            <x v="11"/>
          </reference>
        </references>
      </pivotArea>
    </format>
    <format dxfId="218">
      <pivotArea dataOnly="0" labelOnly="1" fieldPosition="0">
        <references count="3">
          <reference field="0" count="1" selected="0">
            <x v="6"/>
          </reference>
          <reference field="4" count="1" selected="0">
            <x v="24"/>
          </reference>
          <reference field="17" count="1">
            <x v="11"/>
          </reference>
        </references>
      </pivotArea>
    </format>
    <format dxfId="217">
      <pivotArea dataOnly="0" labelOnly="1" fieldPosition="0">
        <references count="3">
          <reference field="0" count="1" selected="0">
            <x v="7"/>
          </reference>
          <reference field="4" count="1" selected="0">
            <x v="11"/>
          </reference>
          <reference field="17" count="1">
            <x v="1"/>
          </reference>
        </references>
      </pivotArea>
    </format>
    <format dxfId="216">
      <pivotArea dataOnly="0" labelOnly="1" fieldPosition="0">
        <references count="3">
          <reference field="0" count="1" selected="0">
            <x v="7"/>
          </reference>
          <reference field="4" count="1" selected="0">
            <x v="12"/>
          </reference>
          <reference field="17" count="1">
            <x v="8"/>
          </reference>
        </references>
      </pivotArea>
    </format>
    <format dxfId="215">
      <pivotArea dataOnly="0" labelOnly="1" fieldPosition="0">
        <references count="3">
          <reference field="0" count="1" selected="0">
            <x v="7"/>
          </reference>
          <reference field="4" count="1" selected="0">
            <x v="24"/>
          </reference>
          <reference field="17" count="1">
            <x v="11"/>
          </reference>
        </references>
      </pivotArea>
    </format>
    <format dxfId="214">
      <pivotArea dataOnly="0" labelOnly="1" fieldPosition="0">
        <references count="3">
          <reference field="0" count="1" selected="0">
            <x v="8"/>
          </reference>
          <reference field="4" count="1" selected="0">
            <x v="12"/>
          </reference>
          <reference field="17" count="1">
            <x v="7"/>
          </reference>
        </references>
      </pivotArea>
    </format>
    <format dxfId="213">
      <pivotArea dataOnly="0" labelOnly="1" fieldPosition="0">
        <references count="3">
          <reference field="0" count="1" selected="0">
            <x v="8"/>
          </reference>
          <reference field="4" count="1" selected="0">
            <x v="24"/>
          </reference>
          <reference field="17" count="1">
            <x v="11"/>
          </reference>
        </references>
      </pivotArea>
    </format>
    <format dxfId="212">
      <pivotArea dataOnly="0" labelOnly="1" fieldPosition="0">
        <references count="3">
          <reference field="0" count="1" selected="0">
            <x v="9"/>
          </reference>
          <reference field="4" count="1" selected="0">
            <x v="0"/>
          </reference>
          <reference field="17" count="1">
            <x v="15"/>
          </reference>
        </references>
      </pivotArea>
    </format>
    <format dxfId="211">
      <pivotArea dataOnly="0" labelOnly="1" fieldPosition="0">
        <references count="3">
          <reference field="0" count="1" selected="0">
            <x v="9"/>
          </reference>
          <reference field="4" count="1" selected="0">
            <x v="2"/>
          </reference>
          <reference field="17" count="1">
            <x v="5"/>
          </reference>
        </references>
      </pivotArea>
    </format>
    <format dxfId="210">
      <pivotArea dataOnly="0" labelOnly="1" fieldPosition="0">
        <references count="3">
          <reference field="0" count="1" selected="0">
            <x v="9"/>
          </reference>
          <reference field="4" count="1" selected="0">
            <x v="3"/>
          </reference>
          <reference field="17" count="1">
            <x v="4"/>
          </reference>
        </references>
      </pivotArea>
    </format>
    <format dxfId="209">
      <pivotArea dataOnly="0" labelOnly="1" fieldPosition="0">
        <references count="3">
          <reference field="0" count="1" selected="0">
            <x v="9"/>
          </reference>
          <reference field="4" count="1" selected="0">
            <x v="4"/>
          </reference>
          <reference field="17" count="1">
            <x v="0"/>
          </reference>
        </references>
      </pivotArea>
    </format>
    <format dxfId="208">
      <pivotArea dataOnly="0" labelOnly="1" fieldPosition="0">
        <references count="3">
          <reference field="0" count="1" selected="0">
            <x v="9"/>
          </reference>
          <reference field="4" count="1" selected="0">
            <x v="5"/>
          </reference>
          <reference field="17" count="1">
            <x v="15"/>
          </reference>
        </references>
      </pivotArea>
    </format>
    <format dxfId="207">
      <pivotArea dataOnly="0" labelOnly="1" fieldPosition="0">
        <references count="3">
          <reference field="0" count="1" selected="0">
            <x v="9"/>
          </reference>
          <reference field="4" count="1" selected="0">
            <x v="6"/>
          </reference>
          <reference field="17" count="1">
            <x v="14"/>
          </reference>
        </references>
      </pivotArea>
    </format>
    <format dxfId="206">
      <pivotArea dataOnly="0" labelOnly="1" fieldPosition="0">
        <references count="3">
          <reference field="0" count="1" selected="0">
            <x v="9"/>
          </reference>
          <reference field="4" count="1" selected="0">
            <x v="9"/>
          </reference>
          <reference field="17" count="1">
            <x v="9"/>
          </reference>
        </references>
      </pivotArea>
    </format>
    <format dxfId="205">
      <pivotArea dataOnly="0" labelOnly="1" fieldPosition="0">
        <references count="3">
          <reference field="0" count="1" selected="0">
            <x v="9"/>
          </reference>
          <reference field="4" count="1" selected="0">
            <x v="14"/>
          </reference>
          <reference field="17" count="1">
            <x v="11"/>
          </reference>
        </references>
      </pivotArea>
    </format>
    <format dxfId="204">
      <pivotArea dataOnly="0" labelOnly="1" fieldPosition="0">
        <references count="3">
          <reference field="0" count="1" selected="0">
            <x v="9"/>
          </reference>
          <reference field="4" count="1" selected="0">
            <x v="15"/>
          </reference>
          <reference field="17" count="1">
            <x v="13"/>
          </reference>
        </references>
      </pivotArea>
    </format>
    <format dxfId="203">
      <pivotArea dataOnly="0" labelOnly="1" fieldPosition="0">
        <references count="3">
          <reference field="0" count="1" selected="0">
            <x v="9"/>
          </reference>
          <reference field="4" count="1" selected="0">
            <x v="20"/>
          </reference>
          <reference field="17" count="1">
            <x v="15"/>
          </reference>
        </references>
      </pivotArea>
    </format>
    <format dxfId="202">
      <pivotArea dataOnly="0" labelOnly="1" fieldPosition="0">
        <references count="3">
          <reference field="0" count="1" selected="0">
            <x v="9"/>
          </reference>
          <reference field="4" count="1" selected="0">
            <x v="21"/>
          </reference>
          <reference field="17" count="1">
            <x v="15"/>
          </reference>
        </references>
      </pivotArea>
    </format>
    <format dxfId="201">
      <pivotArea dataOnly="0" labelOnly="1" fieldPosition="0">
        <references count="3">
          <reference field="0" count="1" selected="0">
            <x v="9"/>
          </reference>
          <reference field="4" count="1" selected="0">
            <x v="24"/>
          </reference>
          <reference field="17" count="1">
            <x v="11"/>
          </reference>
        </references>
      </pivotArea>
    </format>
    <format dxfId="200">
      <pivotArea dataOnly="0" labelOnly="1" fieldPosition="0">
        <references count="3">
          <reference field="0" count="1" selected="0">
            <x v="9"/>
          </reference>
          <reference field="4" count="1" selected="0">
            <x v="25"/>
          </reference>
          <reference field="17" count="1">
            <x v="15"/>
          </reference>
        </references>
      </pivotArea>
    </format>
    <format dxfId="199">
      <pivotArea dataOnly="0" labelOnly="1" fieldPosition="0">
        <references count="3">
          <reference field="0" count="1" selected="0">
            <x v="10"/>
          </reference>
          <reference field="4" count="1" selected="0">
            <x v="11"/>
          </reference>
          <reference field="17" count="1">
            <x v="1"/>
          </reference>
        </references>
      </pivotArea>
    </format>
    <format dxfId="198">
      <pivotArea dataOnly="0" labelOnly="1" fieldPosition="0">
        <references count="3">
          <reference field="0" count="1" selected="0">
            <x v="11"/>
          </reference>
          <reference field="4" count="1" selected="0">
            <x v="12"/>
          </reference>
          <reference field="17" count="1">
            <x v="8"/>
          </reference>
        </references>
      </pivotArea>
    </format>
    <format dxfId="197">
      <pivotArea dataOnly="0" labelOnly="1" fieldPosition="0">
        <references count="3">
          <reference field="0" count="1" selected="0">
            <x v="11"/>
          </reference>
          <reference field="4" count="1" selected="0">
            <x v="24"/>
          </reference>
          <reference field="17" count="1">
            <x v="11"/>
          </reference>
        </references>
      </pivotArea>
    </format>
    <format dxfId="196">
      <pivotArea dataOnly="0" labelOnly="1" fieldPosition="0">
        <references count="3">
          <reference field="0" count="1" selected="0">
            <x v="12"/>
          </reference>
          <reference field="4" count="1" selected="0">
            <x v="11"/>
          </reference>
          <reference field="17" count="1">
            <x v="1"/>
          </reference>
        </references>
      </pivotArea>
    </format>
    <format dxfId="195">
      <pivotArea dataOnly="0" labelOnly="1" fieldPosition="0">
        <references count="3">
          <reference field="0" count="1" selected="0">
            <x v="12"/>
          </reference>
          <reference field="4" count="1" selected="0">
            <x v="12"/>
          </reference>
          <reference field="17" count="2">
            <x v="7"/>
            <x v="8"/>
          </reference>
        </references>
      </pivotArea>
    </format>
    <format dxfId="194">
      <pivotArea dataOnly="0" labelOnly="1" fieldPosition="0">
        <references count="3">
          <reference field="0" count="1" selected="0">
            <x v="12"/>
          </reference>
          <reference field="4" count="1" selected="0">
            <x v="24"/>
          </reference>
          <reference field="17" count="1">
            <x v="11"/>
          </reference>
        </references>
      </pivotArea>
    </format>
    <format dxfId="193">
      <pivotArea dataOnly="0" labelOnly="1" fieldPosition="0">
        <references count="3">
          <reference field="0" count="1" selected="0">
            <x v="13"/>
          </reference>
          <reference field="4" count="1" selected="0">
            <x v="8"/>
          </reference>
          <reference field="17" count="1">
            <x v="2"/>
          </reference>
        </references>
      </pivotArea>
    </format>
    <format dxfId="192">
      <pivotArea dataOnly="0" labelOnly="1" fieldPosition="0">
        <references count="3">
          <reference field="0" count="1" selected="0">
            <x v="13"/>
          </reference>
          <reference field="4" count="1" selected="0">
            <x v="11"/>
          </reference>
          <reference field="17" count="1">
            <x v="1"/>
          </reference>
        </references>
      </pivotArea>
    </format>
    <format dxfId="191">
      <pivotArea dataOnly="0" labelOnly="1" fieldPosition="0">
        <references count="3">
          <reference field="0" count="1" selected="0">
            <x v="13"/>
          </reference>
          <reference field="4" count="1" selected="0">
            <x v="12"/>
          </reference>
          <reference field="17" count="1">
            <x v="8"/>
          </reference>
        </references>
      </pivotArea>
    </format>
    <format dxfId="190">
      <pivotArea dataOnly="0" labelOnly="1" fieldPosition="0">
        <references count="3">
          <reference field="0" count="1" selected="0">
            <x v="13"/>
          </reference>
          <reference field="4" count="1" selected="0">
            <x v="15"/>
          </reference>
          <reference field="17" count="1">
            <x v="13"/>
          </reference>
        </references>
      </pivotArea>
    </format>
    <format dxfId="189">
      <pivotArea dataOnly="0" labelOnly="1" fieldPosition="0">
        <references count="3">
          <reference field="0" count="1" selected="0">
            <x v="13"/>
          </reference>
          <reference field="4" count="1" selected="0">
            <x v="24"/>
          </reference>
          <reference field="17" count="1">
            <x v="11"/>
          </reference>
        </references>
      </pivotArea>
    </format>
    <format dxfId="188">
      <pivotArea dataOnly="0" labelOnly="1" fieldPosition="0">
        <references count="3">
          <reference field="0" count="1" selected="0">
            <x v="14"/>
          </reference>
          <reference field="4" count="1" selected="0">
            <x v="11"/>
          </reference>
          <reference field="17" count="1">
            <x v="1"/>
          </reference>
        </references>
      </pivotArea>
    </format>
    <format dxfId="187">
      <pivotArea dataOnly="0" labelOnly="1" fieldPosition="0">
        <references count="3">
          <reference field="0" count="1" selected="0">
            <x v="15"/>
          </reference>
          <reference field="4" count="1" selected="0">
            <x v="1"/>
          </reference>
          <reference field="17" count="1">
            <x v="5"/>
          </reference>
        </references>
      </pivotArea>
    </format>
    <format dxfId="186">
      <pivotArea dataOnly="0" labelOnly="1" fieldPosition="0">
        <references count="3">
          <reference field="0" count="1" selected="0">
            <x v="15"/>
          </reference>
          <reference field="4" count="1" selected="0">
            <x v="4"/>
          </reference>
          <reference field="17" count="1">
            <x v="0"/>
          </reference>
        </references>
      </pivotArea>
    </format>
    <format dxfId="185">
      <pivotArea dataOnly="0" labelOnly="1" fieldPosition="0">
        <references count="3">
          <reference field="0" count="1" selected="0">
            <x v="15"/>
          </reference>
          <reference field="4" count="1" selected="0">
            <x v="5"/>
          </reference>
          <reference field="17" count="1">
            <x v="15"/>
          </reference>
        </references>
      </pivotArea>
    </format>
    <format dxfId="184">
      <pivotArea dataOnly="0" labelOnly="1" fieldPosition="0">
        <references count="3">
          <reference field="0" count="1" selected="0">
            <x v="15"/>
          </reference>
          <reference field="4" count="1" selected="0">
            <x v="6"/>
          </reference>
          <reference field="17" count="1">
            <x v="14"/>
          </reference>
        </references>
      </pivotArea>
    </format>
    <format dxfId="183">
      <pivotArea dataOnly="0" labelOnly="1" fieldPosition="0">
        <references count="3">
          <reference field="0" count="1" selected="0">
            <x v="15"/>
          </reference>
          <reference field="4" count="1" selected="0">
            <x v="7"/>
          </reference>
          <reference field="17" count="1">
            <x v="15"/>
          </reference>
        </references>
      </pivotArea>
    </format>
    <format dxfId="182">
      <pivotArea dataOnly="0" labelOnly="1" fieldPosition="0">
        <references count="3">
          <reference field="0" count="1" selected="0">
            <x v="15"/>
          </reference>
          <reference field="4" count="1" selected="0">
            <x v="8"/>
          </reference>
          <reference field="17" count="2">
            <x v="2"/>
            <x v="15"/>
          </reference>
        </references>
      </pivotArea>
    </format>
    <format dxfId="181">
      <pivotArea dataOnly="0" labelOnly="1" fieldPosition="0">
        <references count="3">
          <reference field="0" count="1" selected="0">
            <x v="15"/>
          </reference>
          <reference field="4" count="1" selected="0">
            <x v="10"/>
          </reference>
          <reference field="17" count="1">
            <x v="9"/>
          </reference>
        </references>
      </pivotArea>
    </format>
    <format dxfId="180">
      <pivotArea dataOnly="0" labelOnly="1" fieldPosition="0">
        <references count="3">
          <reference field="0" count="1" selected="0">
            <x v="15"/>
          </reference>
          <reference field="4" count="1" selected="0">
            <x v="11"/>
          </reference>
          <reference field="17" count="1">
            <x v="1"/>
          </reference>
        </references>
      </pivotArea>
    </format>
    <format dxfId="179">
      <pivotArea dataOnly="0" labelOnly="1" fieldPosition="0">
        <references count="3">
          <reference field="0" count="1" selected="0">
            <x v="15"/>
          </reference>
          <reference field="4" count="1" selected="0">
            <x v="12"/>
          </reference>
          <reference field="17" count="1">
            <x v="8"/>
          </reference>
        </references>
      </pivotArea>
    </format>
    <format dxfId="178">
      <pivotArea dataOnly="0" labelOnly="1" fieldPosition="0">
        <references count="3">
          <reference field="0" count="1" selected="0">
            <x v="15"/>
          </reference>
          <reference field="4" count="1" selected="0">
            <x v="14"/>
          </reference>
          <reference field="17" count="1">
            <x v="8"/>
          </reference>
        </references>
      </pivotArea>
    </format>
    <format dxfId="177">
      <pivotArea dataOnly="0" labelOnly="1" fieldPosition="0">
        <references count="3">
          <reference field="0" count="1" selected="0">
            <x v="15"/>
          </reference>
          <reference field="4" count="1" selected="0">
            <x v="16"/>
          </reference>
          <reference field="17" count="1">
            <x v="2"/>
          </reference>
        </references>
      </pivotArea>
    </format>
    <format dxfId="176">
      <pivotArea dataOnly="0" labelOnly="1" fieldPosition="0">
        <references count="3">
          <reference field="0" count="1" selected="0">
            <x v="15"/>
          </reference>
          <reference field="4" count="1" selected="0">
            <x v="18"/>
          </reference>
          <reference field="17" count="1">
            <x v="4"/>
          </reference>
        </references>
      </pivotArea>
    </format>
    <format dxfId="175">
      <pivotArea dataOnly="0" labelOnly="1" fieldPosition="0">
        <references count="3">
          <reference field="0" count="1" selected="0">
            <x v="15"/>
          </reference>
          <reference field="4" count="1" selected="0">
            <x v="19"/>
          </reference>
          <reference field="17" count="1">
            <x v="3"/>
          </reference>
        </references>
      </pivotArea>
    </format>
    <format dxfId="174">
      <pivotArea dataOnly="0" labelOnly="1" fieldPosition="0">
        <references count="3">
          <reference field="0" count="1" selected="0">
            <x v="15"/>
          </reference>
          <reference field="4" count="1" selected="0">
            <x v="22"/>
          </reference>
          <reference field="17" count="1">
            <x v="6"/>
          </reference>
        </references>
      </pivotArea>
    </format>
    <format dxfId="173">
      <pivotArea dataOnly="0" labelOnly="1" fieldPosition="0">
        <references count="3">
          <reference field="0" count="1" selected="0">
            <x v="15"/>
          </reference>
          <reference field="4" count="1" selected="0">
            <x v="23"/>
          </reference>
          <reference field="17" count="1">
            <x v="10"/>
          </reference>
        </references>
      </pivotArea>
    </format>
    <format dxfId="172">
      <pivotArea dataOnly="0" labelOnly="1" fieldPosition="0">
        <references count="3">
          <reference field="0" count="1" selected="0">
            <x v="15"/>
          </reference>
          <reference field="4" count="1" selected="0">
            <x v="24"/>
          </reference>
          <reference field="17" count="1">
            <x v="11"/>
          </reference>
        </references>
      </pivotArea>
    </format>
    <format dxfId="171">
      <pivotArea dataOnly="0" labelOnly="1" fieldPosition="0">
        <references count="3">
          <reference field="0" count="1" selected="0">
            <x v="16"/>
          </reference>
          <reference field="4" count="1" selected="0">
            <x v="12"/>
          </reference>
          <reference field="17" count="1">
            <x v="8"/>
          </reference>
        </references>
      </pivotArea>
    </format>
    <format dxfId="170">
      <pivotArea dataOnly="0" labelOnly="1" fieldPosition="0">
        <references count="3">
          <reference field="0" count="1" selected="0">
            <x v="16"/>
          </reference>
          <reference field="4" count="1" selected="0">
            <x v="24"/>
          </reference>
          <reference field="17" count="1">
            <x v="11"/>
          </reference>
        </references>
      </pivotArea>
    </format>
    <format dxfId="169">
      <pivotArea dataOnly="0" labelOnly="1" fieldPosition="0">
        <references count="3">
          <reference field="0" count="1" selected="0">
            <x v="17"/>
          </reference>
          <reference field="4" count="1" selected="0">
            <x v="11"/>
          </reference>
          <reference field="17" count="1">
            <x v="1"/>
          </reference>
        </references>
      </pivotArea>
    </format>
    <format dxfId="168">
      <pivotArea dataOnly="0" labelOnly="1" fieldPosition="0">
        <references count="3">
          <reference field="0" count="1" selected="0">
            <x v="18"/>
          </reference>
          <reference field="4" count="1" selected="0">
            <x v="11"/>
          </reference>
          <reference field="17" count="1">
            <x v="1"/>
          </reference>
        </references>
      </pivotArea>
    </format>
    <format dxfId="167">
      <pivotArea dataOnly="0" labelOnly="1" fieldPosition="0">
        <references count="3">
          <reference field="0" count="1" selected="0">
            <x v="18"/>
          </reference>
          <reference field="4" count="1" selected="0">
            <x v="12"/>
          </reference>
          <reference field="17" count="1">
            <x v="7"/>
          </reference>
        </references>
      </pivotArea>
    </format>
    <format dxfId="166">
      <pivotArea dataOnly="0" labelOnly="1" fieldPosition="0">
        <references count="3">
          <reference field="0" count="1" selected="0">
            <x v="18"/>
          </reference>
          <reference field="4" count="1" selected="0">
            <x v="24"/>
          </reference>
          <reference field="17" count="1">
            <x v="11"/>
          </reference>
        </references>
      </pivotArea>
    </format>
    <format dxfId="165">
      <pivotArea outline="0" collapsedLevelsAreSubtotals="1" fieldPosition="0"/>
    </format>
    <format dxfId="164">
      <pivotArea dataOnly="0" labelOnly="1" outline="0" fieldPosition="0">
        <references count="1">
          <reference field="4294967294" count="3">
            <x v="0"/>
            <x v="1"/>
            <x v="2"/>
          </reference>
        </references>
      </pivotArea>
    </format>
    <format dxfId="163">
      <pivotArea outline="0" fieldPosition="0">
        <references count="1">
          <reference field="4294967294" count="1" selected="0">
            <x v="1"/>
          </reference>
        </references>
      </pivotArea>
    </format>
    <format dxfId="162">
      <pivotArea dataOnly="0" labelOnly="1" outline="0" fieldPosition="0">
        <references count="1">
          <reference field="4294967294" count="1">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3DDC96D-7319-4B68-9212-0C09EFFCD913}" name="PivotTable2" cacheId="5" applyNumberFormats="0" applyBorderFormats="0" applyFontFormats="0" applyPatternFormats="0" applyAlignmentFormats="0" applyWidthHeightFormats="1" dataCaption="Values" updatedVersion="8" minRefreshableVersion="3" showDrill="0" rowGrandTotals="0" colGrandTotals="0" itemPrintTitles="1" createdVersion="8" indent="0" compact="0" compactData="0" multipleFieldFilters="0">
  <location ref="L3:N20" firstHeaderRow="1" firstDataRow="1" firstDataCol="2"/>
  <pivotFields count="40">
    <pivotField axis="axisRow" compact="0" outline="0" showAll="0" defaultSubtotal="0">
      <items count="19">
        <item x="0"/>
        <item x="1"/>
        <item x="2"/>
        <item x="3"/>
        <item x="4"/>
        <item x="5"/>
        <item x="6"/>
        <item x="7"/>
        <item x="8"/>
        <item x="9"/>
        <item x="10"/>
        <item x="11"/>
        <item x="12"/>
        <item x="13"/>
        <item x="14"/>
        <item x="15"/>
        <item x="16"/>
        <item x="17"/>
        <item x="18"/>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axis="axisRow" compact="0" outline="0" showAll="0" defaultSubtotal="0">
      <items count="24">
        <item h="1" x="6"/>
        <item h="1" x="0"/>
        <item h="1" x="11"/>
        <item h="1" x="20"/>
        <item h="1" x="15"/>
        <item h="1" x="14"/>
        <item h="1" x="18"/>
        <item x="1"/>
        <item x="12"/>
        <item x="7"/>
        <item h="1" x="21"/>
        <item h="1" x="2"/>
        <item h="1" x="8"/>
        <item h="1" x="16"/>
        <item h="1" m="1" x="22"/>
        <item h="1" m="1" x="23"/>
        <item h="1" x="9"/>
        <item h="1" x="3"/>
        <item h="1" x="4"/>
        <item h="1" x="5"/>
        <item h="1" x="10"/>
        <item h="1" x="13"/>
        <item h="1" x="19"/>
        <item h="1" x="17"/>
      </items>
    </pivotField>
    <pivotField compact="0" outline="0" showAll="0" defaultSubtotal="0"/>
    <pivotField compact="0" outline="0" showAll="0" defaultSubtotal="0"/>
    <pivotField compact="0" outline="0" showAll="0" defaultSubtotal="0"/>
    <pivotField compact="0" numFmtId="44"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0"/>
    <field x="17"/>
  </rowFields>
  <rowItems count="17">
    <i>
      <x v="1"/>
      <x v="7"/>
    </i>
    <i>
      <x v="3"/>
      <x v="7"/>
    </i>
    <i r="1">
      <x v="9"/>
    </i>
    <i>
      <x v="6"/>
      <x v="7"/>
    </i>
    <i r="1">
      <x v="8"/>
    </i>
    <i r="1">
      <x v="9"/>
    </i>
    <i>
      <x v="7"/>
      <x v="8"/>
    </i>
    <i>
      <x v="8"/>
      <x v="7"/>
    </i>
    <i>
      <x v="9"/>
      <x v="9"/>
    </i>
    <i>
      <x v="11"/>
      <x v="8"/>
    </i>
    <i>
      <x v="12"/>
      <x v="7"/>
    </i>
    <i r="1">
      <x v="8"/>
    </i>
    <i>
      <x v="13"/>
      <x v="8"/>
    </i>
    <i>
      <x v="15"/>
      <x v="8"/>
    </i>
    <i r="1">
      <x v="9"/>
    </i>
    <i>
      <x v="16"/>
      <x v="8"/>
    </i>
    <i>
      <x v="18"/>
      <x v="7"/>
    </i>
  </rowItems>
  <colItems count="1">
    <i/>
  </colItems>
  <dataFields count="1">
    <dataField name="Count of New Quantity Required " fld="15" subtotal="count" baseField="0" baseItem="0"/>
  </dataFields>
  <formats count="8">
    <format dxfId="32">
      <pivotArea dataOnly="0" labelOnly="1" outline="0" axis="axisValues" fieldPosition="0"/>
    </format>
    <format dxfId="31">
      <pivotArea dataOnly="0" labelOnly="1" outline="0" fieldPosition="0">
        <references count="1">
          <reference field="0" count="1">
            <x v="6"/>
          </reference>
        </references>
      </pivotArea>
    </format>
    <format dxfId="30">
      <pivotArea field="0" type="button" dataOnly="0" labelOnly="1" outline="0" axis="axisRow" fieldPosition="0"/>
    </format>
    <format dxfId="29">
      <pivotArea field="17" type="button" dataOnly="0" labelOnly="1" outline="0" axis="axisRow" fieldPosition="1"/>
    </format>
    <format dxfId="28">
      <pivotArea dataOnly="0" labelOnly="1" outline="0" axis="axisValues" fieldPosition="0"/>
    </format>
    <format dxfId="27">
      <pivotArea field="0" type="button" dataOnly="0" labelOnly="1" outline="0" axis="axisRow" fieldPosition="0"/>
    </format>
    <format dxfId="26">
      <pivotArea field="17" type="button" dataOnly="0" labelOnly="1" outline="0" axis="axisRow" fieldPosition="1"/>
    </format>
    <format dxfId="25">
      <pivotArea dataOnly="0" labelOnly="1" outline="0" axis="axisValues" fieldPosition="0"/>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7CB9F7E-6A53-4152-9E91-CFC7C51BE373}" name="PivotTable1" cacheId="5" applyNumberFormats="0" applyBorderFormats="0" applyFontFormats="0" applyPatternFormats="0" applyAlignmentFormats="0" applyWidthHeightFormats="1" dataCaption="Values" updatedVersion="8" minRefreshableVersion="3" showDrill="0" itemPrintTitles="1" createdVersion="8" indent="0" outline="1" outlineData="1" multipleFieldFilters="0">
  <location ref="B3:H111" firstHeaderRow="0" firstDataRow="1" firstDataCol="3"/>
  <pivotFields count="40">
    <pivotField axis="axisRow" outline="0" showAll="0">
      <items count="20">
        <item x="0"/>
        <item x="1"/>
        <item x="2"/>
        <item x="3"/>
        <item x="4"/>
        <item x="5"/>
        <item x="6"/>
        <item x="7"/>
        <item x="8"/>
        <item x="9"/>
        <item x="10"/>
        <item x="11"/>
        <item x="12"/>
        <item x="13"/>
        <item x="14"/>
        <item x="15"/>
        <item x="16"/>
        <item x="17"/>
        <item x="18"/>
        <item t="default"/>
      </items>
    </pivotField>
    <pivotField showAll="0"/>
    <pivotField showAll="0"/>
    <pivotField showAll="0"/>
    <pivotField axis="axisRow" outline="0" showAll="0" defaultSubtotal="0">
      <items count="34">
        <item x="11"/>
        <item x="20"/>
        <item x="14"/>
        <item x="15"/>
        <item x="6"/>
        <item m="1" x="30"/>
        <item m="1" x="31"/>
        <item m="1" x="33"/>
        <item x="12"/>
        <item m="1" x="29"/>
        <item m="1" x="28"/>
        <item x="0"/>
        <item m="1" x="27"/>
        <item x="10"/>
        <item x="13"/>
        <item x="16"/>
        <item x="21"/>
        <item x="7"/>
        <item x="22"/>
        <item x="23"/>
        <item x="17"/>
        <item m="1" x="26"/>
        <item x="18"/>
        <item x="24"/>
        <item x="2"/>
        <item m="1" x="32"/>
        <item x="4"/>
        <item x="5"/>
        <item x="8"/>
        <item x="9"/>
        <item x="1"/>
        <item x="3"/>
        <item x="19"/>
        <item x="25"/>
      </items>
    </pivotField>
    <pivotField showAll="0"/>
    <pivotField dataField="1" showAll="0"/>
    <pivotField showAll="0"/>
    <pivotField showAll="0"/>
    <pivotField showAll="0"/>
    <pivotField showAll="0"/>
    <pivotField showAll="0"/>
    <pivotField showAll="0"/>
    <pivotField showAll="0"/>
    <pivotField dataField="1" showAll="0"/>
    <pivotField dataField="1" showAll="0"/>
    <pivotField showAll="0"/>
    <pivotField axis="axisRow" outline="0" showAll="0" defaultSubtotal="0">
      <items count="24">
        <item x="6"/>
        <item x="0"/>
        <item x="11"/>
        <item x="20"/>
        <item x="15"/>
        <item x="14"/>
        <item x="18"/>
        <item x="1"/>
        <item x="12"/>
        <item x="7"/>
        <item x="21"/>
        <item x="2"/>
        <item x="8"/>
        <item x="16"/>
        <item m="1" x="22"/>
        <item m="1" x="23"/>
        <item x="9"/>
        <item x="3"/>
        <item x="4"/>
        <item x="5"/>
        <item x="10"/>
        <item x="13"/>
        <item x="19"/>
        <item x="17"/>
      </items>
    </pivotField>
    <pivotField showAll="0"/>
    <pivotField showAll="0"/>
    <pivotField showAll="0"/>
    <pivotField dataField="1" numFmtId="4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3">
    <field x="0"/>
    <field x="4"/>
    <field x="17"/>
  </rowFields>
  <rowItems count="108">
    <i>
      <x/>
      <x v="11"/>
      <x v="1"/>
    </i>
    <i t="default">
      <x/>
    </i>
    <i>
      <x v="1"/>
      <x v="11"/>
      <x v="1"/>
    </i>
    <i r="1">
      <x v="24"/>
      <x v="11"/>
    </i>
    <i r="1">
      <x v="30"/>
      <x v="7"/>
    </i>
    <i t="default">
      <x v="1"/>
    </i>
    <i>
      <x v="2"/>
      <x v="11"/>
      <x v="1"/>
    </i>
    <i t="default">
      <x v="2"/>
    </i>
    <i>
      <x v="3"/>
      <x v="4"/>
      <x/>
    </i>
    <i r="1">
      <x v="13"/>
      <x v="11"/>
    </i>
    <i r="1">
      <x v="17"/>
      <x v="12"/>
    </i>
    <i r="1">
      <x v="22"/>
      <x v="6"/>
    </i>
    <i r="1">
      <x v="24"/>
      <x v="11"/>
    </i>
    <i r="1">
      <x v="26"/>
      <x v="18"/>
    </i>
    <i r="1">
      <x v="27"/>
      <x v="19"/>
    </i>
    <i r="1">
      <x v="28"/>
      <x v="16"/>
    </i>
    <i r="1">
      <x v="29"/>
      <x v="16"/>
    </i>
    <i r="1">
      <x v="30"/>
      <x v="7"/>
    </i>
    <i r="2">
      <x v="9"/>
    </i>
    <i r="1">
      <x v="31"/>
      <x v="17"/>
    </i>
    <i r="1">
      <x v="33"/>
      <x v="17"/>
    </i>
    <i t="default">
      <x v="3"/>
    </i>
    <i>
      <x v="4"/>
      <x v="11"/>
      <x v="1"/>
    </i>
    <i t="default">
      <x v="4"/>
    </i>
    <i>
      <x v="5"/>
      <x v="11"/>
      <x v="1"/>
    </i>
    <i t="default">
      <x v="5"/>
    </i>
    <i>
      <x v="6"/>
      <x/>
      <x v="20"/>
    </i>
    <i r="1">
      <x v="4"/>
      <x/>
    </i>
    <i r="1">
      <x v="8"/>
      <x v="2"/>
    </i>
    <i r="2">
      <x v="17"/>
    </i>
    <i r="1">
      <x v="11"/>
      <x v="1"/>
    </i>
    <i r="1">
      <x v="14"/>
      <x v="11"/>
    </i>
    <i r="1">
      <x v="22"/>
      <x v="6"/>
    </i>
    <i r="1">
      <x v="24"/>
      <x v="11"/>
    </i>
    <i r="2">
      <x v="21"/>
    </i>
    <i r="1">
      <x v="27"/>
      <x v="19"/>
    </i>
    <i r="1">
      <x v="30"/>
      <x v="7"/>
    </i>
    <i r="2">
      <x v="8"/>
    </i>
    <i r="2">
      <x v="9"/>
    </i>
    <i t="default">
      <x v="6"/>
    </i>
    <i>
      <x v="7"/>
      <x v="11"/>
      <x v="1"/>
    </i>
    <i r="1">
      <x v="24"/>
      <x v="11"/>
    </i>
    <i r="1">
      <x v="30"/>
      <x v="8"/>
    </i>
    <i t="default">
      <x v="7"/>
    </i>
    <i>
      <x v="8"/>
      <x v="24"/>
      <x v="11"/>
    </i>
    <i r="1">
      <x v="30"/>
      <x v="7"/>
    </i>
    <i t="default">
      <x v="8"/>
    </i>
    <i>
      <x v="9"/>
      <x/>
      <x v="20"/>
    </i>
    <i r="1">
      <x v="2"/>
      <x v="5"/>
    </i>
    <i r="1">
      <x v="3"/>
      <x v="4"/>
    </i>
    <i r="1">
      <x v="4"/>
      <x/>
    </i>
    <i r="2">
      <x v="17"/>
    </i>
    <i r="1">
      <x v="14"/>
      <x v="11"/>
    </i>
    <i r="1">
      <x v="15"/>
      <x v="13"/>
    </i>
    <i r="1">
      <x v="20"/>
      <x v="23"/>
    </i>
    <i r="1">
      <x v="22"/>
      <x v="6"/>
    </i>
    <i r="1">
      <x v="24"/>
      <x v="11"/>
    </i>
    <i r="1">
      <x v="26"/>
      <x v="18"/>
    </i>
    <i r="1">
      <x v="27"/>
      <x v="19"/>
    </i>
    <i r="1">
      <x v="30"/>
      <x v="9"/>
    </i>
    <i t="default">
      <x v="9"/>
    </i>
    <i>
      <x v="10"/>
      <x v="11"/>
      <x v="1"/>
    </i>
    <i t="default">
      <x v="10"/>
    </i>
    <i>
      <x v="11"/>
      <x v="24"/>
      <x v="11"/>
    </i>
    <i r="1">
      <x v="30"/>
      <x v="8"/>
    </i>
    <i t="default">
      <x v="11"/>
    </i>
    <i>
      <x v="12"/>
      <x v="11"/>
      <x v="1"/>
    </i>
    <i r="1">
      <x v="24"/>
      <x v="11"/>
    </i>
    <i r="1">
      <x v="30"/>
      <x v="7"/>
    </i>
    <i r="2">
      <x v="8"/>
    </i>
    <i t="default">
      <x v="12"/>
    </i>
    <i>
      <x v="13"/>
      <x v="8"/>
      <x v="2"/>
    </i>
    <i r="2">
      <x v="13"/>
    </i>
    <i r="1">
      <x v="11"/>
      <x v="1"/>
    </i>
    <i r="1">
      <x v="15"/>
      <x v="13"/>
    </i>
    <i r="1">
      <x v="24"/>
      <x v="11"/>
    </i>
    <i r="1">
      <x v="30"/>
      <x v="8"/>
    </i>
    <i t="default">
      <x v="13"/>
    </i>
    <i>
      <x v="14"/>
      <x v="11"/>
      <x v="1"/>
    </i>
    <i t="default">
      <x v="14"/>
    </i>
    <i>
      <x v="15"/>
      <x v="1"/>
      <x v="5"/>
    </i>
    <i r="1">
      <x v="4"/>
      <x/>
    </i>
    <i r="2">
      <x v="17"/>
    </i>
    <i r="1">
      <x v="11"/>
      <x v="1"/>
    </i>
    <i r="1">
      <x v="14"/>
      <x v="11"/>
    </i>
    <i r="1">
      <x v="16"/>
      <x v="2"/>
    </i>
    <i r="1">
      <x v="18"/>
      <x v="4"/>
    </i>
    <i r="1">
      <x v="19"/>
      <x v="3"/>
    </i>
    <i r="1">
      <x v="22"/>
      <x v="6"/>
    </i>
    <i r="1">
      <x v="23"/>
      <x v="10"/>
    </i>
    <i r="1">
      <x v="24"/>
      <x v="11"/>
    </i>
    <i r="1">
      <x v="26"/>
      <x v="18"/>
    </i>
    <i r="1">
      <x v="27"/>
      <x v="19"/>
    </i>
    <i r="1">
      <x v="30"/>
      <x v="8"/>
    </i>
    <i r="2">
      <x v="9"/>
    </i>
    <i r="1">
      <x v="31"/>
      <x v="17"/>
    </i>
    <i r="1">
      <x v="32"/>
      <x v="22"/>
    </i>
    <i t="default">
      <x v="15"/>
    </i>
    <i>
      <x v="16"/>
      <x v="24"/>
      <x v="11"/>
    </i>
    <i r="1">
      <x v="30"/>
      <x v="8"/>
    </i>
    <i t="default">
      <x v="16"/>
    </i>
    <i>
      <x v="17"/>
      <x v="11"/>
      <x v="1"/>
    </i>
    <i t="default">
      <x v="17"/>
    </i>
    <i>
      <x v="18"/>
      <x v="11"/>
      <x v="1"/>
    </i>
    <i r="1">
      <x v="24"/>
      <x v="11"/>
    </i>
    <i r="1">
      <x v="30"/>
      <x v="7"/>
    </i>
    <i t="default">
      <x v="18"/>
    </i>
    <i t="grand">
      <x/>
    </i>
  </rowItems>
  <colFields count="1">
    <field x="-2"/>
  </colFields>
  <colItems count="4">
    <i>
      <x/>
    </i>
    <i i="1">
      <x v="1"/>
    </i>
    <i i="2">
      <x v="2"/>
    </i>
    <i i="3">
      <x v="3"/>
    </i>
  </colItems>
  <dataFields count="4">
    <dataField name="Sum of Qty Required" fld="6" baseField="0" baseItem="0"/>
    <dataField name="Sum of QTY Transfer" fld="14" baseField="17" baseItem="12"/>
    <dataField name="Sum of New Quantity Required " fld="15" baseField="0" baseItem="2"/>
    <dataField name="Sum of Extended Price" fld="21" baseField="0" baseItem="0"/>
  </dataFields>
  <formats count="129">
    <format dxfId="161">
      <pivotArea dataOnly="0" labelOnly="1" outline="0" fieldPosition="0">
        <references count="1">
          <reference field="4294967294" count="2">
            <x v="1"/>
            <x v="2"/>
          </reference>
        </references>
      </pivotArea>
    </format>
    <format dxfId="160">
      <pivotArea dataOnly="0" labelOnly="1" offset="A256" fieldPosition="0">
        <references count="1">
          <reference field="0" count="1" defaultSubtotal="1">
            <x v="1"/>
          </reference>
        </references>
      </pivotArea>
    </format>
    <format dxfId="159">
      <pivotArea dataOnly="0" labelOnly="1" offset="A256" fieldPosition="0">
        <references count="1">
          <reference field="0" count="1" defaultSubtotal="1">
            <x v="2"/>
          </reference>
        </references>
      </pivotArea>
    </format>
    <format dxfId="158">
      <pivotArea dataOnly="0" labelOnly="1" offset="A256" fieldPosition="0">
        <references count="1">
          <reference field="0" count="1" defaultSubtotal="1">
            <x v="3"/>
          </reference>
        </references>
      </pivotArea>
    </format>
    <format dxfId="157">
      <pivotArea dataOnly="0" labelOnly="1" offset="A256" fieldPosition="0">
        <references count="1">
          <reference field="0" count="1" defaultSubtotal="1">
            <x v="4"/>
          </reference>
        </references>
      </pivotArea>
    </format>
    <format dxfId="156">
      <pivotArea dataOnly="0" labelOnly="1" offset="A256" fieldPosition="0">
        <references count="1">
          <reference field="0" count="1" defaultSubtotal="1">
            <x v="5"/>
          </reference>
        </references>
      </pivotArea>
    </format>
    <format dxfId="155">
      <pivotArea dataOnly="0" labelOnly="1" offset="A256" fieldPosition="0">
        <references count="1">
          <reference field="0" count="1" defaultSubtotal="1">
            <x v="6"/>
          </reference>
        </references>
      </pivotArea>
    </format>
    <format dxfId="154">
      <pivotArea dataOnly="0" labelOnly="1" offset="A256" fieldPosition="0">
        <references count="1">
          <reference field="0" count="1" defaultSubtotal="1">
            <x v="7"/>
          </reference>
        </references>
      </pivotArea>
    </format>
    <format dxfId="153">
      <pivotArea dataOnly="0" labelOnly="1" offset="A256" fieldPosition="0">
        <references count="1">
          <reference field="0" count="1" defaultSubtotal="1">
            <x v="8"/>
          </reference>
        </references>
      </pivotArea>
    </format>
    <format dxfId="152">
      <pivotArea dataOnly="0" labelOnly="1" offset="A256" fieldPosition="0">
        <references count="1">
          <reference field="0" count="1" defaultSubtotal="1">
            <x v="9"/>
          </reference>
        </references>
      </pivotArea>
    </format>
    <format dxfId="151">
      <pivotArea dataOnly="0" labelOnly="1" offset="A256" fieldPosition="0">
        <references count="1">
          <reference field="0" count="1" defaultSubtotal="1">
            <x v="10"/>
          </reference>
        </references>
      </pivotArea>
    </format>
    <format dxfId="150">
      <pivotArea dataOnly="0" labelOnly="1" offset="A256" fieldPosition="0">
        <references count="1">
          <reference field="0" count="1" defaultSubtotal="1">
            <x v="11"/>
          </reference>
        </references>
      </pivotArea>
    </format>
    <format dxfId="149">
      <pivotArea dataOnly="0" labelOnly="1" offset="A256" fieldPosition="0">
        <references count="1">
          <reference field="0" count="1" defaultSubtotal="1">
            <x v="12"/>
          </reference>
        </references>
      </pivotArea>
    </format>
    <format dxfId="148">
      <pivotArea dataOnly="0" labelOnly="1" offset="A256" fieldPosition="0">
        <references count="1">
          <reference field="0" count="1" defaultSubtotal="1">
            <x v="13"/>
          </reference>
        </references>
      </pivotArea>
    </format>
    <format dxfId="147">
      <pivotArea dataOnly="0" labelOnly="1" offset="A256" fieldPosition="0">
        <references count="1">
          <reference field="0" count="1" defaultSubtotal="1">
            <x v="14"/>
          </reference>
        </references>
      </pivotArea>
    </format>
    <format dxfId="146">
      <pivotArea dataOnly="0" labelOnly="1" offset="A256" fieldPosition="0">
        <references count="1">
          <reference field="0" count="1" defaultSubtotal="1">
            <x v="15"/>
          </reference>
        </references>
      </pivotArea>
    </format>
    <format dxfId="145">
      <pivotArea dataOnly="0" labelOnly="1" offset="A256" fieldPosition="0">
        <references count="1">
          <reference field="0" count="1" defaultSubtotal="1">
            <x v="16"/>
          </reference>
        </references>
      </pivotArea>
    </format>
    <format dxfId="144">
      <pivotArea dataOnly="0" labelOnly="1" offset="A256" fieldPosition="0">
        <references count="1">
          <reference field="0" count="1" defaultSubtotal="1">
            <x v="17"/>
          </reference>
        </references>
      </pivotArea>
    </format>
    <format dxfId="143">
      <pivotArea dataOnly="0" labelOnly="1" offset="A256" fieldPosition="0">
        <references count="1">
          <reference field="0" count="1" defaultSubtotal="1">
            <x v="18"/>
          </reference>
        </references>
      </pivotArea>
    </format>
    <format dxfId="142">
      <pivotArea outline="0" collapsedLevelsAreSubtotals="1" fieldPosition="0"/>
    </format>
    <format dxfId="141">
      <pivotArea outline="0" collapsedLevelsAreSubtotals="1" fieldPosition="0"/>
    </format>
    <format dxfId="140">
      <pivotArea dataOnly="0" outline="0" fieldPosition="0">
        <references count="1">
          <reference field="4294967294" count="1">
            <x v="3"/>
          </reference>
        </references>
      </pivotArea>
    </format>
    <format dxfId="139">
      <pivotArea outline="0" collapsedLevelsAreSubtotals="1" fieldPosition="0">
        <references count="1">
          <reference field="0" count="0" selected="0" defaultSubtotal="1"/>
        </references>
      </pivotArea>
    </format>
    <format dxfId="138">
      <pivotArea dataOnly="0" labelOnly="1" fieldPosition="0">
        <references count="1">
          <reference field="0" count="0"/>
        </references>
      </pivotArea>
    </format>
    <format dxfId="137">
      <pivotArea dataOnly="0" labelOnly="1" fieldPosition="0">
        <references count="1">
          <reference field="0" count="0" defaultSubtotal="1"/>
        </references>
      </pivotArea>
    </format>
    <format dxfId="136">
      <pivotArea dataOnly="0" labelOnly="1" fieldPosition="0">
        <references count="2">
          <reference field="0" count="1" selected="0">
            <x v="0"/>
          </reference>
          <reference field="4" count="1">
            <x v="11"/>
          </reference>
        </references>
      </pivotArea>
    </format>
    <format dxfId="135">
      <pivotArea dataOnly="0" labelOnly="1" fieldPosition="0">
        <references count="2">
          <reference field="0" count="1" selected="0">
            <x v="1"/>
          </reference>
          <reference field="4" count="3">
            <x v="11"/>
            <x v="12"/>
            <x v="24"/>
          </reference>
        </references>
      </pivotArea>
    </format>
    <format dxfId="134">
      <pivotArea dataOnly="0" labelOnly="1" fieldPosition="0">
        <references count="2">
          <reference field="0" count="1" selected="0">
            <x v="2"/>
          </reference>
          <reference field="4" count="1">
            <x v="11"/>
          </reference>
        </references>
      </pivotArea>
    </format>
    <format dxfId="133">
      <pivotArea dataOnly="0" labelOnly="1" fieldPosition="0">
        <references count="2">
          <reference field="0" count="1" selected="0">
            <x v="3"/>
          </reference>
          <reference field="4" count="9">
            <x v="0"/>
            <x v="5"/>
            <x v="6"/>
            <x v="7"/>
            <x v="9"/>
            <x v="12"/>
            <x v="13"/>
            <x v="17"/>
            <x v="24"/>
          </reference>
        </references>
      </pivotArea>
    </format>
    <format dxfId="132">
      <pivotArea dataOnly="0" labelOnly="1" fieldPosition="0">
        <references count="2">
          <reference field="0" count="1" selected="0">
            <x v="4"/>
          </reference>
          <reference field="4" count="1">
            <x v="11"/>
          </reference>
        </references>
      </pivotArea>
    </format>
    <format dxfId="131">
      <pivotArea dataOnly="0" labelOnly="1" fieldPosition="0">
        <references count="2">
          <reference field="0" count="1" selected="0">
            <x v="5"/>
          </reference>
          <reference field="4" count="1">
            <x v="11"/>
          </reference>
        </references>
      </pivotArea>
    </format>
    <format dxfId="130">
      <pivotArea dataOnly="0" labelOnly="1" fieldPosition="0">
        <references count="2">
          <reference field="0" count="1" selected="0">
            <x v="6"/>
          </reference>
          <reference field="4" count="9">
            <x v="0"/>
            <x v="4"/>
            <x v="6"/>
            <x v="8"/>
            <x v="9"/>
            <x v="11"/>
            <x v="12"/>
            <x v="14"/>
            <x v="24"/>
          </reference>
        </references>
      </pivotArea>
    </format>
    <format dxfId="129">
      <pivotArea dataOnly="0" labelOnly="1" fieldPosition="0">
        <references count="2">
          <reference field="0" count="1" selected="0">
            <x v="7"/>
          </reference>
          <reference field="4" count="3">
            <x v="11"/>
            <x v="12"/>
            <x v="24"/>
          </reference>
        </references>
      </pivotArea>
    </format>
    <format dxfId="128">
      <pivotArea dataOnly="0" labelOnly="1" fieldPosition="0">
        <references count="2">
          <reference field="0" count="1" selected="0">
            <x v="8"/>
          </reference>
          <reference field="4" count="2">
            <x v="12"/>
            <x v="24"/>
          </reference>
        </references>
      </pivotArea>
    </format>
    <format dxfId="127">
      <pivotArea dataOnly="0" labelOnly="1" fieldPosition="0">
        <references count="2">
          <reference field="0" count="1" selected="0">
            <x v="9"/>
          </reference>
          <reference field="4" count="13">
            <x v="0"/>
            <x v="2"/>
            <x v="3"/>
            <x v="4"/>
            <x v="5"/>
            <x v="6"/>
            <x v="9"/>
            <x v="14"/>
            <x v="15"/>
            <x v="20"/>
            <x v="21"/>
            <x v="24"/>
            <x v="25"/>
          </reference>
        </references>
      </pivotArea>
    </format>
    <format dxfId="126">
      <pivotArea dataOnly="0" labelOnly="1" fieldPosition="0">
        <references count="2">
          <reference field="0" count="1" selected="0">
            <x v="10"/>
          </reference>
          <reference field="4" count="1">
            <x v="11"/>
          </reference>
        </references>
      </pivotArea>
    </format>
    <format dxfId="125">
      <pivotArea dataOnly="0" labelOnly="1" fieldPosition="0">
        <references count="2">
          <reference field="0" count="1" selected="0">
            <x v="11"/>
          </reference>
          <reference field="4" count="2">
            <x v="12"/>
            <x v="24"/>
          </reference>
        </references>
      </pivotArea>
    </format>
    <format dxfId="124">
      <pivotArea dataOnly="0" labelOnly="1" fieldPosition="0">
        <references count="2">
          <reference field="0" count="1" selected="0">
            <x v="12"/>
          </reference>
          <reference field="4" count="3">
            <x v="11"/>
            <x v="12"/>
            <x v="24"/>
          </reference>
        </references>
      </pivotArea>
    </format>
    <format dxfId="123">
      <pivotArea dataOnly="0" labelOnly="1" fieldPosition="0">
        <references count="2">
          <reference field="0" count="1" selected="0">
            <x v="13"/>
          </reference>
          <reference field="4" count="5">
            <x v="8"/>
            <x v="11"/>
            <x v="12"/>
            <x v="15"/>
            <x v="24"/>
          </reference>
        </references>
      </pivotArea>
    </format>
    <format dxfId="122">
      <pivotArea dataOnly="0" labelOnly="1" fieldPosition="0">
        <references count="2">
          <reference field="0" count="1" selected="0">
            <x v="14"/>
          </reference>
          <reference field="4" count="1">
            <x v="11"/>
          </reference>
        </references>
      </pivotArea>
    </format>
    <format dxfId="121">
      <pivotArea dataOnly="0" labelOnly="1" fieldPosition="0">
        <references count="2">
          <reference field="0" count="1" selected="0">
            <x v="15"/>
          </reference>
          <reference field="4" count="16">
            <x v="1"/>
            <x v="4"/>
            <x v="5"/>
            <x v="6"/>
            <x v="7"/>
            <x v="8"/>
            <x v="10"/>
            <x v="11"/>
            <x v="12"/>
            <x v="14"/>
            <x v="16"/>
            <x v="18"/>
            <x v="19"/>
            <x v="22"/>
            <x v="23"/>
            <x v="24"/>
          </reference>
        </references>
      </pivotArea>
    </format>
    <format dxfId="120">
      <pivotArea dataOnly="0" labelOnly="1" fieldPosition="0">
        <references count="2">
          <reference field="0" count="1" selected="0">
            <x v="16"/>
          </reference>
          <reference field="4" count="2">
            <x v="12"/>
            <x v="24"/>
          </reference>
        </references>
      </pivotArea>
    </format>
    <format dxfId="119">
      <pivotArea dataOnly="0" labelOnly="1" fieldPosition="0">
        <references count="2">
          <reference field="0" count="1" selected="0">
            <x v="17"/>
          </reference>
          <reference field="4" count="1">
            <x v="11"/>
          </reference>
        </references>
      </pivotArea>
    </format>
    <format dxfId="118">
      <pivotArea dataOnly="0" labelOnly="1" fieldPosition="0">
        <references count="2">
          <reference field="0" count="1" selected="0">
            <x v="18"/>
          </reference>
          <reference field="4" count="3">
            <x v="11"/>
            <x v="12"/>
            <x v="24"/>
          </reference>
        </references>
      </pivotArea>
    </format>
    <format dxfId="117">
      <pivotArea dataOnly="0" labelOnly="1" fieldPosition="0">
        <references count="3">
          <reference field="0" count="1" selected="0">
            <x v="0"/>
          </reference>
          <reference field="4" count="1" selected="0">
            <x v="11"/>
          </reference>
          <reference field="17" count="1">
            <x v="1"/>
          </reference>
        </references>
      </pivotArea>
    </format>
    <format dxfId="116">
      <pivotArea dataOnly="0" labelOnly="1" fieldPosition="0">
        <references count="3">
          <reference field="0" count="1" selected="0">
            <x v="1"/>
          </reference>
          <reference field="4" count="1" selected="0">
            <x v="11"/>
          </reference>
          <reference field="17" count="1">
            <x v="1"/>
          </reference>
        </references>
      </pivotArea>
    </format>
    <format dxfId="115">
      <pivotArea dataOnly="0" labelOnly="1" fieldPosition="0">
        <references count="3">
          <reference field="0" count="1" selected="0">
            <x v="1"/>
          </reference>
          <reference field="4" count="1" selected="0">
            <x v="12"/>
          </reference>
          <reference field="17" count="1">
            <x v="7"/>
          </reference>
        </references>
      </pivotArea>
    </format>
    <format dxfId="114">
      <pivotArea dataOnly="0" labelOnly="1" fieldPosition="0">
        <references count="3">
          <reference field="0" count="1" selected="0">
            <x v="1"/>
          </reference>
          <reference field="4" count="1" selected="0">
            <x v="24"/>
          </reference>
          <reference field="17" count="1">
            <x v="11"/>
          </reference>
        </references>
      </pivotArea>
    </format>
    <format dxfId="113">
      <pivotArea dataOnly="0" labelOnly="1" fieldPosition="0">
        <references count="3">
          <reference field="0" count="1" selected="0">
            <x v="2"/>
          </reference>
          <reference field="4" count="1" selected="0">
            <x v="11"/>
          </reference>
          <reference field="17" count="1">
            <x v="1"/>
          </reference>
        </references>
      </pivotArea>
    </format>
    <format dxfId="112">
      <pivotArea dataOnly="0" labelOnly="1" fieldPosition="0">
        <references count="3">
          <reference field="0" count="1" selected="0">
            <x v="3"/>
          </reference>
          <reference field="4" count="1" selected="0">
            <x v="0"/>
          </reference>
          <reference field="17" count="1">
            <x v="15"/>
          </reference>
        </references>
      </pivotArea>
    </format>
    <format dxfId="111">
      <pivotArea dataOnly="0" labelOnly="1" fieldPosition="0">
        <references count="3">
          <reference field="0" count="1" selected="0">
            <x v="3"/>
          </reference>
          <reference field="4" count="1" selected="0">
            <x v="5"/>
          </reference>
          <reference field="17" count="1">
            <x v="15"/>
          </reference>
        </references>
      </pivotArea>
    </format>
    <format dxfId="110">
      <pivotArea dataOnly="0" labelOnly="1" fieldPosition="0">
        <references count="3">
          <reference field="0" count="1" selected="0">
            <x v="3"/>
          </reference>
          <reference field="4" count="1" selected="0">
            <x v="6"/>
          </reference>
          <reference field="17" count="1">
            <x v="14"/>
          </reference>
        </references>
      </pivotArea>
    </format>
    <format dxfId="109">
      <pivotArea dataOnly="0" labelOnly="1" fieldPosition="0">
        <references count="3">
          <reference field="0" count="1" selected="0">
            <x v="3"/>
          </reference>
          <reference field="4" count="1" selected="0">
            <x v="7"/>
          </reference>
          <reference field="17" count="1">
            <x v="15"/>
          </reference>
        </references>
      </pivotArea>
    </format>
    <format dxfId="108">
      <pivotArea dataOnly="0" labelOnly="1" fieldPosition="0">
        <references count="3">
          <reference field="0" count="1" selected="0">
            <x v="3"/>
          </reference>
          <reference field="4" count="1" selected="0">
            <x v="9"/>
          </reference>
          <reference field="17" count="1">
            <x v="9"/>
          </reference>
        </references>
      </pivotArea>
    </format>
    <format dxfId="107">
      <pivotArea dataOnly="0" labelOnly="1" fieldPosition="0">
        <references count="3">
          <reference field="0" count="1" selected="0">
            <x v="3"/>
          </reference>
          <reference field="4" count="1" selected="0">
            <x v="12"/>
          </reference>
          <reference field="17" count="1">
            <x v="7"/>
          </reference>
        </references>
      </pivotArea>
    </format>
    <format dxfId="106">
      <pivotArea dataOnly="0" labelOnly="1" fieldPosition="0">
        <references count="3">
          <reference field="0" count="1" selected="0">
            <x v="3"/>
          </reference>
          <reference field="4" count="1" selected="0">
            <x v="13"/>
          </reference>
          <reference field="17" count="1">
            <x v="8"/>
          </reference>
        </references>
      </pivotArea>
    </format>
    <format dxfId="105">
      <pivotArea dataOnly="0" labelOnly="1" fieldPosition="0">
        <references count="3">
          <reference field="0" count="1" selected="0">
            <x v="3"/>
          </reference>
          <reference field="4" count="1" selected="0">
            <x v="17"/>
          </reference>
          <reference field="17" count="1">
            <x v="12"/>
          </reference>
        </references>
      </pivotArea>
    </format>
    <format dxfId="104">
      <pivotArea dataOnly="0" labelOnly="1" fieldPosition="0">
        <references count="3">
          <reference field="0" count="1" selected="0">
            <x v="3"/>
          </reference>
          <reference field="4" count="1" selected="0">
            <x v="24"/>
          </reference>
          <reference field="17" count="1">
            <x v="11"/>
          </reference>
        </references>
      </pivotArea>
    </format>
    <format dxfId="103">
      <pivotArea dataOnly="0" labelOnly="1" fieldPosition="0">
        <references count="3">
          <reference field="0" count="1" selected="0">
            <x v="4"/>
          </reference>
          <reference field="4" count="1" selected="0">
            <x v="11"/>
          </reference>
          <reference field="17" count="1">
            <x v="1"/>
          </reference>
        </references>
      </pivotArea>
    </format>
    <format dxfId="102">
      <pivotArea dataOnly="0" labelOnly="1" fieldPosition="0">
        <references count="3">
          <reference field="0" count="1" selected="0">
            <x v="5"/>
          </reference>
          <reference field="4" count="1" selected="0">
            <x v="11"/>
          </reference>
          <reference field="17" count="1">
            <x v="1"/>
          </reference>
        </references>
      </pivotArea>
    </format>
    <format dxfId="101">
      <pivotArea dataOnly="0" labelOnly="1" fieldPosition="0">
        <references count="3">
          <reference field="0" count="1" selected="0">
            <x v="6"/>
          </reference>
          <reference field="4" count="1" selected="0">
            <x v="0"/>
          </reference>
          <reference field="17" count="1">
            <x v="15"/>
          </reference>
        </references>
      </pivotArea>
    </format>
    <format dxfId="100">
      <pivotArea dataOnly="0" labelOnly="1" fieldPosition="0">
        <references count="3">
          <reference field="0" count="1" selected="0">
            <x v="6"/>
          </reference>
          <reference field="4" count="1" selected="0">
            <x v="4"/>
          </reference>
          <reference field="17" count="1">
            <x v="0"/>
          </reference>
        </references>
      </pivotArea>
    </format>
    <format dxfId="99">
      <pivotArea dataOnly="0" labelOnly="1" fieldPosition="0">
        <references count="3">
          <reference field="0" count="1" selected="0">
            <x v="6"/>
          </reference>
          <reference field="4" count="1" selected="0">
            <x v="6"/>
          </reference>
          <reference field="17" count="1">
            <x v="14"/>
          </reference>
        </references>
      </pivotArea>
    </format>
    <format dxfId="98">
      <pivotArea dataOnly="0" labelOnly="1" fieldPosition="0">
        <references count="3">
          <reference field="0" count="1" selected="0">
            <x v="6"/>
          </reference>
          <reference field="4" count="1" selected="0">
            <x v="8"/>
          </reference>
          <reference field="17" count="2">
            <x v="2"/>
            <x v="7"/>
          </reference>
        </references>
      </pivotArea>
    </format>
    <format dxfId="97">
      <pivotArea dataOnly="0" labelOnly="1" fieldPosition="0">
        <references count="3">
          <reference field="0" count="1" selected="0">
            <x v="6"/>
          </reference>
          <reference field="4" count="1" selected="0">
            <x v="9"/>
          </reference>
          <reference field="17" count="1">
            <x v="9"/>
          </reference>
        </references>
      </pivotArea>
    </format>
    <format dxfId="96">
      <pivotArea dataOnly="0" labelOnly="1" fieldPosition="0">
        <references count="3">
          <reference field="0" count="1" selected="0">
            <x v="6"/>
          </reference>
          <reference field="4" count="1" selected="0">
            <x v="11"/>
          </reference>
          <reference field="17" count="1">
            <x v="1"/>
          </reference>
        </references>
      </pivotArea>
    </format>
    <format dxfId="95">
      <pivotArea dataOnly="0" labelOnly="1" fieldPosition="0">
        <references count="3">
          <reference field="0" count="1" selected="0">
            <x v="6"/>
          </reference>
          <reference field="4" count="1" selected="0">
            <x v="12"/>
          </reference>
          <reference field="17" count="1">
            <x v="7"/>
          </reference>
        </references>
      </pivotArea>
    </format>
    <format dxfId="94">
      <pivotArea dataOnly="0" labelOnly="1" fieldPosition="0">
        <references count="3">
          <reference field="0" count="1" selected="0">
            <x v="6"/>
          </reference>
          <reference field="4" count="1" selected="0">
            <x v="14"/>
          </reference>
          <reference field="17" count="1">
            <x v="11"/>
          </reference>
        </references>
      </pivotArea>
    </format>
    <format dxfId="93">
      <pivotArea dataOnly="0" labelOnly="1" fieldPosition="0">
        <references count="3">
          <reference field="0" count="1" selected="0">
            <x v="6"/>
          </reference>
          <reference field="4" count="1" selected="0">
            <x v="24"/>
          </reference>
          <reference field="17" count="1">
            <x v="11"/>
          </reference>
        </references>
      </pivotArea>
    </format>
    <format dxfId="92">
      <pivotArea dataOnly="0" labelOnly="1" fieldPosition="0">
        <references count="3">
          <reference field="0" count="1" selected="0">
            <x v="7"/>
          </reference>
          <reference field="4" count="1" selected="0">
            <x v="11"/>
          </reference>
          <reference field="17" count="1">
            <x v="1"/>
          </reference>
        </references>
      </pivotArea>
    </format>
    <format dxfId="91">
      <pivotArea dataOnly="0" labelOnly="1" fieldPosition="0">
        <references count="3">
          <reference field="0" count="1" selected="0">
            <x v="7"/>
          </reference>
          <reference field="4" count="1" selected="0">
            <x v="12"/>
          </reference>
          <reference field="17" count="1">
            <x v="8"/>
          </reference>
        </references>
      </pivotArea>
    </format>
    <format dxfId="90">
      <pivotArea dataOnly="0" labelOnly="1" fieldPosition="0">
        <references count="3">
          <reference field="0" count="1" selected="0">
            <x v="7"/>
          </reference>
          <reference field="4" count="1" selected="0">
            <x v="24"/>
          </reference>
          <reference field="17" count="1">
            <x v="11"/>
          </reference>
        </references>
      </pivotArea>
    </format>
    <format dxfId="89">
      <pivotArea dataOnly="0" labelOnly="1" fieldPosition="0">
        <references count="3">
          <reference field="0" count="1" selected="0">
            <x v="8"/>
          </reference>
          <reference field="4" count="1" selected="0">
            <x v="12"/>
          </reference>
          <reference field="17" count="1">
            <x v="7"/>
          </reference>
        </references>
      </pivotArea>
    </format>
    <format dxfId="88">
      <pivotArea dataOnly="0" labelOnly="1" fieldPosition="0">
        <references count="3">
          <reference field="0" count="1" selected="0">
            <x v="8"/>
          </reference>
          <reference field="4" count="1" selected="0">
            <x v="24"/>
          </reference>
          <reference field="17" count="1">
            <x v="11"/>
          </reference>
        </references>
      </pivotArea>
    </format>
    <format dxfId="87">
      <pivotArea dataOnly="0" labelOnly="1" fieldPosition="0">
        <references count="3">
          <reference field="0" count="1" selected="0">
            <x v="9"/>
          </reference>
          <reference field="4" count="1" selected="0">
            <x v="0"/>
          </reference>
          <reference field="17" count="1">
            <x v="15"/>
          </reference>
        </references>
      </pivotArea>
    </format>
    <format dxfId="86">
      <pivotArea dataOnly="0" labelOnly="1" fieldPosition="0">
        <references count="3">
          <reference field="0" count="1" selected="0">
            <x v="9"/>
          </reference>
          <reference field="4" count="1" selected="0">
            <x v="2"/>
          </reference>
          <reference field="17" count="1">
            <x v="5"/>
          </reference>
        </references>
      </pivotArea>
    </format>
    <format dxfId="85">
      <pivotArea dataOnly="0" labelOnly="1" fieldPosition="0">
        <references count="3">
          <reference field="0" count="1" selected="0">
            <x v="9"/>
          </reference>
          <reference field="4" count="1" selected="0">
            <x v="3"/>
          </reference>
          <reference field="17" count="1">
            <x v="4"/>
          </reference>
        </references>
      </pivotArea>
    </format>
    <format dxfId="84">
      <pivotArea dataOnly="0" labelOnly="1" fieldPosition="0">
        <references count="3">
          <reference field="0" count="1" selected="0">
            <x v="9"/>
          </reference>
          <reference field="4" count="1" selected="0">
            <x v="4"/>
          </reference>
          <reference field="17" count="1">
            <x v="0"/>
          </reference>
        </references>
      </pivotArea>
    </format>
    <format dxfId="83">
      <pivotArea dataOnly="0" labelOnly="1" fieldPosition="0">
        <references count="3">
          <reference field="0" count="1" selected="0">
            <x v="9"/>
          </reference>
          <reference field="4" count="1" selected="0">
            <x v="5"/>
          </reference>
          <reference field="17" count="1">
            <x v="15"/>
          </reference>
        </references>
      </pivotArea>
    </format>
    <format dxfId="82">
      <pivotArea dataOnly="0" labelOnly="1" fieldPosition="0">
        <references count="3">
          <reference field="0" count="1" selected="0">
            <x v="9"/>
          </reference>
          <reference field="4" count="1" selected="0">
            <x v="6"/>
          </reference>
          <reference field="17" count="1">
            <x v="14"/>
          </reference>
        </references>
      </pivotArea>
    </format>
    <format dxfId="81">
      <pivotArea dataOnly="0" labelOnly="1" fieldPosition="0">
        <references count="3">
          <reference field="0" count="1" selected="0">
            <x v="9"/>
          </reference>
          <reference field="4" count="1" selected="0">
            <x v="9"/>
          </reference>
          <reference field="17" count="1">
            <x v="9"/>
          </reference>
        </references>
      </pivotArea>
    </format>
    <format dxfId="80">
      <pivotArea dataOnly="0" labelOnly="1" fieldPosition="0">
        <references count="3">
          <reference field="0" count="1" selected="0">
            <x v="9"/>
          </reference>
          <reference field="4" count="1" selected="0">
            <x v="14"/>
          </reference>
          <reference field="17" count="1">
            <x v="11"/>
          </reference>
        </references>
      </pivotArea>
    </format>
    <format dxfId="79">
      <pivotArea dataOnly="0" labelOnly="1" fieldPosition="0">
        <references count="3">
          <reference field="0" count="1" selected="0">
            <x v="9"/>
          </reference>
          <reference field="4" count="1" selected="0">
            <x v="15"/>
          </reference>
          <reference field="17" count="1">
            <x v="13"/>
          </reference>
        </references>
      </pivotArea>
    </format>
    <format dxfId="78">
      <pivotArea dataOnly="0" labelOnly="1" fieldPosition="0">
        <references count="3">
          <reference field="0" count="1" selected="0">
            <x v="9"/>
          </reference>
          <reference field="4" count="1" selected="0">
            <x v="20"/>
          </reference>
          <reference field="17" count="1">
            <x v="15"/>
          </reference>
        </references>
      </pivotArea>
    </format>
    <format dxfId="77">
      <pivotArea dataOnly="0" labelOnly="1" fieldPosition="0">
        <references count="3">
          <reference field="0" count="1" selected="0">
            <x v="9"/>
          </reference>
          <reference field="4" count="1" selected="0">
            <x v="21"/>
          </reference>
          <reference field="17" count="1">
            <x v="15"/>
          </reference>
        </references>
      </pivotArea>
    </format>
    <format dxfId="76">
      <pivotArea dataOnly="0" labelOnly="1" fieldPosition="0">
        <references count="3">
          <reference field="0" count="1" selected="0">
            <x v="9"/>
          </reference>
          <reference field="4" count="1" selected="0">
            <x v="24"/>
          </reference>
          <reference field="17" count="1">
            <x v="11"/>
          </reference>
        </references>
      </pivotArea>
    </format>
    <format dxfId="75">
      <pivotArea dataOnly="0" labelOnly="1" fieldPosition="0">
        <references count="3">
          <reference field="0" count="1" selected="0">
            <x v="9"/>
          </reference>
          <reference field="4" count="1" selected="0">
            <x v="25"/>
          </reference>
          <reference field="17" count="1">
            <x v="15"/>
          </reference>
        </references>
      </pivotArea>
    </format>
    <format dxfId="74">
      <pivotArea dataOnly="0" labelOnly="1" fieldPosition="0">
        <references count="3">
          <reference field="0" count="1" selected="0">
            <x v="10"/>
          </reference>
          <reference field="4" count="1" selected="0">
            <x v="11"/>
          </reference>
          <reference field="17" count="1">
            <x v="1"/>
          </reference>
        </references>
      </pivotArea>
    </format>
    <format dxfId="73">
      <pivotArea dataOnly="0" labelOnly="1" fieldPosition="0">
        <references count="3">
          <reference field="0" count="1" selected="0">
            <x v="11"/>
          </reference>
          <reference field="4" count="1" selected="0">
            <x v="12"/>
          </reference>
          <reference field="17" count="1">
            <x v="8"/>
          </reference>
        </references>
      </pivotArea>
    </format>
    <format dxfId="72">
      <pivotArea dataOnly="0" labelOnly="1" fieldPosition="0">
        <references count="3">
          <reference field="0" count="1" selected="0">
            <x v="11"/>
          </reference>
          <reference field="4" count="1" selected="0">
            <x v="24"/>
          </reference>
          <reference field="17" count="1">
            <x v="11"/>
          </reference>
        </references>
      </pivotArea>
    </format>
    <format dxfId="71">
      <pivotArea dataOnly="0" labelOnly="1" fieldPosition="0">
        <references count="3">
          <reference field="0" count="1" selected="0">
            <x v="12"/>
          </reference>
          <reference field="4" count="1" selected="0">
            <x v="11"/>
          </reference>
          <reference field="17" count="1">
            <x v="1"/>
          </reference>
        </references>
      </pivotArea>
    </format>
    <format dxfId="70">
      <pivotArea dataOnly="0" labelOnly="1" fieldPosition="0">
        <references count="3">
          <reference field="0" count="1" selected="0">
            <x v="12"/>
          </reference>
          <reference field="4" count="1" selected="0">
            <x v="12"/>
          </reference>
          <reference field="17" count="2">
            <x v="7"/>
            <x v="8"/>
          </reference>
        </references>
      </pivotArea>
    </format>
    <format dxfId="69">
      <pivotArea dataOnly="0" labelOnly="1" fieldPosition="0">
        <references count="3">
          <reference field="0" count="1" selected="0">
            <x v="12"/>
          </reference>
          <reference field="4" count="1" selected="0">
            <x v="24"/>
          </reference>
          <reference field="17" count="1">
            <x v="11"/>
          </reference>
        </references>
      </pivotArea>
    </format>
    <format dxfId="68">
      <pivotArea dataOnly="0" labelOnly="1" fieldPosition="0">
        <references count="3">
          <reference field="0" count="1" selected="0">
            <x v="13"/>
          </reference>
          <reference field="4" count="1" selected="0">
            <x v="8"/>
          </reference>
          <reference field="17" count="1">
            <x v="2"/>
          </reference>
        </references>
      </pivotArea>
    </format>
    <format dxfId="67">
      <pivotArea dataOnly="0" labelOnly="1" fieldPosition="0">
        <references count="3">
          <reference field="0" count="1" selected="0">
            <x v="13"/>
          </reference>
          <reference field="4" count="1" selected="0">
            <x v="11"/>
          </reference>
          <reference field="17" count="1">
            <x v="1"/>
          </reference>
        </references>
      </pivotArea>
    </format>
    <format dxfId="66">
      <pivotArea dataOnly="0" labelOnly="1" fieldPosition="0">
        <references count="3">
          <reference field="0" count="1" selected="0">
            <x v="13"/>
          </reference>
          <reference field="4" count="1" selected="0">
            <x v="12"/>
          </reference>
          <reference field="17" count="1">
            <x v="8"/>
          </reference>
        </references>
      </pivotArea>
    </format>
    <format dxfId="65">
      <pivotArea dataOnly="0" labelOnly="1" fieldPosition="0">
        <references count="3">
          <reference field="0" count="1" selected="0">
            <x v="13"/>
          </reference>
          <reference field="4" count="1" selected="0">
            <x v="15"/>
          </reference>
          <reference field="17" count="1">
            <x v="13"/>
          </reference>
        </references>
      </pivotArea>
    </format>
    <format dxfId="64">
      <pivotArea dataOnly="0" labelOnly="1" fieldPosition="0">
        <references count="3">
          <reference field="0" count="1" selected="0">
            <x v="13"/>
          </reference>
          <reference field="4" count="1" selected="0">
            <x v="24"/>
          </reference>
          <reference field="17" count="1">
            <x v="11"/>
          </reference>
        </references>
      </pivotArea>
    </format>
    <format dxfId="63">
      <pivotArea dataOnly="0" labelOnly="1" fieldPosition="0">
        <references count="3">
          <reference field="0" count="1" selected="0">
            <x v="14"/>
          </reference>
          <reference field="4" count="1" selected="0">
            <x v="11"/>
          </reference>
          <reference field="17" count="1">
            <x v="1"/>
          </reference>
        </references>
      </pivotArea>
    </format>
    <format dxfId="62">
      <pivotArea dataOnly="0" labelOnly="1" fieldPosition="0">
        <references count="3">
          <reference field="0" count="1" selected="0">
            <x v="15"/>
          </reference>
          <reference field="4" count="1" selected="0">
            <x v="1"/>
          </reference>
          <reference field="17" count="1">
            <x v="5"/>
          </reference>
        </references>
      </pivotArea>
    </format>
    <format dxfId="61">
      <pivotArea dataOnly="0" labelOnly="1" fieldPosition="0">
        <references count="3">
          <reference field="0" count="1" selected="0">
            <x v="15"/>
          </reference>
          <reference field="4" count="1" selected="0">
            <x v="4"/>
          </reference>
          <reference field="17" count="1">
            <x v="0"/>
          </reference>
        </references>
      </pivotArea>
    </format>
    <format dxfId="60">
      <pivotArea dataOnly="0" labelOnly="1" fieldPosition="0">
        <references count="3">
          <reference field="0" count="1" selected="0">
            <x v="15"/>
          </reference>
          <reference field="4" count="1" selected="0">
            <x v="5"/>
          </reference>
          <reference field="17" count="1">
            <x v="15"/>
          </reference>
        </references>
      </pivotArea>
    </format>
    <format dxfId="59">
      <pivotArea dataOnly="0" labelOnly="1" fieldPosition="0">
        <references count="3">
          <reference field="0" count="1" selected="0">
            <x v="15"/>
          </reference>
          <reference field="4" count="1" selected="0">
            <x v="6"/>
          </reference>
          <reference field="17" count="1">
            <x v="14"/>
          </reference>
        </references>
      </pivotArea>
    </format>
    <format dxfId="58">
      <pivotArea dataOnly="0" labelOnly="1" fieldPosition="0">
        <references count="3">
          <reference field="0" count="1" selected="0">
            <x v="15"/>
          </reference>
          <reference field="4" count="1" selected="0">
            <x v="7"/>
          </reference>
          <reference field="17" count="1">
            <x v="15"/>
          </reference>
        </references>
      </pivotArea>
    </format>
    <format dxfId="57">
      <pivotArea dataOnly="0" labelOnly="1" fieldPosition="0">
        <references count="3">
          <reference field="0" count="1" selected="0">
            <x v="15"/>
          </reference>
          <reference field="4" count="1" selected="0">
            <x v="8"/>
          </reference>
          <reference field="17" count="2">
            <x v="2"/>
            <x v="15"/>
          </reference>
        </references>
      </pivotArea>
    </format>
    <format dxfId="56">
      <pivotArea dataOnly="0" labelOnly="1" fieldPosition="0">
        <references count="3">
          <reference field="0" count="1" selected="0">
            <x v="15"/>
          </reference>
          <reference field="4" count="1" selected="0">
            <x v="10"/>
          </reference>
          <reference field="17" count="1">
            <x v="9"/>
          </reference>
        </references>
      </pivotArea>
    </format>
    <format dxfId="55">
      <pivotArea dataOnly="0" labelOnly="1" fieldPosition="0">
        <references count="3">
          <reference field="0" count="1" selected="0">
            <x v="15"/>
          </reference>
          <reference field="4" count="1" selected="0">
            <x v="11"/>
          </reference>
          <reference field="17" count="1">
            <x v="1"/>
          </reference>
        </references>
      </pivotArea>
    </format>
    <format dxfId="54">
      <pivotArea dataOnly="0" labelOnly="1" fieldPosition="0">
        <references count="3">
          <reference field="0" count="1" selected="0">
            <x v="15"/>
          </reference>
          <reference field="4" count="1" selected="0">
            <x v="12"/>
          </reference>
          <reference field="17" count="1">
            <x v="8"/>
          </reference>
        </references>
      </pivotArea>
    </format>
    <format dxfId="53">
      <pivotArea dataOnly="0" labelOnly="1" fieldPosition="0">
        <references count="3">
          <reference field="0" count="1" selected="0">
            <x v="15"/>
          </reference>
          <reference field="4" count="1" selected="0">
            <x v="14"/>
          </reference>
          <reference field="17" count="1">
            <x v="8"/>
          </reference>
        </references>
      </pivotArea>
    </format>
    <format dxfId="52">
      <pivotArea dataOnly="0" labelOnly="1" fieldPosition="0">
        <references count="3">
          <reference field="0" count="1" selected="0">
            <x v="15"/>
          </reference>
          <reference field="4" count="1" selected="0">
            <x v="16"/>
          </reference>
          <reference field="17" count="1">
            <x v="2"/>
          </reference>
        </references>
      </pivotArea>
    </format>
    <format dxfId="51">
      <pivotArea dataOnly="0" labelOnly="1" fieldPosition="0">
        <references count="3">
          <reference field="0" count="1" selected="0">
            <x v="15"/>
          </reference>
          <reference field="4" count="1" selected="0">
            <x v="18"/>
          </reference>
          <reference field="17" count="1">
            <x v="4"/>
          </reference>
        </references>
      </pivotArea>
    </format>
    <format dxfId="50">
      <pivotArea dataOnly="0" labelOnly="1" fieldPosition="0">
        <references count="3">
          <reference field="0" count="1" selected="0">
            <x v="15"/>
          </reference>
          <reference field="4" count="1" selected="0">
            <x v="19"/>
          </reference>
          <reference field="17" count="1">
            <x v="3"/>
          </reference>
        </references>
      </pivotArea>
    </format>
    <format dxfId="49">
      <pivotArea dataOnly="0" labelOnly="1" fieldPosition="0">
        <references count="3">
          <reference field="0" count="1" selected="0">
            <x v="15"/>
          </reference>
          <reference field="4" count="1" selected="0">
            <x v="22"/>
          </reference>
          <reference field="17" count="1">
            <x v="6"/>
          </reference>
        </references>
      </pivotArea>
    </format>
    <format dxfId="48">
      <pivotArea dataOnly="0" labelOnly="1" fieldPosition="0">
        <references count="3">
          <reference field="0" count="1" selected="0">
            <x v="15"/>
          </reference>
          <reference field="4" count="1" selected="0">
            <x v="23"/>
          </reference>
          <reference field="17" count="1">
            <x v="10"/>
          </reference>
        </references>
      </pivotArea>
    </format>
    <format dxfId="47">
      <pivotArea dataOnly="0" labelOnly="1" fieldPosition="0">
        <references count="3">
          <reference field="0" count="1" selected="0">
            <x v="15"/>
          </reference>
          <reference field="4" count="1" selected="0">
            <x v="24"/>
          </reference>
          <reference field="17" count="1">
            <x v="11"/>
          </reference>
        </references>
      </pivotArea>
    </format>
    <format dxfId="46">
      <pivotArea dataOnly="0" labelOnly="1" fieldPosition="0">
        <references count="3">
          <reference field="0" count="1" selected="0">
            <x v="16"/>
          </reference>
          <reference field="4" count="1" selected="0">
            <x v="12"/>
          </reference>
          <reference field="17" count="1">
            <x v="8"/>
          </reference>
        </references>
      </pivotArea>
    </format>
    <format dxfId="45">
      <pivotArea dataOnly="0" labelOnly="1" fieldPosition="0">
        <references count="3">
          <reference field="0" count="1" selected="0">
            <x v="16"/>
          </reference>
          <reference field="4" count="1" selected="0">
            <x v="24"/>
          </reference>
          <reference field="17" count="1">
            <x v="11"/>
          </reference>
        </references>
      </pivotArea>
    </format>
    <format dxfId="44">
      <pivotArea dataOnly="0" labelOnly="1" fieldPosition="0">
        <references count="3">
          <reference field="0" count="1" selected="0">
            <x v="17"/>
          </reference>
          <reference field="4" count="1" selected="0">
            <x v="11"/>
          </reference>
          <reference field="17" count="1">
            <x v="1"/>
          </reference>
        </references>
      </pivotArea>
    </format>
    <format dxfId="43">
      <pivotArea dataOnly="0" labelOnly="1" fieldPosition="0">
        <references count="3">
          <reference field="0" count="1" selected="0">
            <x v="18"/>
          </reference>
          <reference field="4" count="1" selected="0">
            <x v="11"/>
          </reference>
          <reference field="17" count="1">
            <x v="1"/>
          </reference>
        </references>
      </pivotArea>
    </format>
    <format dxfId="42">
      <pivotArea dataOnly="0" labelOnly="1" fieldPosition="0">
        <references count="3">
          <reference field="0" count="1" selected="0">
            <x v="18"/>
          </reference>
          <reference field="4" count="1" selected="0">
            <x v="12"/>
          </reference>
          <reference field="17" count="1">
            <x v="7"/>
          </reference>
        </references>
      </pivotArea>
    </format>
    <format dxfId="41">
      <pivotArea dataOnly="0" labelOnly="1" fieldPosition="0">
        <references count="3">
          <reference field="0" count="1" selected="0">
            <x v="18"/>
          </reference>
          <reference field="4" count="1" selected="0">
            <x v="24"/>
          </reference>
          <reference field="17" count="1">
            <x v="11"/>
          </reference>
        </references>
      </pivotArea>
    </format>
    <format dxfId="40">
      <pivotArea field="0" type="button" dataOnly="0" labelOnly="1" outline="0" axis="axisRow" fieldPosition="0"/>
    </format>
    <format dxfId="39">
      <pivotArea field="4" type="button" dataOnly="0" labelOnly="1" outline="0" axis="axisRow" fieldPosition="1"/>
    </format>
    <format dxfId="38">
      <pivotArea field="17" type="button" dataOnly="0" labelOnly="1" outline="0" axis="axisRow" fieldPosition="2"/>
    </format>
    <format dxfId="37">
      <pivotArea dataOnly="0" labelOnly="1" outline="0" fieldPosition="0">
        <references count="1">
          <reference field="4294967294" count="4">
            <x v="0"/>
            <x v="1"/>
            <x v="2"/>
            <x v="3"/>
          </reference>
        </references>
      </pivotArea>
    </format>
    <format dxfId="36">
      <pivotArea field="0" type="button" dataOnly="0" labelOnly="1" outline="0" axis="axisRow" fieldPosition="0"/>
    </format>
    <format dxfId="35">
      <pivotArea field="4" type="button" dataOnly="0" labelOnly="1" outline="0" axis="axisRow" fieldPosition="1"/>
    </format>
    <format dxfId="34">
      <pivotArea field="17" type="button" dataOnly="0" labelOnly="1" outline="0" axis="axisRow" fieldPosition="2"/>
    </format>
    <format dxfId="33">
      <pivotArea dataOnly="0" labelOnly="1" outline="0" fieldPosition="0">
        <references count="1">
          <reference field="4294967294" count="4">
            <x v="0"/>
            <x v="1"/>
            <x v="2"/>
            <x v="3"/>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__Name__dRofus" xr10:uid="{B2BE67FE-56A2-43A3-B404-2FFA0DC642C7}" sourceName="Department (Name) dRofus">
  <pivotTables>
    <pivotTable tabId="11" name="PivotTable1"/>
  </pivotTables>
  <data>
    <tabular pivotCacheId="1688517983">
      <items count="19">
        <i x="0" s="1"/>
        <i x="1" s="1"/>
        <i x="2" s="1"/>
        <i x="3" s="1"/>
        <i x="4" s="1"/>
        <i x="5" s="1"/>
        <i x="6" s="1"/>
        <i x="7" s="1"/>
        <i x="8" s="1"/>
        <i x="9" s="1"/>
        <i x="10" s="1"/>
        <i x="11" s="1"/>
        <i x="12" s="1"/>
        <i x="13" s="1"/>
        <i x="14" s="1"/>
        <i x="15" s="1"/>
        <i x="16" s="1"/>
        <i x="17" s="1"/>
        <i x="18"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quipment_Category" xr10:uid="{97F44CF0-74D7-4092-9A2E-C0182A1EF7FC}" sourceName="Equipment Category">
  <pivotTables>
    <pivotTable tabId="11" name="PivotTable1"/>
  </pivotTables>
  <data>
    <tabular pivotCacheId="1688517983">
      <items count="6">
        <i x="2" s="1"/>
        <i x="3" s="1"/>
        <i x="0" s="1"/>
        <i x="1" s="1"/>
        <i x="5" s="1"/>
        <i x="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quipment_Type" xr10:uid="{9F6F4A06-5F72-4E67-A087-81D1A40838E3}" sourceName="Equipment Type">
  <pivotTables>
    <pivotTable tabId="11" name="PivotTable1"/>
  </pivotTables>
  <data>
    <tabular pivotCacheId="1688517983">
      <items count="34">
        <i x="3" s="1"/>
        <i x="4" s="1"/>
        <i x="5" s="1"/>
        <i x="19" s="1"/>
        <i x="11" s="1"/>
        <i x="20" s="1"/>
        <i x="25" s="1"/>
        <i x="1" s="1"/>
        <i x="14" s="1"/>
        <i x="15" s="1"/>
        <i x="6" s="1"/>
        <i x="12" s="1"/>
        <i x="0" s="1"/>
        <i x="10" s="1"/>
        <i x="13" s="1"/>
        <i x="16" s="1"/>
        <i x="21" s="1"/>
        <i x="7" s="1"/>
        <i x="22" s="1"/>
        <i x="23" s="1"/>
        <i x="17" s="1"/>
        <i x="18" s="1"/>
        <i x="24" s="1"/>
        <i x="8" s="1"/>
        <i x="9" s="1"/>
        <i x="2" s="1"/>
        <i x="30" s="1" nd="1"/>
        <i x="31" s="1" nd="1"/>
        <i x="33" s="1" nd="1"/>
        <i x="29" s="1" nd="1"/>
        <i x="28" s="1" nd="1"/>
        <i x="27" s="1" nd="1"/>
        <i x="26" s="1" nd="1"/>
        <i x="3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Name) dRofus" xr10:uid="{691FACDB-C138-42E0-A6D3-8243B9AD544D}" cache="Slicer_Department__Name__dRofus" caption="Department (Name) dRofus" rowHeight="241300"/>
  <slicer name="Equipment Category" xr10:uid="{EEF4DBBB-FB01-4B2F-9507-D69D54CAF495}" cache="Slicer_Equipment_Category" caption="Equipment Category" columnCount="6" rowHeight="241300"/>
  <slicer name="Equipment Type" xr10:uid="{F986ACE0-2097-4B33-923F-9F827A32C621}" cache="Slicer_Equipment_Type" caption="Equipment 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3AA88E-76DB-40CA-A123-638BC3EBB23A}" name="Mon_ILR" displayName="Mon_ILR" ref="B4:AH470" totalsRowShown="0" headerRowDxfId="395" dataDxfId="394" tableBorderDxfId="393" headerRowCellStyle="Normal 2 4 2" dataCellStyle="Normal 2 4 2">
  <autoFilter ref="B4:AH470" xr:uid="{4AF0422B-6B9C-43F1-8A05-2099612BA380}"/>
  <tableColumns count="33">
    <tableColumn id="1" xr3:uid="{88C675E3-7E6B-4355-AC8C-935C74AF9175}" name="Department (Name) dRofus" dataDxfId="392" dataCellStyle="Normal 2 4 2"/>
    <tableColumn id="2" xr3:uid="{8BD5531D-2574-4567-B942-19EA37036AEC}" name="Room Name dRofus" dataDxfId="391" dataCellStyle="Normal 2 4 2"/>
    <tableColumn id="3" xr3:uid="{62E0A0E3-AF10-4B20-8BD3-E8D662471898}" name="Room Number dRofus" dataDxfId="390" dataCellStyle="Normal 2 4 2"/>
    <tableColumn id="33" xr3:uid="{E3199211-8F75-4066-B61C-3D3757F603CA}" name="Patient Monitoring Type" dataDxfId="389" dataCellStyle="Normal 2 4 2"/>
    <tableColumn id="4" xr3:uid="{6F9C16EB-3CC7-4151-9095-BAD7B3367C15}" name="Equipment Type" dataDxfId="388" dataCellStyle="Normal 2 4 2"/>
    <tableColumn id="5" xr3:uid="{F0F969DE-642E-4A42-913E-88CBDD174FC9}" name="Mounting System" dataDxfId="387" dataCellStyle="Normal 2 4 2"/>
    <tableColumn id="6" xr3:uid="{182C7B26-8A4D-49A6-A0F6-EC28F31FBF40}" name="Notes/comments" dataDxfId="386" dataCellStyle="Normal 2 4 2"/>
    <tableColumn id="7" xr3:uid="{CF7D3150-DF1C-4BEC-AC36-156EADFDFDC9}" name="TRANSFER BARCODE" dataDxfId="385" dataCellStyle="Normal 2 4 2"/>
    <tableColumn id="8" xr3:uid="{3C567519-A9CC-467A-806F-CD681148C7E9}" name="TRANSFER DESCRIPTION" dataDxfId="384" dataCellStyle="Normal 2 4 2"/>
    <tableColumn id="9" xr3:uid="{47C18C78-0E3B-4412-858F-312F1BD4845E}" name="TRANSFER MAKE" dataDxfId="383" dataCellStyle="Normal 2 4 2"/>
    <tableColumn id="10" xr3:uid="{81EEF2CD-2B81-47C5-9001-0B5DC7D9247B}" name="Model" dataDxfId="382" dataCellStyle="Normal 2 4 2"/>
    <tableColumn id="11" xr3:uid="{F50346AF-DDC9-43D8-85E1-BE68420E06AC}" name="Serial Number" dataDxfId="381" dataCellStyle="Normal 2 4 2"/>
    <tableColumn id="12" xr3:uid="{F0451C88-3CED-440F-8D71-3762CBF8F090}" name="Current Location" dataDxfId="380" dataCellStyle="Normal 2 4 2"/>
    <tableColumn id="13" xr3:uid="{E996D770-30AD-4D4A-9416-63694191D58B}" name="QTY Transfer" dataDxfId="379" dataCellStyle="Normal 2 4 2"/>
    <tableColumn id="14" xr3:uid="{DAAFAE44-F8D6-4FF2-8028-53CB31A7E81A}" name="New Quantity Required " dataDxfId="378" dataCellStyle="Normal 2 4 2"/>
    <tableColumn id="15" xr3:uid="{467AD8F2-FFC3-4021-A4CC-BEA9FC90F842}" name="Please provide Upgrade Details - if required." dataDxfId="377" dataCellStyle="Normal 2 4 2"/>
    <tableColumn id="16" xr3:uid="{4AF9E65D-3FF7-4C95-B1A3-AC68555E2E10}" name="Philips comments" dataDxfId="376" dataCellStyle="Normal 2 4 2"/>
    <tableColumn id="17" xr3:uid="{CE6E9F5E-E414-456D-955F-1FD4F60414AE}" name="configuration - _x000a_• Compact_x000a_• Compact &amp; medium screen_x000a_• Compact &amp; large screen" dataDxfId="375" dataCellStyle="Normal 2 4 2"/>
    <tableColumn id="18" xr3:uid="{9798023A-31B5-40B5-A607-AA4BD38A4338}" name="ECG leads 3,5,12" dataDxfId="374" dataCellStyle="Normal 2 4 2"/>
    <tableColumn id="19" xr3:uid="{23C151B3-E7AB-48CF-ABC8-F9CDFFB5D668}" name="NIBP  ADULT/PEADs/NEO/ALL" dataDxfId="373" dataCellStyle="Normal 2 4 2"/>
    <tableColumn id="20" xr3:uid="{75BF2165-3A5F-4051-A330-E612A6D1C757}" name="SPO2  probe, finger, ear, disposable" dataDxfId="372" dataCellStyle="Normal 2 4 2"/>
    <tableColumn id="21" xr3:uid="{BC8C2841-C9D7-48CC-BBA8-742FBD7D87AF}" name="SPO2  Massimo/ Nellcor" dataDxfId="371" dataCellStyle="Normal 2 4 2"/>
    <tableColumn id="22" xr3:uid="{D6BFE339-BACA-43DD-9A16-2BFE799F92CF}" name="Airway Gases" dataDxfId="370" dataCellStyle="Normal 2 4 2"/>
    <tableColumn id="23" xr3:uid="{B2F1F7F7-2EBE-4A9C-8E4D-C83621759106}" name="BIS/TOF/NM" dataDxfId="369" dataCellStyle="Normal 2 4 2"/>
    <tableColumn id="24" xr3:uid="{AC319086-6BE9-45F2-9125-AAA5F5887AC0}" name="etCO2 mainstream or side stream" dataDxfId="368" dataCellStyle="Normal 2 4 2"/>
    <tableColumn id="25" xr3:uid="{EABA92F5-0BF9-496F-8588-CAEC25702067}" name="Cardiac Output" dataDxfId="367" dataCellStyle="Normal 2 4 2"/>
    <tableColumn id="26" xr3:uid="{EC31DECE-44C6-4BF5-8C42-E140B1DDDAF1}" name="IBP channels" dataDxfId="366" dataCellStyle="Normal 2 4 2"/>
    <tableColumn id="27" xr3:uid="{CAD87084-8390-4030-A911-1CED5450B6FA}" name="Transcutaneous CO2 &amp; O2" dataDxfId="365" dataCellStyle="Normal 2 4 2"/>
    <tableColumn id="28" xr3:uid="{8DAB63C9-1F31-41DF-834C-857E6B26D2C6}" name="Parameters other" dataDxfId="364" dataCellStyle="Normal 2 4 2"/>
    <tableColumn id="29" xr3:uid="{45B34079-D9D2-4E8C-AFE9-CB746AF0380F}" name="Strip printing or A4 Network" dataDxfId="363" dataCellStyle="Normal 2 4 2"/>
    <tableColumn id="30" xr3:uid="{1E53BE0B-1E26-425E-90A6-8421DA164AC9}" name="Bed overview" dataDxfId="362" dataCellStyle="Normal 2 4 2"/>
    <tableColumn id="31" xr3:uid="{6C77F954-C2E0-4419-B016-3D1F2DDF345F}" name="Slave screen" dataDxfId="361" dataCellStyle="Normal 2 4 2"/>
    <tableColumn id="32" xr3:uid="{AAA6160A-6D55-4456-B39A-23D4ACE49C17}" name="EMR" dataDxfId="360" dataCellStyle="Normal 2 4 2"/>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A55EB83-F76B-49A6-A9F3-046DE3D95D9A}" name="PhilipsLibary" displayName="PhilipsLibary" ref="B4:H48" totalsRowShown="0" headerRowDxfId="359">
  <autoFilter ref="B4:H48" xr:uid="{1A55EB83-F76B-49A6-A9F3-046DE3D95D9A}"/>
  <sortState xmlns:xlrd2="http://schemas.microsoft.com/office/spreadsheetml/2017/richdata2" ref="B5:G30">
    <sortCondition ref="B4:B30"/>
  </sortState>
  <tableColumns count="7">
    <tableColumn id="3" xr3:uid="{9EFA49C2-8562-4831-A212-51CD94A052DD}" name="Model"/>
    <tableColumn id="1" xr3:uid="{522D723A-7C25-428F-8630-079D373CCC4E}" name="Patient Monitoring Type" dataDxfId="358"/>
    <tableColumn id="2" xr3:uid="{A05291A5-9DB3-4F61-BBFA-0C653A86B28D}" name="New Equipment Make" dataDxfId="357"/>
    <tableColumn id="4" xr3:uid="{06F43B9E-C631-4A34-B9CF-E93535AF88B6}" name="Unit Rate" dataDxfId="356" dataCellStyle="Currency"/>
    <tableColumn id="5" xr3:uid="{C3C0F533-0690-4179-A763-7433A90E5837}" name="Mounting Rate " dataDxfId="355" dataCellStyle="Currency"/>
    <tableColumn id="6" xr3:uid="{E0983D82-6269-4AAA-A021-5557095435CA}" name="Install Rate" dataDxfId="354" dataCellStyle="Currency"/>
    <tableColumn id="7" xr3:uid="{D72F65E3-D0E2-4547-A9A1-B072264C7808}" name="Philips Comments" dataDxfId="353" dataCellStyle="Currency"/>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C87E6D-B3B6-4C59-9A8A-1AD1CE8965E1}" name="Mon_ILR2" displayName="Mon_ILR2" ref="B4:AO937" totalsRowShown="0" headerRowDxfId="352" dataDxfId="351" tableBorderDxfId="350" headerRowCellStyle="Normal 2 4 2" dataCellStyle="Normal 2 4 2">
  <autoFilter ref="B4:AO937" xr:uid="{4AF0422B-6B9C-43F1-8A05-2099612BA380}"/>
  <tableColumns count="40">
    <tableColumn id="1" xr3:uid="{69005D3C-10F7-4C1F-B48E-912C638A09DF}" name="Department (Name) dRofus" dataDxfId="349" dataCellStyle="Normal 2 4 2"/>
    <tableColumn id="2" xr3:uid="{CE8168FD-209A-49CA-8979-96A42B297214}" name="Room Name dRofus" dataDxfId="348" dataCellStyle="Normal 2 4 2"/>
    <tableColumn id="3" xr3:uid="{23528B38-526A-4096-99C6-0D8A0AF9C469}" name="Room Number dRofus" dataDxfId="347" dataCellStyle="Normal 2 4 2"/>
    <tableColumn id="39" xr3:uid="{06D09148-CEE7-4374-BAEB-F159718881FA}" name="Equipment Category" dataDxfId="346" dataCellStyle="Normal 2 4 2"/>
    <tableColumn id="4" xr3:uid="{D4C67E25-BBE9-43A8-B836-61B585B9B4BD}" name="Equipment Type" dataDxfId="345" dataCellStyle="Normal 2 4 2"/>
    <tableColumn id="5" xr3:uid="{D00F0DB3-7B3A-4ED0-8CC2-3E09162D48EC}" name="Mounting System" dataDxfId="344" dataCellStyle="Normal 2 4 2"/>
    <tableColumn id="40" xr3:uid="{B8BB298E-033F-4318-B550-F1D2DCA261B5}" name="Qty Required" dataDxfId="343" dataCellStyle="Normal 2 4 2"/>
    <tableColumn id="6" xr3:uid="{D3B9FC3C-F3C7-4C12-8A55-E0AD624D158E}" name="Notes/comments" dataDxfId="342" dataCellStyle="Normal 2 4 2"/>
    <tableColumn id="7" xr3:uid="{2ABE57BE-AB9B-4FD3-9B1D-8ECD0AE04DD5}" name="TRANSFER BARCODE" dataDxfId="341" dataCellStyle="Normal 2 4 2"/>
    <tableColumn id="8" xr3:uid="{519D88B9-0C71-4DE3-902C-2B673A49FB76}" name="TRANSFER DESCRIPTION" dataDxfId="340" dataCellStyle="Normal 2 4 2"/>
    <tableColumn id="9" xr3:uid="{EB246C94-FF9D-4911-96F0-879814019A9D}" name="TRANSFER MAKE" dataDxfId="339" dataCellStyle="Normal 2 4 2"/>
    <tableColumn id="10" xr3:uid="{2C0F97AE-0668-4322-8CD7-4592DF07B58D}" name="Model" dataDxfId="338" dataCellStyle="Normal 2 4 2"/>
    <tableColumn id="11" xr3:uid="{E9978E62-3F9D-4EEC-A47F-285D219D8D7A}" name="Serial Number" dataDxfId="337" dataCellStyle="Normal 2 4 2"/>
    <tableColumn id="12" xr3:uid="{31D996F1-6F83-4F8C-9A81-B8AEDDD41577}" name="Current Location" dataDxfId="336" dataCellStyle="Normal 2 4 2"/>
    <tableColumn id="13" xr3:uid="{917D95AB-C099-44B2-A288-F2F60F8CADDC}" name="QTY Transfer" dataDxfId="335" dataCellStyle="Normal 2 4 2"/>
    <tableColumn id="14" xr3:uid="{9E3C5E5B-A45B-4E96-879A-8FF6E10757E6}" name="New Quantity Required " dataDxfId="334" dataCellStyle="Normal 2 4 2">
      <calculatedColumnFormula>Mon_ILR2[[#This Row],[Qty Required]]-Mon_ILR2[[#This Row],[QTY Transfer]]</calculatedColumnFormula>
    </tableColumn>
    <tableColumn id="36" xr3:uid="{3F34CEA9-24B6-4C3D-9592-2679FD7E7AFC}" name="New Equipment Make" dataDxfId="333" dataCellStyle="Normal 2 4 2">
      <calculatedColumnFormula>IF(Mon_ILR2[[#This Row],[New Quantity Required ]]="1","Philips","")</calculatedColumnFormula>
    </tableColumn>
    <tableColumn id="35" xr3:uid="{7EB96E63-03A7-4081-B4C0-5956EEDD7342}" name="New Model" dataDxfId="332" dataCellStyle="Normal 2 4 2"/>
    <tableColumn id="34" xr3:uid="{061A8014-39AE-46E2-BE1E-51A2B129960D}" name="Unit Rate" dataDxfId="331" dataCellStyle="Currency">
      <calculatedColumnFormula>_xlfn.IFNA(VLOOKUP(Mon_ILR2[[#This Row],[New Model]],PhilipsLibary[],4,FALSE),"0")</calculatedColumnFormula>
    </tableColumn>
    <tableColumn id="37" xr3:uid="{DCC30C31-D7BA-4521-BDCA-CA3BA68A9B0A}" name="Mounting Rate" dataDxfId="330" dataCellStyle="Currency">
      <calculatedColumnFormula>_xlfn.IFNA(VLOOKUP(Mon_ILR2[[#This Row],[New Model]],PhilipsLibary[],5,FALSE),"0")</calculatedColumnFormula>
    </tableColumn>
    <tableColumn id="38" xr3:uid="{0AADD10A-2CC8-48F3-BCD7-A4ED3BB12CAD}" name="Accessory Rate" dataDxfId="329" dataCellStyle="Currency">
      <calculatedColumnFormula>_xlfn.IFNA(VLOOKUP(Mon_ILR2[[#This Row],[New Model]],PhilipsLibary[],5,FALSE),"0")</calculatedColumnFormula>
    </tableColumn>
    <tableColumn id="33" xr3:uid="{596361A6-9490-48B2-93E3-C8D21B4CE82B}" name="Extended Price" dataDxfId="328" dataCellStyle="Currency">
      <calculatedColumnFormula>Mon_ILR2[[#This Row],[Accessory Rate]]+Mon_ILR2[[#This Row],[Mounting Rate]]+Mon_ILR2[[#This Row],[Unit Rate]]*Mon_ILR2[[#This Row],[New Quantity Required ]]</calculatedColumnFormula>
    </tableColumn>
    <tableColumn id="15" xr3:uid="{20483E6D-4AE8-44CF-9BB4-38A8A841837A}" name="Please provide Upgrade Details - if required." dataDxfId="327" dataCellStyle="Normal 2 4 2"/>
    <tableColumn id="16" xr3:uid="{E6457F93-C65B-4782-8C66-95A2E7D88BFA}" name="Philips comments" dataDxfId="326" dataCellStyle="Normal 2 4 2"/>
    <tableColumn id="17" xr3:uid="{8DECE757-5313-4EA8-8636-AE43AFB7944D}" name="configuration - _x000a_• Compact_x000a_• Compact &amp; medium screen_x000a_• Compact &amp; large screen" dataDxfId="325" dataCellStyle="Normal 2 4 2"/>
    <tableColumn id="18" xr3:uid="{01DFE1DB-867D-4E60-9A1A-7EA9D6A810ED}" name="ECG leads 3,5,12" dataDxfId="324" dataCellStyle="Normal 2 4 2"/>
    <tableColumn id="19" xr3:uid="{1911661F-E482-4D85-BBD6-B059F80ED246}" name="NIBP  ADULT/PEADs/NEO/ALL" dataDxfId="323" dataCellStyle="Normal 2 4 2"/>
    <tableColumn id="20" xr3:uid="{60FB84EC-53C1-4FEE-B7F1-05B36D85D6D9}" name="SPO2  probe, finger, ear, disposable" dataDxfId="322" dataCellStyle="Normal 2 4 2"/>
    <tableColumn id="21" xr3:uid="{8D4A40C6-2A70-460C-BCEC-99C832B08F3C}" name="SPO2  Massimo/ Nellcor" dataDxfId="321" dataCellStyle="Normal 2 4 2"/>
    <tableColumn id="22" xr3:uid="{AC5706AD-3CCC-4567-9DDD-95B2F0D748B3}" name="Airway Gases" dataDxfId="320" dataCellStyle="Normal 2 4 2"/>
    <tableColumn id="23" xr3:uid="{4F1641C7-B0A5-4251-93EC-1E44549D32FF}" name="BIS/TOF/NM" dataDxfId="319" dataCellStyle="Normal 2 4 2"/>
    <tableColumn id="24" xr3:uid="{5DDF371A-F671-4AB6-AB9C-70E921038BED}" name="etCO2 mainstream or side stream" dataDxfId="318" dataCellStyle="Normal 2 4 2"/>
    <tableColumn id="25" xr3:uid="{D2194C49-8E28-4016-ACB6-9523A7FF4965}" name="Cardiac Output" dataDxfId="317" dataCellStyle="Normal 2 4 2"/>
    <tableColumn id="26" xr3:uid="{C5EF7E9F-295E-461B-9D3B-1291DD823FD7}" name="IBP channels" dataDxfId="316" dataCellStyle="Normal 2 4 2"/>
    <tableColumn id="27" xr3:uid="{AE471C81-D9EB-407E-973E-E78730911432}" name="Transcutaneous CO2 &amp; O2" dataDxfId="315" dataCellStyle="Normal 2 4 2"/>
    <tableColumn id="28" xr3:uid="{CAAA30D7-A95F-4F71-8F7C-2C67DBBCE45F}" name="Parameters other" dataDxfId="314" dataCellStyle="Normal 2 4 2"/>
    <tableColumn id="29" xr3:uid="{F2BCC0F3-D11C-435E-94B8-571AB95FD07F}" name="Strip printing or A4 Network" dataDxfId="313" dataCellStyle="Normal 2 4 2"/>
    <tableColumn id="30" xr3:uid="{1C10CBC3-53D6-4233-A74C-4F7048674B6E}" name="Bed overview" dataDxfId="312" dataCellStyle="Normal 2 4 2"/>
    <tableColumn id="31" xr3:uid="{DC43CCAD-6847-475D-8D27-06F670A8DA0B}" name="Slave screen" dataDxfId="311" dataCellStyle="Normal 2 4 2"/>
    <tableColumn id="32" xr3:uid="{680B5BD0-430C-441D-BAF1-6F7044FB056C}" name="EMR" dataDxfId="310" dataCellStyle="Normal 2 4 2"/>
  </tableColumns>
  <tableStyleInfo name="TableStyleMedium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C255864-20BB-4774-8489-454C734AC945}" name="WH_Data" displayName="WH_Data" ref="B2:Q332" totalsRowShown="0" headerRowDxfId="309" dataDxfId="307" headerRowBorderDxfId="308" tableBorderDxfId="306" totalsRowBorderDxfId="305">
  <autoFilter ref="B2:Q332" xr:uid="{1C255864-20BB-4774-8489-454C734AC945}"/>
  <sortState xmlns:xlrd2="http://schemas.microsoft.com/office/spreadsheetml/2017/richdata2" ref="B126:Q203">
    <sortCondition sortBy="cellColor" ref="B2:B332" dxfId="304"/>
  </sortState>
  <tableColumns count="16">
    <tableColumn id="36" xr3:uid="{BAA3ABB9-2CE6-4B8E-A539-559DA7546E4C}" name="Audit Barcode" dataDxfId="303"/>
    <tableColumn id="1" xr3:uid="{0081B216-D124-4100-9089-034857E5DE85}" name="Asset_no" dataDxfId="302"/>
    <tableColumn id="8" xr3:uid="{ED6E9D38-FA23-444C-80D7-B52D6417BDAA}" name="Make" dataDxfId="301"/>
    <tableColumn id="9" xr3:uid="{3774C2A1-8BCA-4D6C-9B62-97DA1643049F}" name="Model" dataDxfId="300"/>
    <tableColumn id="5" xr3:uid="{D609F576-DF89-41E1-B332-9FB237A34AFE}" name="Name" dataDxfId="299"/>
    <tableColumn id="2" xr3:uid="{8F6EEA30-FAFA-4896-B7AE-ADD87F9FBC11}" name="Description" dataDxfId="298"/>
    <tableColumn id="10" xr3:uid="{D370B7C0-BD09-4189-9264-264ECDA2AA40}" name="Serial" dataDxfId="297"/>
    <tableColumn id="34" xr3:uid="{1AD957FE-6331-47E7-A110-92E1C96CC807}" name="Location" dataDxfId="296"/>
    <tableColumn id="56" xr3:uid="{04F25236-01FF-4775-893B-B69B7E9C2E41}" name="Asset_sub_system_code" dataDxfId="295"/>
    <tableColumn id="4" xr3:uid="{EF6826A6-AAAF-48C3-8229-77546F9E67C2}" name="Purchase date" dataDxfId="294"/>
    <tableColumn id="11" xr3:uid="{322A251D-9AE3-49A0-806E-83C349080FFC}" name="Warranty period" dataDxfId="293"/>
    <tableColumn id="15" xr3:uid="{7ED61E64-460D-41ED-93C1-154D080A22DC}" name="Floor" dataDxfId="292"/>
    <tableColumn id="22" xr3:uid="{16FA8099-444C-4723-AF03-84CAFFAF7E24}" name="Installation_date" dataDxfId="291"/>
    <tableColumn id="33" xr3:uid="{B5B6D02C-0611-4D30-8EF3-70C500F33C6B}" name="Working life" dataDxfId="290"/>
    <tableColumn id="38" xr3:uid="{2CDA481A-570E-4BBF-A30A-C27914403F07}" name="Alteration_date_time" dataDxfId="289"/>
    <tableColumn id="3" xr3:uid="{8A418EED-64F4-4A42-A2B2-C5710CAEF17B}" name="Check For Transfer" dataDxfId="288">
      <calculatedColumnFormula>ISERROR(VLOOKUP($B3,'ILR MonitorDistrubution BAFO_V2'!J:J,1,FALSE))</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3.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ivotTable" Target="../pivotTables/pivotTable1.xml"/><Relationship Id="rId4" Type="http://schemas.microsoft.com/office/2007/relationships/slicer" Target="../slicers/slicer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4E829-3AE9-4511-8292-3B372967B147}">
  <sheetPr codeName="Sheet2">
    <tabColor rgb="FF99FF66"/>
  </sheetPr>
  <dimension ref="B2:AI470"/>
  <sheetViews>
    <sheetView zoomScale="85" zoomScaleNormal="85" workbookViewId="0">
      <selection activeCell="G329" sqref="G329"/>
    </sheetView>
  </sheetViews>
  <sheetFormatPr defaultColWidth="10.28515625" defaultRowHeight="22.5" customHeight="1" x14ac:dyDescent="0.25"/>
  <cols>
    <col min="1" max="1" width="2.85546875" style="7" customWidth="1"/>
    <col min="2" max="2" width="48.140625" style="3" customWidth="1"/>
    <col min="3" max="3" width="55.85546875" style="3" customWidth="1"/>
    <col min="4" max="5" width="27.5703125" style="3" customWidth="1"/>
    <col min="6" max="6" width="62.140625" style="3" customWidth="1"/>
    <col min="7" max="7" width="54.5703125" style="3" customWidth="1"/>
    <col min="8" max="8" width="40.140625" style="3" customWidth="1"/>
    <col min="9" max="9" width="24" style="8" customWidth="1"/>
    <col min="10" max="10" width="56.85546875" style="3" customWidth="1"/>
    <col min="11" max="11" width="34.5703125" style="3" customWidth="1"/>
    <col min="12" max="12" width="22.5703125" style="3" customWidth="1"/>
    <col min="13" max="13" width="37.5703125" style="3" customWidth="1"/>
    <col min="14" max="14" width="29" style="3" customWidth="1"/>
    <col min="15" max="15" width="21.7109375" style="5" customWidth="1"/>
    <col min="16" max="16" width="26.42578125" style="5" customWidth="1"/>
    <col min="17" max="17" width="53.7109375" style="5" customWidth="1"/>
    <col min="18" max="18" width="25.85546875" style="5" hidden="1" customWidth="1"/>
    <col min="19" max="19" width="33.42578125" style="6" hidden="1" customWidth="1"/>
    <col min="20" max="20" width="25.5703125" style="6" hidden="1" customWidth="1"/>
    <col min="21" max="21" width="32.7109375" style="6" hidden="1" customWidth="1"/>
    <col min="22" max="22" width="26.5703125" style="6" hidden="1" customWidth="1"/>
    <col min="23" max="23" width="20" style="6" hidden="1" customWidth="1"/>
    <col min="24" max="24" width="23.28515625" style="6" hidden="1" customWidth="1"/>
    <col min="25" max="25" width="30.5703125" style="6" hidden="1" customWidth="1"/>
    <col min="26" max="26" width="33.7109375" style="6" hidden="1" customWidth="1"/>
    <col min="27" max="27" width="43.28515625" style="6" hidden="1" customWidth="1"/>
    <col min="28" max="28" width="41.28515625" style="6" hidden="1" customWidth="1"/>
    <col min="29" max="29" width="14.7109375" style="6" hidden="1" customWidth="1"/>
    <col min="30" max="30" width="18.5703125" style="6" hidden="1" customWidth="1"/>
    <col min="31" max="31" width="17.85546875" style="6" hidden="1" customWidth="1"/>
    <col min="32" max="32" width="22.28515625" style="6" hidden="1" customWidth="1"/>
    <col min="33" max="33" width="24.7109375" style="6" hidden="1" customWidth="1"/>
    <col min="34" max="34" width="33.7109375" style="6" customWidth="1"/>
    <col min="35" max="35" width="38.28515625" style="7" customWidth="1"/>
    <col min="36" max="16384" width="10.28515625" style="7"/>
  </cols>
  <sheetData>
    <row r="2" spans="2:34" ht="22.5" customHeight="1" x14ac:dyDescent="0.25">
      <c r="B2" s="1" t="s">
        <v>0</v>
      </c>
      <c r="C2" s="2"/>
      <c r="D2" s="2"/>
      <c r="E2" s="2"/>
      <c r="I2" s="15"/>
    </row>
    <row r="3" spans="2:34" ht="22.5" customHeight="1" x14ac:dyDescent="0.25">
      <c r="I3" s="307" t="s">
        <v>1</v>
      </c>
      <c r="J3" s="307"/>
      <c r="K3" s="307"/>
      <c r="L3" s="14"/>
      <c r="M3" s="14"/>
      <c r="N3" s="14"/>
      <c r="O3" s="14"/>
      <c r="P3" s="8"/>
      <c r="Q3" s="17"/>
      <c r="R3" s="17"/>
    </row>
    <row r="4" spans="2:34" ht="60.75" customHeight="1" thickBot="1" x14ac:dyDescent="0.3">
      <c r="B4" s="20" t="s">
        <v>2</v>
      </c>
      <c r="C4" s="21" t="s">
        <v>3</v>
      </c>
      <c r="D4" s="22" t="s">
        <v>4</v>
      </c>
      <c r="E4" s="40" t="s">
        <v>5</v>
      </c>
      <c r="F4" s="23" t="s">
        <v>6</v>
      </c>
      <c r="G4" s="23" t="s">
        <v>7</v>
      </c>
      <c r="H4" s="24" t="s">
        <v>8</v>
      </c>
      <c r="I4" s="25" t="s">
        <v>9</v>
      </c>
      <c r="J4" s="25" t="s">
        <v>10</v>
      </c>
      <c r="K4" s="25" t="s">
        <v>11</v>
      </c>
      <c r="L4" s="25" t="s">
        <v>12</v>
      </c>
      <c r="M4" s="25" t="s">
        <v>13</v>
      </c>
      <c r="N4" s="25" t="s">
        <v>14</v>
      </c>
      <c r="O4" s="26" t="s">
        <v>15</v>
      </c>
      <c r="P4" s="27" t="s">
        <v>16</v>
      </c>
      <c r="Q4" s="28" t="s">
        <v>17</v>
      </c>
      <c r="R4" s="29" t="s">
        <v>18</v>
      </c>
      <c r="S4" s="30" t="s">
        <v>19</v>
      </c>
      <c r="T4" s="30" t="s">
        <v>20</v>
      </c>
      <c r="U4" s="30" t="s">
        <v>21</v>
      </c>
      <c r="V4" s="30" t="s">
        <v>22</v>
      </c>
      <c r="W4" s="30" t="s">
        <v>23</v>
      </c>
      <c r="X4" s="30" t="s">
        <v>24</v>
      </c>
      <c r="Y4" s="30" t="s">
        <v>25</v>
      </c>
      <c r="Z4" s="30" t="s">
        <v>26</v>
      </c>
      <c r="AA4" s="30" t="s">
        <v>27</v>
      </c>
      <c r="AB4" s="30" t="s">
        <v>28</v>
      </c>
      <c r="AC4" s="30" t="s">
        <v>29</v>
      </c>
      <c r="AD4" s="30" t="s">
        <v>30</v>
      </c>
      <c r="AE4" s="30" t="s">
        <v>31</v>
      </c>
      <c r="AF4" s="30" t="s">
        <v>32</v>
      </c>
      <c r="AG4" s="30" t="s">
        <v>33</v>
      </c>
      <c r="AH4" s="31" t="s">
        <v>34</v>
      </c>
    </row>
    <row r="5" spans="2:34" ht="22.5" customHeight="1" x14ac:dyDescent="0.25">
      <c r="B5" s="18" t="s">
        <v>35</v>
      </c>
      <c r="C5" s="9" t="s">
        <v>36</v>
      </c>
      <c r="D5" s="10" t="s">
        <v>37</v>
      </c>
      <c r="E5" s="10"/>
      <c r="F5" s="10" t="s">
        <v>38</v>
      </c>
      <c r="G5" s="10" t="s">
        <v>39</v>
      </c>
      <c r="H5" s="10"/>
      <c r="I5" s="16" t="s">
        <v>40</v>
      </c>
      <c r="J5" s="10" t="s">
        <v>38</v>
      </c>
      <c r="K5" s="10" t="s">
        <v>41</v>
      </c>
      <c r="L5" s="10" t="s">
        <v>42</v>
      </c>
      <c r="M5" s="10" t="s">
        <v>43</v>
      </c>
      <c r="N5" s="10" t="s">
        <v>44</v>
      </c>
      <c r="O5" s="39">
        <v>1</v>
      </c>
      <c r="P5" s="11">
        <v>1</v>
      </c>
      <c r="Q5" s="11"/>
      <c r="R5" s="11"/>
      <c r="S5" s="12" t="s">
        <v>45</v>
      </c>
      <c r="T5" s="12" t="s">
        <v>46</v>
      </c>
      <c r="U5" s="12" t="s">
        <v>47</v>
      </c>
      <c r="V5" s="12" t="s">
        <v>48</v>
      </c>
      <c r="W5" s="12" t="s">
        <v>49</v>
      </c>
      <c r="X5" s="12" t="s">
        <v>50</v>
      </c>
      <c r="Y5" s="12" t="s">
        <v>50</v>
      </c>
      <c r="Z5" s="12" t="s">
        <v>50</v>
      </c>
      <c r="AA5" s="12" t="s">
        <v>50</v>
      </c>
      <c r="AB5" s="12" t="s">
        <v>51</v>
      </c>
      <c r="AC5" s="12" t="s">
        <v>50</v>
      </c>
      <c r="AD5" s="12" t="s">
        <v>50</v>
      </c>
      <c r="AE5" s="12" t="s">
        <v>52</v>
      </c>
      <c r="AF5" s="12" t="s">
        <v>53</v>
      </c>
      <c r="AG5" s="12" t="s">
        <v>50</v>
      </c>
      <c r="AH5" s="19" t="s">
        <v>54</v>
      </c>
    </row>
    <row r="6" spans="2:34" ht="22.5" customHeight="1" x14ac:dyDescent="0.25">
      <c r="B6" s="18" t="s">
        <v>35</v>
      </c>
      <c r="C6" s="9" t="s">
        <v>36</v>
      </c>
      <c r="D6" s="10" t="s">
        <v>55</v>
      </c>
      <c r="E6" s="10"/>
      <c r="F6" s="10" t="s">
        <v>38</v>
      </c>
      <c r="G6" s="10" t="s">
        <v>39</v>
      </c>
      <c r="H6" s="10"/>
      <c r="I6" s="16" t="s">
        <v>56</v>
      </c>
      <c r="J6" s="10" t="s">
        <v>38</v>
      </c>
      <c r="K6" s="10" t="s">
        <v>41</v>
      </c>
      <c r="L6" s="10" t="s">
        <v>42</v>
      </c>
      <c r="M6" s="10" t="s">
        <v>57</v>
      </c>
      <c r="N6" s="10" t="s">
        <v>44</v>
      </c>
      <c r="O6" s="39">
        <v>1</v>
      </c>
      <c r="P6" s="11">
        <v>1</v>
      </c>
      <c r="Q6" s="11"/>
      <c r="R6" s="11"/>
      <c r="S6" s="12" t="s">
        <v>45</v>
      </c>
      <c r="T6" s="12" t="s">
        <v>46</v>
      </c>
      <c r="U6" s="12" t="s">
        <v>47</v>
      </c>
      <c r="V6" s="12" t="s">
        <v>48</v>
      </c>
      <c r="W6" s="12" t="s">
        <v>49</v>
      </c>
      <c r="X6" s="12" t="s">
        <v>50</v>
      </c>
      <c r="Y6" s="12" t="s">
        <v>50</v>
      </c>
      <c r="Z6" s="12" t="s">
        <v>50</v>
      </c>
      <c r="AA6" s="12" t="s">
        <v>50</v>
      </c>
      <c r="AB6" s="12" t="s">
        <v>51</v>
      </c>
      <c r="AC6" s="12" t="s">
        <v>50</v>
      </c>
      <c r="AD6" s="12" t="s">
        <v>50</v>
      </c>
      <c r="AE6" s="12" t="s">
        <v>52</v>
      </c>
      <c r="AF6" s="12" t="s">
        <v>53</v>
      </c>
      <c r="AG6" s="12" t="s">
        <v>50</v>
      </c>
      <c r="AH6" s="19" t="s">
        <v>54</v>
      </c>
    </row>
    <row r="7" spans="2:34" ht="22.5" customHeight="1" x14ac:dyDescent="0.25">
      <c r="B7" s="18" t="s">
        <v>35</v>
      </c>
      <c r="C7" s="9" t="s">
        <v>58</v>
      </c>
      <c r="D7" s="10" t="s">
        <v>59</v>
      </c>
      <c r="E7" s="10"/>
      <c r="F7" s="10" t="s">
        <v>38</v>
      </c>
      <c r="G7" s="10" t="s">
        <v>39</v>
      </c>
      <c r="H7" s="10"/>
      <c r="I7" s="16" t="s">
        <v>60</v>
      </c>
      <c r="J7" s="10" t="s">
        <v>38</v>
      </c>
      <c r="K7" s="10" t="s">
        <v>41</v>
      </c>
      <c r="L7" s="10" t="s">
        <v>42</v>
      </c>
      <c r="M7" s="10" t="s">
        <v>61</v>
      </c>
      <c r="N7" s="10" t="s">
        <v>44</v>
      </c>
      <c r="O7" s="39">
        <v>1</v>
      </c>
      <c r="P7" s="11">
        <v>1</v>
      </c>
      <c r="Q7" s="11"/>
      <c r="R7" s="11"/>
      <c r="S7" s="12" t="s">
        <v>45</v>
      </c>
      <c r="T7" s="12" t="s">
        <v>46</v>
      </c>
      <c r="U7" s="12" t="s">
        <v>47</v>
      </c>
      <c r="V7" s="12" t="s">
        <v>48</v>
      </c>
      <c r="W7" s="12" t="s">
        <v>49</v>
      </c>
      <c r="X7" s="12" t="s">
        <v>50</v>
      </c>
      <c r="Y7" s="12" t="s">
        <v>50</v>
      </c>
      <c r="Z7" s="12" t="s">
        <v>50</v>
      </c>
      <c r="AA7" s="12" t="s">
        <v>50</v>
      </c>
      <c r="AB7" s="12" t="s">
        <v>51</v>
      </c>
      <c r="AC7" s="12" t="s">
        <v>50</v>
      </c>
      <c r="AD7" s="12" t="s">
        <v>50</v>
      </c>
      <c r="AE7" s="12" t="s">
        <v>52</v>
      </c>
      <c r="AF7" s="12" t="s">
        <v>53</v>
      </c>
      <c r="AG7" s="12" t="s">
        <v>50</v>
      </c>
      <c r="AH7" s="19" t="s">
        <v>54</v>
      </c>
    </row>
    <row r="8" spans="2:34" ht="22.5" customHeight="1" x14ac:dyDescent="0.25">
      <c r="B8" s="18" t="s">
        <v>35</v>
      </c>
      <c r="C8" s="9" t="s">
        <v>58</v>
      </c>
      <c r="D8" s="10" t="s">
        <v>62</v>
      </c>
      <c r="E8" s="10"/>
      <c r="F8" s="10" t="s">
        <v>38</v>
      </c>
      <c r="G8" s="10" t="s">
        <v>39</v>
      </c>
      <c r="H8" s="10"/>
      <c r="I8" s="16" t="s">
        <v>63</v>
      </c>
      <c r="J8" s="10" t="s">
        <v>38</v>
      </c>
      <c r="K8" s="10" t="s">
        <v>41</v>
      </c>
      <c r="L8" s="10" t="s">
        <v>64</v>
      </c>
      <c r="M8" s="10" t="s">
        <v>65</v>
      </c>
      <c r="N8" s="10" t="s">
        <v>66</v>
      </c>
      <c r="O8" s="39">
        <v>1</v>
      </c>
      <c r="P8" s="11">
        <v>1</v>
      </c>
      <c r="Q8" s="11"/>
      <c r="R8" s="11"/>
      <c r="S8" s="12" t="s">
        <v>45</v>
      </c>
      <c r="T8" s="12" t="s">
        <v>46</v>
      </c>
      <c r="U8" s="12" t="s">
        <v>47</v>
      </c>
      <c r="V8" s="12" t="s">
        <v>48</v>
      </c>
      <c r="W8" s="12" t="s">
        <v>49</v>
      </c>
      <c r="X8" s="12" t="s">
        <v>50</v>
      </c>
      <c r="Y8" s="12" t="s">
        <v>50</v>
      </c>
      <c r="Z8" s="12" t="s">
        <v>50</v>
      </c>
      <c r="AA8" s="12" t="s">
        <v>50</v>
      </c>
      <c r="AB8" s="12" t="s">
        <v>51</v>
      </c>
      <c r="AC8" s="12" t="s">
        <v>50</v>
      </c>
      <c r="AD8" s="12" t="s">
        <v>50</v>
      </c>
      <c r="AE8" s="12" t="s">
        <v>52</v>
      </c>
      <c r="AF8" s="12" t="s">
        <v>53</v>
      </c>
      <c r="AG8" s="12" t="s">
        <v>50</v>
      </c>
      <c r="AH8" s="19" t="s">
        <v>54</v>
      </c>
    </row>
    <row r="9" spans="2:34" ht="22.5" customHeight="1" x14ac:dyDescent="0.25">
      <c r="B9" s="18" t="s">
        <v>35</v>
      </c>
      <c r="C9" s="9" t="s">
        <v>58</v>
      </c>
      <c r="D9" s="10" t="s">
        <v>67</v>
      </c>
      <c r="E9" s="10"/>
      <c r="F9" s="10" t="s">
        <v>38</v>
      </c>
      <c r="G9" s="10" t="s">
        <v>39</v>
      </c>
      <c r="H9" s="10"/>
      <c r="I9" s="16" t="s">
        <v>68</v>
      </c>
      <c r="J9" s="10" t="s">
        <v>38</v>
      </c>
      <c r="K9" s="10" t="s">
        <v>41</v>
      </c>
      <c r="L9" s="10" t="s">
        <v>64</v>
      </c>
      <c r="M9" s="10" t="s">
        <v>69</v>
      </c>
      <c r="N9" s="10" t="s">
        <v>66</v>
      </c>
      <c r="O9" s="39">
        <v>1</v>
      </c>
      <c r="P9" s="11">
        <v>1</v>
      </c>
      <c r="Q9" s="11"/>
      <c r="R9" s="11"/>
      <c r="S9" s="12" t="s">
        <v>45</v>
      </c>
      <c r="T9" s="12" t="s">
        <v>46</v>
      </c>
      <c r="U9" s="12" t="s">
        <v>47</v>
      </c>
      <c r="V9" s="12" t="s">
        <v>48</v>
      </c>
      <c r="W9" s="12" t="s">
        <v>49</v>
      </c>
      <c r="X9" s="12" t="s">
        <v>50</v>
      </c>
      <c r="Y9" s="12" t="s">
        <v>50</v>
      </c>
      <c r="Z9" s="12" t="s">
        <v>50</v>
      </c>
      <c r="AA9" s="12" t="s">
        <v>50</v>
      </c>
      <c r="AB9" s="12" t="s">
        <v>51</v>
      </c>
      <c r="AC9" s="12" t="s">
        <v>50</v>
      </c>
      <c r="AD9" s="12" t="s">
        <v>50</v>
      </c>
      <c r="AE9" s="12" t="s">
        <v>52</v>
      </c>
      <c r="AF9" s="12" t="s">
        <v>53</v>
      </c>
      <c r="AG9" s="12" t="s">
        <v>50</v>
      </c>
      <c r="AH9" s="19" t="s">
        <v>54</v>
      </c>
    </row>
    <row r="10" spans="2:34" ht="22.5" customHeight="1" x14ac:dyDescent="0.25">
      <c r="B10" s="18" t="s">
        <v>35</v>
      </c>
      <c r="C10" s="9" t="s">
        <v>58</v>
      </c>
      <c r="D10" s="10" t="s">
        <v>70</v>
      </c>
      <c r="E10" s="10"/>
      <c r="F10" s="10" t="s">
        <v>38</v>
      </c>
      <c r="G10" s="10" t="s">
        <v>39</v>
      </c>
      <c r="H10" s="10"/>
      <c r="I10" s="16" t="s">
        <v>71</v>
      </c>
      <c r="J10" s="10" t="s">
        <v>38</v>
      </c>
      <c r="K10" s="10" t="s">
        <v>41</v>
      </c>
      <c r="L10" s="10" t="s">
        <v>64</v>
      </c>
      <c r="M10" s="10" t="s">
        <v>72</v>
      </c>
      <c r="N10" s="10" t="s">
        <v>66</v>
      </c>
      <c r="O10" s="39">
        <v>1</v>
      </c>
      <c r="P10" s="11">
        <v>1</v>
      </c>
      <c r="Q10" s="11"/>
      <c r="R10" s="11"/>
      <c r="S10" s="12" t="s">
        <v>45</v>
      </c>
      <c r="T10" s="12" t="s">
        <v>46</v>
      </c>
      <c r="U10" s="12" t="s">
        <v>47</v>
      </c>
      <c r="V10" s="12" t="s">
        <v>48</v>
      </c>
      <c r="W10" s="12" t="s">
        <v>49</v>
      </c>
      <c r="X10" s="12" t="s">
        <v>50</v>
      </c>
      <c r="Y10" s="12" t="s">
        <v>50</v>
      </c>
      <c r="Z10" s="12" t="s">
        <v>50</v>
      </c>
      <c r="AA10" s="12" t="s">
        <v>50</v>
      </c>
      <c r="AB10" s="12" t="s">
        <v>51</v>
      </c>
      <c r="AC10" s="12" t="s">
        <v>50</v>
      </c>
      <c r="AD10" s="12" t="s">
        <v>50</v>
      </c>
      <c r="AE10" s="12" t="s">
        <v>52</v>
      </c>
      <c r="AF10" s="12" t="s">
        <v>53</v>
      </c>
      <c r="AG10" s="12" t="s">
        <v>50</v>
      </c>
      <c r="AH10" s="19" t="s">
        <v>54</v>
      </c>
    </row>
    <row r="11" spans="2:34" ht="22.5" customHeight="1" x14ac:dyDescent="0.25">
      <c r="B11" s="18" t="s">
        <v>35</v>
      </c>
      <c r="C11" s="9" t="s">
        <v>58</v>
      </c>
      <c r="D11" s="10" t="s">
        <v>73</v>
      </c>
      <c r="E11" s="10"/>
      <c r="F11" s="10" t="s">
        <v>38</v>
      </c>
      <c r="G11" s="10" t="s">
        <v>39</v>
      </c>
      <c r="H11" s="10"/>
      <c r="I11" s="16" t="s">
        <v>74</v>
      </c>
      <c r="J11" s="10" t="s">
        <v>38</v>
      </c>
      <c r="K11" s="10" t="s">
        <v>41</v>
      </c>
      <c r="L11" s="10" t="s">
        <v>64</v>
      </c>
      <c r="M11" s="10" t="s">
        <v>75</v>
      </c>
      <c r="N11" s="10" t="s">
        <v>66</v>
      </c>
      <c r="O11" s="39">
        <v>1</v>
      </c>
      <c r="P11" s="11">
        <v>1</v>
      </c>
      <c r="Q11" s="11"/>
      <c r="R11" s="11"/>
      <c r="S11" s="12" t="s">
        <v>45</v>
      </c>
      <c r="T11" s="12" t="s">
        <v>46</v>
      </c>
      <c r="U11" s="12" t="s">
        <v>47</v>
      </c>
      <c r="V11" s="12" t="s">
        <v>48</v>
      </c>
      <c r="W11" s="12" t="s">
        <v>49</v>
      </c>
      <c r="X11" s="12" t="s">
        <v>50</v>
      </c>
      <c r="Y11" s="12" t="s">
        <v>50</v>
      </c>
      <c r="Z11" s="12" t="s">
        <v>50</v>
      </c>
      <c r="AA11" s="12" t="s">
        <v>50</v>
      </c>
      <c r="AB11" s="12" t="s">
        <v>51</v>
      </c>
      <c r="AC11" s="12" t="s">
        <v>50</v>
      </c>
      <c r="AD11" s="12" t="s">
        <v>50</v>
      </c>
      <c r="AE11" s="12" t="s">
        <v>52</v>
      </c>
      <c r="AF11" s="12" t="s">
        <v>53</v>
      </c>
      <c r="AG11" s="12" t="s">
        <v>50</v>
      </c>
      <c r="AH11" s="19" t="s">
        <v>54</v>
      </c>
    </row>
    <row r="12" spans="2:34" ht="22.5" customHeight="1" x14ac:dyDescent="0.25">
      <c r="B12" s="18" t="s">
        <v>35</v>
      </c>
      <c r="C12" s="9" t="s">
        <v>58</v>
      </c>
      <c r="D12" s="10" t="s">
        <v>76</v>
      </c>
      <c r="E12" s="10"/>
      <c r="F12" s="10" t="s">
        <v>38</v>
      </c>
      <c r="G12" s="10" t="s">
        <v>39</v>
      </c>
      <c r="H12" s="10"/>
      <c r="I12" s="16" t="s">
        <v>77</v>
      </c>
      <c r="J12" s="10" t="s">
        <v>38</v>
      </c>
      <c r="K12" s="10" t="s">
        <v>41</v>
      </c>
      <c r="L12" s="10" t="s">
        <v>42</v>
      </c>
      <c r="M12" s="10" t="s">
        <v>78</v>
      </c>
      <c r="N12" s="10" t="s">
        <v>66</v>
      </c>
      <c r="O12" s="39">
        <v>1</v>
      </c>
      <c r="P12" s="11">
        <v>1</v>
      </c>
      <c r="Q12" s="11"/>
      <c r="R12" s="11"/>
      <c r="S12" s="12" t="s">
        <v>45</v>
      </c>
      <c r="T12" s="12" t="s">
        <v>46</v>
      </c>
      <c r="U12" s="12" t="s">
        <v>47</v>
      </c>
      <c r="V12" s="12" t="s">
        <v>48</v>
      </c>
      <c r="W12" s="12" t="s">
        <v>49</v>
      </c>
      <c r="X12" s="12" t="s">
        <v>50</v>
      </c>
      <c r="Y12" s="12" t="s">
        <v>50</v>
      </c>
      <c r="Z12" s="12" t="s">
        <v>50</v>
      </c>
      <c r="AA12" s="12" t="s">
        <v>50</v>
      </c>
      <c r="AB12" s="12" t="s">
        <v>51</v>
      </c>
      <c r="AC12" s="12" t="s">
        <v>50</v>
      </c>
      <c r="AD12" s="12" t="s">
        <v>50</v>
      </c>
      <c r="AE12" s="12" t="s">
        <v>52</v>
      </c>
      <c r="AF12" s="12" t="s">
        <v>53</v>
      </c>
      <c r="AG12" s="12" t="s">
        <v>50</v>
      </c>
      <c r="AH12" s="19" t="s">
        <v>54</v>
      </c>
    </row>
    <row r="13" spans="2:34" ht="22.5" customHeight="1" x14ac:dyDescent="0.25">
      <c r="B13" s="18" t="s">
        <v>35</v>
      </c>
      <c r="C13" s="9" t="s">
        <v>58</v>
      </c>
      <c r="D13" s="10" t="s">
        <v>79</v>
      </c>
      <c r="E13" s="10"/>
      <c r="F13" s="10" t="s">
        <v>38</v>
      </c>
      <c r="G13" s="10" t="s">
        <v>39</v>
      </c>
      <c r="H13" s="10"/>
      <c r="I13" s="16" t="s">
        <v>80</v>
      </c>
      <c r="J13" s="10" t="s">
        <v>38</v>
      </c>
      <c r="K13" s="10" t="s">
        <v>41</v>
      </c>
      <c r="L13" s="10" t="s">
        <v>42</v>
      </c>
      <c r="M13" s="10" t="s">
        <v>81</v>
      </c>
      <c r="N13" s="10" t="s">
        <v>66</v>
      </c>
      <c r="O13" s="39">
        <v>1</v>
      </c>
      <c r="P13" s="11">
        <v>1</v>
      </c>
      <c r="Q13" s="11"/>
      <c r="R13" s="11"/>
      <c r="S13" s="12" t="s">
        <v>45</v>
      </c>
      <c r="T13" s="12" t="s">
        <v>46</v>
      </c>
      <c r="U13" s="12" t="s">
        <v>47</v>
      </c>
      <c r="V13" s="12" t="s">
        <v>48</v>
      </c>
      <c r="W13" s="12" t="s">
        <v>49</v>
      </c>
      <c r="X13" s="12" t="s">
        <v>50</v>
      </c>
      <c r="Y13" s="12" t="s">
        <v>50</v>
      </c>
      <c r="Z13" s="12" t="s">
        <v>50</v>
      </c>
      <c r="AA13" s="12" t="s">
        <v>50</v>
      </c>
      <c r="AB13" s="12" t="s">
        <v>51</v>
      </c>
      <c r="AC13" s="12" t="s">
        <v>50</v>
      </c>
      <c r="AD13" s="12" t="s">
        <v>50</v>
      </c>
      <c r="AE13" s="12" t="s">
        <v>52</v>
      </c>
      <c r="AF13" s="12" t="s">
        <v>53</v>
      </c>
      <c r="AG13" s="12" t="s">
        <v>50</v>
      </c>
      <c r="AH13" s="19" t="s">
        <v>54</v>
      </c>
    </row>
    <row r="14" spans="2:34" ht="22.5" customHeight="1" x14ac:dyDescent="0.25">
      <c r="B14" s="18" t="s">
        <v>35</v>
      </c>
      <c r="C14" s="9" t="s">
        <v>58</v>
      </c>
      <c r="D14" s="10" t="s">
        <v>82</v>
      </c>
      <c r="E14" s="10"/>
      <c r="F14" s="10" t="s">
        <v>38</v>
      </c>
      <c r="G14" s="10" t="s">
        <v>39</v>
      </c>
      <c r="H14" s="10"/>
      <c r="I14" s="16" t="s">
        <v>83</v>
      </c>
      <c r="J14" s="10" t="s">
        <v>38</v>
      </c>
      <c r="K14" s="10" t="s">
        <v>41</v>
      </c>
      <c r="L14" s="10" t="s">
        <v>42</v>
      </c>
      <c r="M14" s="10" t="s">
        <v>84</v>
      </c>
      <c r="N14" s="10" t="s">
        <v>66</v>
      </c>
      <c r="O14" s="39">
        <v>1</v>
      </c>
      <c r="P14" s="11">
        <v>1</v>
      </c>
      <c r="Q14" s="11"/>
      <c r="R14" s="11"/>
      <c r="S14" s="12" t="s">
        <v>45</v>
      </c>
      <c r="T14" s="12" t="s">
        <v>46</v>
      </c>
      <c r="U14" s="12" t="s">
        <v>47</v>
      </c>
      <c r="V14" s="12" t="s">
        <v>48</v>
      </c>
      <c r="W14" s="12" t="s">
        <v>49</v>
      </c>
      <c r="X14" s="12" t="s">
        <v>50</v>
      </c>
      <c r="Y14" s="12" t="s">
        <v>50</v>
      </c>
      <c r="Z14" s="12" t="s">
        <v>50</v>
      </c>
      <c r="AA14" s="12" t="s">
        <v>50</v>
      </c>
      <c r="AB14" s="12" t="s">
        <v>51</v>
      </c>
      <c r="AC14" s="12" t="s">
        <v>50</v>
      </c>
      <c r="AD14" s="12" t="s">
        <v>50</v>
      </c>
      <c r="AE14" s="12" t="s">
        <v>52</v>
      </c>
      <c r="AF14" s="12" t="s">
        <v>53</v>
      </c>
      <c r="AG14" s="12" t="s">
        <v>50</v>
      </c>
      <c r="AH14" s="19" t="s">
        <v>54</v>
      </c>
    </row>
    <row r="15" spans="2:34" ht="22.5" customHeight="1" x14ac:dyDescent="0.25">
      <c r="B15" s="18" t="s">
        <v>35</v>
      </c>
      <c r="C15" s="9" t="s">
        <v>58</v>
      </c>
      <c r="D15" s="10" t="s">
        <v>85</v>
      </c>
      <c r="E15" s="10"/>
      <c r="F15" s="10" t="s">
        <v>38</v>
      </c>
      <c r="G15" s="10" t="s">
        <v>39</v>
      </c>
      <c r="H15" s="10"/>
      <c r="I15" s="16" t="s">
        <v>86</v>
      </c>
      <c r="J15" s="10" t="s">
        <v>38</v>
      </c>
      <c r="K15" s="10" t="s">
        <v>41</v>
      </c>
      <c r="L15" s="10" t="s">
        <v>42</v>
      </c>
      <c r="M15" s="10" t="s">
        <v>87</v>
      </c>
      <c r="N15" s="10" t="s">
        <v>66</v>
      </c>
      <c r="O15" s="39">
        <v>1</v>
      </c>
      <c r="P15" s="11">
        <v>1</v>
      </c>
      <c r="Q15" s="11"/>
      <c r="R15" s="11"/>
      <c r="S15" s="12" t="s">
        <v>45</v>
      </c>
      <c r="T15" s="12" t="s">
        <v>46</v>
      </c>
      <c r="U15" s="12" t="s">
        <v>47</v>
      </c>
      <c r="V15" s="12" t="s">
        <v>48</v>
      </c>
      <c r="W15" s="12" t="s">
        <v>49</v>
      </c>
      <c r="X15" s="12" t="s">
        <v>50</v>
      </c>
      <c r="Y15" s="12" t="s">
        <v>50</v>
      </c>
      <c r="Z15" s="12" t="s">
        <v>50</v>
      </c>
      <c r="AA15" s="12" t="s">
        <v>50</v>
      </c>
      <c r="AB15" s="12" t="s">
        <v>51</v>
      </c>
      <c r="AC15" s="12" t="s">
        <v>50</v>
      </c>
      <c r="AD15" s="12" t="s">
        <v>50</v>
      </c>
      <c r="AE15" s="12" t="s">
        <v>52</v>
      </c>
      <c r="AF15" s="12" t="s">
        <v>53</v>
      </c>
      <c r="AG15" s="12" t="s">
        <v>50</v>
      </c>
      <c r="AH15" s="19" t="s">
        <v>54</v>
      </c>
    </row>
    <row r="16" spans="2:34" ht="22.5" customHeight="1" x14ac:dyDescent="0.25">
      <c r="B16" s="18" t="s">
        <v>35</v>
      </c>
      <c r="C16" s="9" t="s">
        <v>58</v>
      </c>
      <c r="D16" s="10" t="s">
        <v>88</v>
      </c>
      <c r="E16" s="10"/>
      <c r="F16" s="10" t="s">
        <v>38</v>
      </c>
      <c r="G16" s="10" t="s">
        <v>39</v>
      </c>
      <c r="H16" s="10"/>
      <c r="I16" s="16" t="s">
        <v>89</v>
      </c>
      <c r="J16" s="10" t="s">
        <v>38</v>
      </c>
      <c r="K16" s="10" t="s">
        <v>41</v>
      </c>
      <c r="L16" s="10" t="s">
        <v>42</v>
      </c>
      <c r="M16" s="10" t="s">
        <v>90</v>
      </c>
      <c r="N16" s="10" t="s">
        <v>66</v>
      </c>
      <c r="O16" s="39">
        <v>1</v>
      </c>
      <c r="P16" s="11">
        <v>1</v>
      </c>
      <c r="Q16" s="11"/>
      <c r="R16" s="11"/>
      <c r="S16" s="12" t="s">
        <v>45</v>
      </c>
      <c r="T16" s="12" t="s">
        <v>46</v>
      </c>
      <c r="U16" s="12" t="s">
        <v>47</v>
      </c>
      <c r="V16" s="12" t="s">
        <v>48</v>
      </c>
      <c r="W16" s="12" t="s">
        <v>49</v>
      </c>
      <c r="X16" s="12" t="s">
        <v>50</v>
      </c>
      <c r="Y16" s="12" t="s">
        <v>50</v>
      </c>
      <c r="Z16" s="12" t="s">
        <v>50</v>
      </c>
      <c r="AA16" s="12" t="s">
        <v>50</v>
      </c>
      <c r="AB16" s="12" t="s">
        <v>51</v>
      </c>
      <c r="AC16" s="12" t="s">
        <v>50</v>
      </c>
      <c r="AD16" s="12" t="s">
        <v>50</v>
      </c>
      <c r="AE16" s="12" t="s">
        <v>52</v>
      </c>
      <c r="AF16" s="12" t="s">
        <v>53</v>
      </c>
      <c r="AG16" s="12" t="s">
        <v>50</v>
      </c>
      <c r="AH16" s="19" t="s">
        <v>54</v>
      </c>
    </row>
    <row r="17" spans="2:34" ht="22.5" customHeight="1" x14ac:dyDescent="0.25">
      <c r="B17" s="18" t="s">
        <v>35</v>
      </c>
      <c r="C17" s="9" t="s">
        <v>58</v>
      </c>
      <c r="D17" s="10" t="s">
        <v>91</v>
      </c>
      <c r="E17" s="10"/>
      <c r="F17" s="10" t="s">
        <v>38</v>
      </c>
      <c r="G17" s="10" t="s">
        <v>39</v>
      </c>
      <c r="H17" s="10"/>
      <c r="I17" s="16" t="s">
        <v>92</v>
      </c>
      <c r="J17" s="10" t="s">
        <v>38</v>
      </c>
      <c r="K17" s="10" t="s">
        <v>41</v>
      </c>
      <c r="L17" s="10" t="s">
        <v>42</v>
      </c>
      <c r="M17" s="10" t="s">
        <v>93</v>
      </c>
      <c r="N17" s="10" t="s">
        <v>66</v>
      </c>
      <c r="O17" s="39">
        <v>1</v>
      </c>
      <c r="P17" s="11">
        <v>1</v>
      </c>
      <c r="Q17" s="11"/>
      <c r="R17" s="11"/>
      <c r="S17" s="12" t="s">
        <v>45</v>
      </c>
      <c r="T17" s="12" t="s">
        <v>46</v>
      </c>
      <c r="U17" s="12" t="s">
        <v>47</v>
      </c>
      <c r="V17" s="12" t="s">
        <v>48</v>
      </c>
      <c r="W17" s="12" t="s">
        <v>49</v>
      </c>
      <c r="X17" s="12" t="s">
        <v>50</v>
      </c>
      <c r="Y17" s="12" t="s">
        <v>50</v>
      </c>
      <c r="Z17" s="12" t="s">
        <v>50</v>
      </c>
      <c r="AA17" s="12" t="s">
        <v>50</v>
      </c>
      <c r="AB17" s="12" t="s">
        <v>51</v>
      </c>
      <c r="AC17" s="12" t="s">
        <v>50</v>
      </c>
      <c r="AD17" s="12" t="s">
        <v>50</v>
      </c>
      <c r="AE17" s="12" t="s">
        <v>52</v>
      </c>
      <c r="AF17" s="12" t="s">
        <v>53</v>
      </c>
      <c r="AG17" s="12" t="s">
        <v>50</v>
      </c>
      <c r="AH17" s="19" t="s">
        <v>54</v>
      </c>
    </row>
    <row r="18" spans="2:34" ht="22.5" customHeight="1" x14ac:dyDescent="0.25">
      <c r="B18" s="18" t="s">
        <v>35</v>
      </c>
      <c r="C18" s="9" t="s">
        <v>58</v>
      </c>
      <c r="D18" s="10" t="s">
        <v>94</v>
      </c>
      <c r="E18" s="10"/>
      <c r="F18" s="10" t="s">
        <v>38</v>
      </c>
      <c r="G18" s="10" t="s">
        <v>39</v>
      </c>
      <c r="H18" s="10"/>
      <c r="I18" s="16" t="s">
        <v>95</v>
      </c>
      <c r="J18" s="10" t="s">
        <v>38</v>
      </c>
      <c r="K18" s="10" t="s">
        <v>41</v>
      </c>
      <c r="L18" s="10" t="s">
        <v>42</v>
      </c>
      <c r="M18" s="10" t="s">
        <v>96</v>
      </c>
      <c r="N18" s="10" t="s">
        <v>66</v>
      </c>
      <c r="O18" s="39">
        <v>1</v>
      </c>
      <c r="P18" s="11">
        <v>1</v>
      </c>
      <c r="Q18" s="11"/>
      <c r="R18" s="11"/>
      <c r="S18" s="12" t="s">
        <v>45</v>
      </c>
      <c r="T18" s="12" t="s">
        <v>46</v>
      </c>
      <c r="U18" s="12" t="s">
        <v>47</v>
      </c>
      <c r="V18" s="12" t="s">
        <v>48</v>
      </c>
      <c r="W18" s="12" t="s">
        <v>49</v>
      </c>
      <c r="X18" s="12" t="s">
        <v>50</v>
      </c>
      <c r="Y18" s="12" t="s">
        <v>50</v>
      </c>
      <c r="Z18" s="12" t="s">
        <v>50</v>
      </c>
      <c r="AA18" s="12" t="s">
        <v>50</v>
      </c>
      <c r="AB18" s="12" t="s">
        <v>51</v>
      </c>
      <c r="AC18" s="12" t="s">
        <v>50</v>
      </c>
      <c r="AD18" s="12" t="s">
        <v>50</v>
      </c>
      <c r="AE18" s="12" t="s">
        <v>52</v>
      </c>
      <c r="AF18" s="12" t="s">
        <v>53</v>
      </c>
      <c r="AG18" s="12" t="s">
        <v>50</v>
      </c>
      <c r="AH18" s="19" t="s">
        <v>54</v>
      </c>
    </row>
    <row r="19" spans="2:34" ht="22.5" customHeight="1" x14ac:dyDescent="0.25">
      <c r="B19" s="18" t="s">
        <v>35</v>
      </c>
      <c r="C19" s="9" t="s">
        <v>58</v>
      </c>
      <c r="D19" s="10" t="s">
        <v>97</v>
      </c>
      <c r="E19" s="10"/>
      <c r="F19" s="10" t="s">
        <v>38</v>
      </c>
      <c r="G19" s="10" t="s">
        <v>39</v>
      </c>
      <c r="H19" s="10"/>
      <c r="I19" s="16" t="s">
        <v>98</v>
      </c>
      <c r="J19" s="10" t="s">
        <v>38</v>
      </c>
      <c r="K19" s="10" t="s">
        <v>41</v>
      </c>
      <c r="L19" s="10" t="s">
        <v>42</v>
      </c>
      <c r="M19" s="10" t="s">
        <v>99</v>
      </c>
      <c r="N19" s="10" t="s">
        <v>66</v>
      </c>
      <c r="O19" s="39">
        <v>1</v>
      </c>
      <c r="P19" s="11">
        <v>1</v>
      </c>
      <c r="Q19" s="11"/>
      <c r="R19" s="11"/>
      <c r="S19" s="12" t="s">
        <v>45</v>
      </c>
      <c r="T19" s="12" t="s">
        <v>46</v>
      </c>
      <c r="U19" s="12" t="s">
        <v>47</v>
      </c>
      <c r="V19" s="12" t="s">
        <v>48</v>
      </c>
      <c r="W19" s="12" t="s">
        <v>49</v>
      </c>
      <c r="X19" s="12" t="s">
        <v>50</v>
      </c>
      <c r="Y19" s="12" t="s">
        <v>50</v>
      </c>
      <c r="Z19" s="12" t="s">
        <v>50</v>
      </c>
      <c r="AA19" s="12" t="s">
        <v>50</v>
      </c>
      <c r="AB19" s="12" t="s">
        <v>51</v>
      </c>
      <c r="AC19" s="12" t="s">
        <v>50</v>
      </c>
      <c r="AD19" s="12" t="s">
        <v>50</v>
      </c>
      <c r="AE19" s="12" t="s">
        <v>52</v>
      </c>
      <c r="AF19" s="12" t="s">
        <v>53</v>
      </c>
      <c r="AG19" s="12" t="s">
        <v>50</v>
      </c>
      <c r="AH19" s="19" t="s">
        <v>54</v>
      </c>
    </row>
    <row r="20" spans="2:34" ht="22.5" customHeight="1" x14ac:dyDescent="0.25">
      <c r="B20" s="18" t="s">
        <v>35</v>
      </c>
      <c r="C20" s="9" t="s">
        <v>58</v>
      </c>
      <c r="D20" s="10" t="s">
        <v>100</v>
      </c>
      <c r="E20" s="10"/>
      <c r="F20" s="10" t="s">
        <v>38</v>
      </c>
      <c r="G20" s="10" t="s">
        <v>39</v>
      </c>
      <c r="H20" s="10"/>
      <c r="I20" s="16" t="s">
        <v>101</v>
      </c>
      <c r="J20" s="10" t="s">
        <v>38</v>
      </c>
      <c r="K20" s="10" t="s">
        <v>41</v>
      </c>
      <c r="L20" s="10" t="s">
        <v>42</v>
      </c>
      <c r="M20" s="10" t="s">
        <v>102</v>
      </c>
      <c r="N20" s="10" t="s">
        <v>66</v>
      </c>
      <c r="O20" s="39">
        <v>1</v>
      </c>
      <c r="P20" s="11">
        <v>1</v>
      </c>
      <c r="Q20" s="11"/>
      <c r="R20" s="11"/>
      <c r="S20" s="12" t="s">
        <v>45</v>
      </c>
      <c r="T20" s="12" t="s">
        <v>46</v>
      </c>
      <c r="U20" s="12" t="s">
        <v>47</v>
      </c>
      <c r="V20" s="12" t="s">
        <v>48</v>
      </c>
      <c r="W20" s="12" t="s">
        <v>49</v>
      </c>
      <c r="X20" s="12" t="s">
        <v>50</v>
      </c>
      <c r="Y20" s="12" t="s">
        <v>50</v>
      </c>
      <c r="Z20" s="12" t="s">
        <v>50</v>
      </c>
      <c r="AA20" s="12" t="s">
        <v>50</v>
      </c>
      <c r="AB20" s="12" t="s">
        <v>51</v>
      </c>
      <c r="AC20" s="12" t="s">
        <v>50</v>
      </c>
      <c r="AD20" s="12" t="s">
        <v>50</v>
      </c>
      <c r="AE20" s="12" t="s">
        <v>52</v>
      </c>
      <c r="AF20" s="12" t="s">
        <v>53</v>
      </c>
      <c r="AG20" s="12" t="s">
        <v>50</v>
      </c>
      <c r="AH20" s="19" t="s">
        <v>54</v>
      </c>
    </row>
    <row r="21" spans="2:34" ht="22.5" customHeight="1" x14ac:dyDescent="0.25">
      <c r="B21" s="18" t="s">
        <v>35</v>
      </c>
      <c r="C21" s="9" t="s">
        <v>58</v>
      </c>
      <c r="D21" s="10" t="s">
        <v>103</v>
      </c>
      <c r="E21" s="10"/>
      <c r="F21" s="10" t="s">
        <v>38</v>
      </c>
      <c r="G21" s="10" t="s">
        <v>39</v>
      </c>
      <c r="H21" s="10"/>
      <c r="I21" s="16" t="s">
        <v>104</v>
      </c>
      <c r="J21" s="10" t="s">
        <v>38</v>
      </c>
      <c r="K21" s="10" t="s">
        <v>41</v>
      </c>
      <c r="L21" s="10" t="s">
        <v>64</v>
      </c>
      <c r="M21" s="10" t="s">
        <v>105</v>
      </c>
      <c r="N21" s="10" t="s">
        <v>66</v>
      </c>
      <c r="O21" s="39">
        <v>1</v>
      </c>
      <c r="P21" s="11">
        <v>1</v>
      </c>
      <c r="Q21" s="11"/>
      <c r="R21" s="11"/>
      <c r="S21" s="12" t="s">
        <v>45</v>
      </c>
      <c r="T21" s="12" t="s">
        <v>46</v>
      </c>
      <c r="U21" s="12" t="s">
        <v>47</v>
      </c>
      <c r="V21" s="12" t="s">
        <v>48</v>
      </c>
      <c r="W21" s="12" t="s">
        <v>49</v>
      </c>
      <c r="X21" s="12" t="s">
        <v>50</v>
      </c>
      <c r="Y21" s="12" t="s">
        <v>50</v>
      </c>
      <c r="Z21" s="12" t="s">
        <v>50</v>
      </c>
      <c r="AA21" s="12" t="s">
        <v>50</v>
      </c>
      <c r="AB21" s="12" t="s">
        <v>51</v>
      </c>
      <c r="AC21" s="12" t="s">
        <v>50</v>
      </c>
      <c r="AD21" s="12" t="s">
        <v>50</v>
      </c>
      <c r="AE21" s="12" t="s">
        <v>52</v>
      </c>
      <c r="AF21" s="12" t="s">
        <v>53</v>
      </c>
      <c r="AG21" s="12" t="s">
        <v>50</v>
      </c>
      <c r="AH21" s="19" t="s">
        <v>54</v>
      </c>
    </row>
    <row r="22" spans="2:34" ht="22.5" customHeight="1" x14ac:dyDescent="0.25">
      <c r="B22" s="18" t="s">
        <v>35</v>
      </c>
      <c r="C22" s="9" t="s">
        <v>58</v>
      </c>
      <c r="D22" s="10" t="s">
        <v>106</v>
      </c>
      <c r="E22" s="10"/>
      <c r="F22" s="10" t="s">
        <v>38</v>
      </c>
      <c r="G22" s="10" t="s">
        <v>39</v>
      </c>
      <c r="H22" s="10"/>
      <c r="I22" s="16" t="s">
        <v>107</v>
      </c>
      <c r="J22" s="10" t="s">
        <v>38</v>
      </c>
      <c r="K22" s="10" t="s">
        <v>41</v>
      </c>
      <c r="L22" s="10" t="s">
        <v>108</v>
      </c>
      <c r="M22" s="10" t="s">
        <v>109</v>
      </c>
      <c r="N22" s="10" t="s">
        <v>66</v>
      </c>
      <c r="O22" s="39">
        <v>1</v>
      </c>
      <c r="P22" s="11">
        <v>1</v>
      </c>
      <c r="Q22" s="11"/>
      <c r="R22" s="11"/>
      <c r="S22" s="12" t="s">
        <v>45</v>
      </c>
      <c r="T22" s="12" t="s">
        <v>46</v>
      </c>
      <c r="U22" s="12" t="s">
        <v>47</v>
      </c>
      <c r="V22" s="12" t="s">
        <v>48</v>
      </c>
      <c r="W22" s="12" t="s">
        <v>49</v>
      </c>
      <c r="X22" s="12" t="s">
        <v>50</v>
      </c>
      <c r="Y22" s="12" t="s">
        <v>50</v>
      </c>
      <c r="Z22" s="12" t="s">
        <v>50</v>
      </c>
      <c r="AA22" s="12" t="s">
        <v>50</v>
      </c>
      <c r="AB22" s="12" t="s">
        <v>51</v>
      </c>
      <c r="AC22" s="12" t="s">
        <v>50</v>
      </c>
      <c r="AD22" s="12" t="s">
        <v>50</v>
      </c>
      <c r="AE22" s="12" t="s">
        <v>52</v>
      </c>
      <c r="AF22" s="12" t="s">
        <v>53</v>
      </c>
      <c r="AG22" s="12" t="s">
        <v>50</v>
      </c>
      <c r="AH22" s="19" t="s">
        <v>54</v>
      </c>
    </row>
    <row r="23" spans="2:34" ht="22.5" customHeight="1" x14ac:dyDescent="0.25">
      <c r="B23" s="18" t="s">
        <v>35</v>
      </c>
      <c r="C23" s="9" t="s">
        <v>58</v>
      </c>
      <c r="D23" s="10" t="s">
        <v>110</v>
      </c>
      <c r="E23" s="10"/>
      <c r="F23" s="10" t="s">
        <v>38</v>
      </c>
      <c r="G23" s="10" t="s">
        <v>39</v>
      </c>
      <c r="H23" s="10"/>
      <c r="I23" s="16" t="s">
        <v>111</v>
      </c>
      <c r="J23" s="10" t="s">
        <v>38</v>
      </c>
      <c r="K23" s="10" t="s">
        <v>41</v>
      </c>
      <c r="L23" s="10" t="s">
        <v>42</v>
      </c>
      <c r="M23" s="10" t="s">
        <v>112</v>
      </c>
      <c r="N23" s="10" t="s">
        <v>113</v>
      </c>
      <c r="O23" s="39">
        <v>1</v>
      </c>
      <c r="P23" s="11">
        <v>1</v>
      </c>
      <c r="Q23" s="11"/>
      <c r="R23" s="11"/>
      <c r="S23" s="12" t="s">
        <v>45</v>
      </c>
      <c r="T23" s="12" t="s">
        <v>46</v>
      </c>
      <c r="U23" s="12" t="s">
        <v>47</v>
      </c>
      <c r="V23" s="12" t="s">
        <v>48</v>
      </c>
      <c r="W23" s="12" t="s">
        <v>49</v>
      </c>
      <c r="X23" s="12" t="s">
        <v>50</v>
      </c>
      <c r="Y23" s="12" t="s">
        <v>50</v>
      </c>
      <c r="Z23" s="12" t="s">
        <v>50</v>
      </c>
      <c r="AA23" s="12" t="s">
        <v>50</v>
      </c>
      <c r="AB23" s="12" t="s">
        <v>51</v>
      </c>
      <c r="AC23" s="12" t="s">
        <v>50</v>
      </c>
      <c r="AD23" s="12" t="s">
        <v>50</v>
      </c>
      <c r="AE23" s="12" t="s">
        <v>52</v>
      </c>
      <c r="AF23" s="12" t="s">
        <v>53</v>
      </c>
      <c r="AG23" s="12" t="s">
        <v>50</v>
      </c>
      <c r="AH23" s="19" t="s">
        <v>54</v>
      </c>
    </row>
    <row r="24" spans="2:34" ht="22.5" customHeight="1" x14ac:dyDescent="0.25">
      <c r="B24" s="18" t="s">
        <v>35</v>
      </c>
      <c r="C24" s="9" t="s">
        <v>58</v>
      </c>
      <c r="D24" s="10" t="s">
        <v>114</v>
      </c>
      <c r="E24" s="10"/>
      <c r="F24" s="10" t="s">
        <v>38</v>
      </c>
      <c r="G24" s="10" t="s">
        <v>39</v>
      </c>
      <c r="H24" s="10"/>
      <c r="I24" s="16" t="s">
        <v>115</v>
      </c>
      <c r="J24" s="10" t="s">
        <v>38</v>
      </c>
      <c r="K24" s="10" t="s">
        <v>41</v>
      </c>
      <c r="L24" s="10" t="s">
        <v>42</v>
      </c>
      <c r="M24" s="10" t="s">
        <v>116</v>
      </c>
      <c r="N24" s="10" t="s">
        <v>117</v>
      </c>
      <c r="O24" s="39">
        <v>1</v>
      </c>
      <c r="P24" s="11">
        <v>1</v>
      </c>
      <c r="Q24" s="11"/>
      <c r="R24" s="11"/>
      <c r="S24" s="12" t="s">
        <v>45</v>
      </c>
      <c r="T24" s="12" t="s">
        <v>46</v>
      </c>
      <c r="U24" s="12" t="s">
        <v>47</v>
      </c>
      <c r="V24" s="12" t="s">
        <v>48</v>
      </c>
      <c r="W24" s="12" t="s">
        <v>49</v>
      </c>
      <c r="X24" s="12" t="s">
        <v>50</v>
      </c>
      <c r="Y24" s="12" t="s">
        <v>50</v>
      </c>
      <c r="Z24" s="12" t="s">
        <v>50</v>
      </c>
      <c r="AA24" s="12" t="s">
        <v>50</v>
      </c>
      <c r="AB24" s="12" t="s">
        <v>51</v>
      </c>
      <c r="AC24" s="12" t="s">
        <v>50</v>
      </c>
      <c r="AD24" s="12" t="s">
        <v>50</v>
      </c>
      <c r="AE24" s="12" t="s">
        <v>52</v>
      </c>
      <c r="AF24" s="12" t="s">
        <v>53</v>
      </c>
      <c r="AG24" s="12" t="s">
        <v>50</v>
      </c>
      <c r="AH24" s="19" t="s">
        <v>54</v>
      </c>
    </row>
    <row r="25" spans="2:34" ht="22.5" customHeight="1" x14ac:dyDescent="0.25">
      <c r="B25" s="18" t="s">
        <v>35</v>
      </c>
      <c r="C25" s="9" t="s">
        <v>58</v>
      </c>
      <c r="D25" s="10" t="s">
        <v>118</v>
      </c>
      <c r="E25" s="10"/>
      <c r="F25" s="10" t="s">
        <v>38</v>
      </c>
      <c r="G25" s="10" t="s">
        <v>39</v>
      </c>
      <c r="H25" s="10"/>
      <c r="I25" s="16" t="s">
        <v>119</v>
      </c>
      <c r="J25" s="10" t="s">
        <v>38</v>
      </c>
      <c r="K25" s="10" t="s">
        <v>41</v>
      </c>
      <c r="L25" s="10" t="s">
        <v>42</v>
      </c>
      <c r="M25" s="10" t="s">
        <v>116</v>
      </c>
      <c r="N25" s="10" t="s">
        <v>117</v>
      </c>
      <c r="O25" s="39">
        <v>1</v>
      </c>
      <c r="P25" s="11">
        <v>1</v>
      </c>
      <c r="Q25" s="11"/>
      <c r="R25" s="11"/>
      <c r="S25" s="12" t="s">
        <v>45</v>
      </c>
      <c r="T25" s="12" t="s">
        <v>46</v>
      </c>
      <c r="U25" s="12" t="s">
        <v>47</v>
      </c>
      <c r="V25" s="12" t="s">
        <v>48</v>
      </c>
      <c r="W25" s="12" t="s">
        <v>49</v>
      </c>
      <c r="X25" s="12" t="s">
        <v>50</v>
      </c>
      <c r="Y25" s="12" t="s">
        <v>50</v>
      </c>
      <c r="Z25" s="12" t="s">
        <v>50</v>
      </c>
      <c r="AA25" s="12" t="s">
        <v>50</v>
      </c>
      <c r="AB25" s="12" t="s">
        <v>51</v>
      </c>
      <c r="AC25" s="12" t="s">
        <v>50</v>
      </c>
      <c r="AD25" s="12" t="s">
        <v>50</v>
      </c>
      <c r="AE25" s="12" t="s">
        <v>52</v>
      </c>
      <c r="AF25" s="12" t="s">
        <v>53</v>
      </c>
      <c r="AG25" s="12" t="s">
        <v>50</v>
      </c>
      <c r="AH25" s="19" t="s">
        <v>54</v>
      </c>
    </row>
    <row r="26" spans="2:34" ht="22.5" customHeight="1" x14ac:dyDescent="0.25">
      <c r="B26" s="18" t="s">
        <v>35</v>
      </c>
      <c r="C26" s="9" t="s">
        <v>120</v>
      </c>
      <c r="D26" s="10" t="s">
        <v>121</v>
      </c>
      <c r="E26" s="10"/>
      <c r="F26" s="10" t="s">
        <v>122</v>
      </c>
      <c r="G26" s="10" t="s">
        <v>123</v>
      </c>
      <c r="H26" s="10"/>
      <c r="I26" s="16" t="s">
        <v>124</v>
      </c>
      <c r="J26" s="10" t="s">
        <v>125</v>
      </c>
      <c r="K26" s="10" t="s">
        <v>41</v>
      </c>
      <c r="L26" s="10" t="s">
        <v>126</v>
      </c>
      <c r="M26" s="10" t="s">
        <v>127</v>
      </c>
      <c r="N26" s="10" t="s">
        <v>66</v>
      </c>
      <c r="O26" s="39">
        <v>1</v>
      </c>
      <c r="P26" s="11">
        <v>1</v>
      </c>
      <c r="Q26" s="11"/>
      <c r="R26" s="11"/>
      <c r="S26" s="12" t="s">
        <v>128</v>
      </c>
      <c r="T26" s="12" t="s">
        <v>46</v>
      </c>
      <c r="U26" s="12" t="s">
        <v>47</v>
      </c>
      <c r="V26" s="12" t="s">
        <v>48</v>
      </c>
      <c r="W26" s="12" t="s">
        <v>49</v>
      </c>
      <c r="X26" s="12" t="s">
        <v>54</v>
      </c>
      <c r="Y26" s="12" t="s">
        <v>129</v>
      </c>
      <c r="Z26" s="12" t="s">
        <v>130</v>
      </c>
      <c r="AA26" s="12" t="s">
        <v>131</v>
      </c>
      <c r="AB26" s="12" t="s">
        <v>132</v>
      </c>
      <c r="AC26" s="12" t="s">
        <v>50</v>
      </c>
      <c r="AD26" s="12" t="s">
        <v>50</v>
      </c>
      <c r="AE26" s="12" t="s">
        <v>52</v>
      </c>
      <c r="AF26" s="12" t="s">
        <v>53</v>
      </c>
      <c r="AG26" s="12" t="s">
        <v>133</v>
      </c>
      <c r="AH26" s="19" t="s">
        <v>54</v>
      </c>
    </row>
    <row r="27" spans="2:34" ht="22.5" customHeight="1" x14ac:dyDescent="0.25">
      <c r="B27" s="18" t="s">
        <v>35</v>
      </c>
      <c r="C27" s="9" t="s">
        <v>120</v>
      </c>
      <c r="D27" s="10" t="s">
        <v>134</v>
      </c>
      <c r="E27" s="10"/>
      <c r="F27" s="10" t="s">
        <v>122</v>
      </c>
      <c r="G27" s="10" t="s">
        <v>123</v>
      </c>
      <c r="H27" s="10"/>
      <c r="I27" s="16" t="s">
        <v>135</v>
      </c>
      <c r="J27" s="10" t="s">
        <v>125</v>
      </c>
      <c r="K27" s="10" t="s">
        <v>41</v>
      </c>
      <c r="L27" s="10" t="s">
        <v>136</v>
      </c>
      <c r="M27" s="10" t="s">
        <v>137</v>
      </c>
      <c r="N27" s="10" t="s">
        <v>66</v>
      </c>
      <c r="O27" s="39">
        <v>1</v>
      </c>
      <c r="P27" s="11">
        <v>1</v>
      </c>
      <c r="Q27" s="11"/>
      <c r="R27" s="11"/>
      <c r="S27" s="12" t="s">
        <v>128</v>
      </c>
      <c r="T27" s="12" t="s">
        <v>46</v>
      </c>
      <c r="U27" s="12" t="s">
        <v>47</v>
      </c>
      <c r="V27" s="12" t="s">
        <v>48</v>
      </c>
      <c r="W27" s="12" t="s">
        <v>49</v>
      </c>
      <c r="X27" s="12" t="s">
        <v>54</v>
      </c>
      <c r="Y27" s="12" t="s">
        <v>129</v>
      </c>
      <c r="Z27" s="12" t="s">
        <v>130</v>
      </c>
      <c r="AA27" s="12" t="s">
        <v>131</v>
      </c>
      <c r="AB27" s="12" t="s">
        <v>132</v>
      </c>
      <c r="AC27" s="12" t="s">
        <v>50</v>
      </c>
      <c r="AD27" s="12" t="s">
        <v>50</v>
      </c>
      <c r="AE27" s="12" t="s">
        <v>52</v>
      </c>
      <c r="AF27" s="12" t="s">
        <v>53</v>
      </c>
      <c r="AG27" s="12" t="s">
        <v>133</v>
      </c>
      <c r="AH27" s="19" t="s">
        <v>54</v>
      </c>
    </row>
    <row r="28" spans="2:34" ht="22.5" customHeight="1" x14ac:dyDescent="0.25">
      <c r="B28" s="18" t="s">
        <v>35</v>
      </c>
      <c r="C28" s="9" t="s">
        <v>120</v>
      </c>
      <c r="D28" s="10" t="s">
        <v>138</v>
      </c>
      <c r="E28" s="10"/>
      <c r="F28" s="10" t="s">
        <v>122</v>
      </c>
      <c r="G28" s="10" t="s">
        <v>123</v>
      </c>
      <c r="H28" s="10"/>
      <c r="I28" s="16" t="s">
        <v>139</v>
      </c>
      <c r="J28" s="10" t="s">
        <v>125</v>
      </c>
      <c r="K28" s="10" t="s">
        <v>41</v>
      </c>
      <c r="L28" s="10" t="s">
        <v>136</v>
      </c>
      <c r="M28" s="10" t="s">
        <v>140</v>
      </c>
      <c r="N28" s="10" t="s">
        <v>66</v>
      </c>
      <c r="O28" s="39">
        <v>1</v>
      </c>
      <c r="P28" s="11">
        <v>1</v>
      </c>
      <c r="Q28" s="11"/>
      <c r="R28" s="11"/>
      <c r="S28" s="12" t="s">
        <v>128</v>
      </c>
      <c r="T28" s="12" t="s">
        <v>46</v>
      </c>
      <c r="U28" s="12" t="s">
        <v>47</v>
      </c>
      <c r="V28" s="12" t="s">
        <v>48</v>
      </c>
      <c r="W28" s="12" t="s">
        <v>49</v>
      </c>
      <c r="X28" s="12" t="s">
        <v>54</v>
      </c>
      <c r="Y28" s="12" t="s">
        <v>129</v>
      </c>
      <c r="Z28" s="12" t="s">
        <v>130</v>
      </c>
      <c r="AA28" s="12" t="s">
        <v>131</v>
      </c>
      <c r="AB28" s="12" t="s">
        <v>132</v>
      </c>
      <c r="AC28" s="12" t="s">
        <v>50</v>
      </c>
      <c r="AD28" s="12" t="s">
        <v>50</v>
      </c>
      <c r="AE28" s="12" t="s">
        <v>52</v>
      </c>
      <c r="AF28" s="12" t="s">
        <v>53</v>
      </c>
      <c r="AG28" s="12" t="s">
        <v>133</v>
      </c>
      <c r="AH28" s="19" t="s">
        <v>54</v>
      </c>
    </row>
    <row r="29" spans="2:34" ht="22.5" customHeight="1" x14ac:dyDescent="0.25">
      <c r="B29" s="18" t="s">
        <v>35</v>
      </c>
      <c r="C29" s="9" t="s">
        <v>141</v>
      </c>
      <c r="D29" s="10" t="s">
        <v>142</v>
      </c>
      <c r="E29" s="10"/>
      <c r="F29" s="10" t="s">
        <v>122</v>
      </c>
      <c r="G29" s="10" t="s">
        <v>123</v>
      </c>
      <c r="H29" s="10"/>
      <c r="I29" s="16" t="s">
        <v>143</v>
      </c>
      <c r="J29" s="10" t="s">
        <v>125</v>
      </c>
      <c r="K29" s="10" t="s">
        <v>41</v>
      </c>
      <c r="L29" s="10" t="s">
        <v>136</v>
      </c>
      <c r="M29" s="10" t="s">
        <v>144</v>
      </c>
      <c r="N29" s="10" t="s">
        <v>66</v>
      </c>
      <c r="O29" s="39">
        <v>1</v>
      </c>
      <c r="P29" s="11">
        <v>1</v>
      </c>
      <c r="Q29" s="11"/>
      <c r="R29" s="11"/>
      <c r="S29" s="12" t="s">
        <v>128</v>
      </c>
      <c r="T29" s="12" t="s">
        <v>46</v>
      </c>
      <c r="U29" s="12" t="s">
        <v>47</v>
      </c>
      <c r="V29" s="12" t="s">
        <v>48</v>
      </c>
      <c r="W29" s="12" t="s">
        <v>49</v>
      </c>
      <c r="X29" s="12" t="s">
        <v>54</v>
      </c>
      <c r="Y29" s="12" t="s">
        <v>129</v>
      </c>
      <c r="Z29" s="12" t="s">
        <v>130</v>
      </c>
      <c r="AA29" s="12" t="s">
        <v>131</v>
      </c>
      <c r="AB29" s="12" t="s">
        <v>132</v>
      </c>
      <c r="AC29" s="12" t="s">
        <v>50</v>
      </c>
      <c r="AD29" s="12" t="s">
        <v>50</v>
      </c>
      <c r="AE29" s="12" t="s">
        <v>52</v>
      </c>
      <c r="AF29" s="12" t="s">
        <v>53</v>
      </c>
      <c r="AG29" s="12" t="s">
        <v>133</v>
      </c>
      <c r="AH29" s="19" t="s">
        <v>54</v>
      </c>
    </row>
    <row r="30" spans="2:34" ht="22.5" customHeight="1" x14ac:dyDescent="0.25">
      <c r="B30" s="18" t="s">
        <v>35</v>
      </c>
      <c r="C30" s="9" t="s">
        <v>145</v>
      </c>
      <c r="D30" s="10" t="s">
        <v>146</v>
      </c>
      <c r="E30" s="10"/>
      <c r="F30" s="10" t="s">
        <v>122</v>
      </c>
      <c r="G30" s="10" t="s">
        <v>123</v>
      </c>
      <c r="H30" s="10"/>
      <c r="I30" s="16" t="s">
        <v>147</v>
      </c>
      <c r="J30" s="10" t="s">
        <v>125</v>
      </c>
      <c r="K30" s="10" t="s">
        <v>41</v>
      </c>
      <c r="L30" s="10" t="s">
        <v>136</v>
      </c>
      <c r="M30" s="10" t="s">
        <v>148</v>
      </c>
      <c r="N30" s="10" t="s">
        <v>66</v>
      </c>
      <c r="O30" s="39">
        <v>1</v>
      </c>
      <c r="P30" s="11">
        <v>1</v>
      </c>
      <c r="Q30" s="11"/>
      <c r="R30" s="11"/>
      <c r="S30" s="12" t="s">
        <v>128</v>
      </c>
      <c r="T30" s="12" t="s">
        <v>46</v>
      </c>
      <c r="U30" s="12" t="s">
        <v>47</v>
      </c>
      <c r="V30" s="12" t="s">
        <v>48</v>
      </c>
      <c r="W30" s="12" t="s">
        <v>49</v>
      </c>
      <c r="X30" s="12" t="s">
        <v>54</v>
      </c>
      <c r="Y30" s="12" t="s">
        <v>129</v>
      </c>
      <c r="Z30" s="12" t="s">
        <v>130</v>
      </c>
      <c r="AA30" s="12" t="s">
        <v>131</v>
      </c>
      <c r="AB30" s="12" t="s">
        <v>132</v>
      </c>
      <c r="AC30" s="12" t="s">
        <v>50</v>
      </c>
      <c r="AD30" s="12" t="s">
        <v>50</v>
      </c>
      <c r="AE30" s="12" t="s">
        <v>52</v>
      </c>
      <c r="AF30" s="12" t="s">
        <v>53</v>
      </c>
      <c r="AG30" s="12" t="s">
        <v>133</v>
      </c>
      <c r="AH30" s="19" t="s">
        <v>54</v>
      </c>
    </row>
    <row r="31" spans="2:34" ht="22.5" customHeight="1" x14ac:dyDescent="0.25">
      <c r="B31" s="18" t="s">
        <v>35</v>
      </c>
      <c r="C31" s="9" t="s">
        <v>149</v>
      </c>
      <c r="D31" s="10" t="s">
        <v>150</v>
      </c>
      <c r="E31" s="10"/>
      <c r="F31" s="10" t="s">
        <v>122</v>
      </c>
      <c r="G31" s="10" t="s">
        <v>123</v>
      </c>
      <c r="H31" s="10"/>
      <c r="I31" s="16" t="s">
        <v>151</v>
      </c>
      <c r="J31" s="10" t="s">
        <v>125</v>
      </c>
      <c r="K31" s="10" t="s">
        <v>41</v>
      </c>
      <c r="L31" s="10" t="s">
        <v>136</v>
      </c>
      <c r="M31" s="10" t="s">
        <v>152</v>
      </c>
      <c r="N31" s="10" t="s">
        <v>66</v>
      </c>
      <c r="O31" s="39">
        <v>1</v>
      </c>
      <c r="P31" s="11">
        <v>1</v>
      </c>
      <c r="Q31" s="11"/>
      <c r="R31" s="11"/>
      <c r="S31" s="12" t="s">
        <v>128</v>
      </c>
      <c r="T31" s="12" t="s">
        <v>46</v>
      </c>
      <c r="U31" s="12" t="s">
        <v>47</v>
      </c>
      <c r="V31" s="12" t="s">
        <v>48</v>
      </c>
      <c r="W31" s="12" t="s">
        <v>49</v>
      </c>
      <c r="X31" s="12" t="s">
        <v>54</v>
      </c>
      <c r="Y31" s="12" t="s">
        <v>129</v>
      </c>
      <c r="Z31" s="12" t="s">
        <v>130</v>
      </c>
      <c r="AA31" s="12" t="s">
        <v>131</v>
      </c>
      <c r="AB31" s="12" t="s">
        <v>132</v>
      </c>
      <c r="AC31" s="12" t="s">
        <v>50</v>
      </c>
      <c r="AD31" s="12" t="s">
        <v>50</v>
      </c>
      <c r="AE31" s="12" t="s">
        <v>52</v>
      </c>
      <c r="AF31" s="12" t="s">
        <v>53</v>
      </c>
      <c r="AG31" s="12" t="s">
        <v>133</v>
      </c>
      <c r="AH31" s="19" t="s">
        <v>54</v>
      </c>
    </row>
    <row r="32" spans="2:34" ht="22.5" customHeight="1" x14ac:dyDescent="0.25">
      <c r="B32" s="18" t="s">
        <v>35</v>
      </c>
      <c r="C32" s="9" t="s">
        <v>153</v>
      </c>
      <c r="D32" s="10" t="s">
        <v>154</v>
      </c>
      <c r="E32" s="10"/>
      <c r="F32" s="10" t="s">
        <v>122</v>
      </c>
      <c r="G32" s="10" t="s">
        <v>123</v>
      </c>
      <c r="H32" s="10"/>
      <c r="I32" s="16" t="s">
        <v>155</v>
      </c>
      <c r="J32" s="10" t="s">
        <v>125</v>
      </c>
      <c r="K32" s="10" t="s">
        <v>41</v>
      </c>
      <c r="L32" s="10" t="s">
        <v>136</v>
      </c>
      <c r="M32" s="10" t="s">
        <v>156</v>
      </c>
      <c r="N32" s="10" t="s">
        <v>66</v>
      </c>
      <c r="O32" s="39">
        <v>1</v>
      </c>
      <c r="P32" s="11">
        <v>1</v>
      </c>
      <c r="Q32" s="11"/>
      <c r="R32" s="11"/>
      <c r="S32" s="12" t="s">
        <v>128</v>
      </c>
      <c r="T32" s="12" t="s">
        <v>46</v>
      </c>
      <c r="U32" s="12" t="s">
        <v>47</v>
      </c>
      <c r="V32" s="12" t="s">
        <v>48</v>
      </c>
      <c r="W32" s="12" t="s">
        <v>49</v>
      </c>
      <c r="X32" s="12" t="s">
        <v>54</v>
      </c>
      <c r="Y32" s="12" t="s">
        <v>129</v>
      </c>
      <c r="Z32" s="12" t="s">
        <v>130</v>
      </c>
      <c r="AA32" s="12" t="s">
        <v>131</v>
      </c>
      <c r="AB32" s="12" t="s">
        <v>132</v>
      </c>
      <c r="AC32" s="12" t="s">
        <v>50</v>
      </c>
      <c r="AD32" s="12" t="s">
        <v>50</v>
      </c>
      <c r="AE32" s="12" t="s">
        <v>52</v>
      </c>
      <c r="AF32" s="12" t="s">
        <v>53</v>
      </c>
      <c r="AG32" s="12" t="s">
        <v>133</v>
      </c>
      <c r="AH32" s="19" t="s">
        <v>54</v>
      </c>
    </row>
    <row r="33" spans="2:34" ht="22.5" customHeight="1" x14ac:dyDescent="0.25">
      <c r="B33" s="18" t="s">
        <v>35</v>
      </c>
      <c r="C33" s="9" t="s">
        <v>157</v>
      </c>
      <c r="D33" s="10" t="s">
        <v>158</v>
      </c>
      <c r="E33" s="10"/>
      <c r="F33" s="10" t="s">
        <v>122</v>
      </c>
      <c r="G33" s="10" t="s">
        <v>123</v>
      </c>
      <c r="H33" s="10"/>
      <c r="I33" s="16" t="s">
        <v>159</v>
      </c>
      <c r="J33" s="10" t="s">
        <v>125</v>
      </c>
      <c r="K33" s="10" t="s">
        <v>41</v>
      </c>
      <c r="L33" s="10" t="s">
        <v>136</v>
      </c>
      <c r="M33" s="10" t="s">
        <v>160</v>
      </c>
      <c r="N33" s="10" t="s">
        <v>66</v>
      </c>
      <c r="O33" s="39">
        <v>1</v>
      </c>
      <c r="P33" s="11">
        <v>1</v>
      </c>
      <c r="Q33" s="11"/>
      <c r="R33" s="11"/>
      <c r="S33" s="12" t="s">
        <v>128</v>
      </c>
      <c r="T33" s="12" t="s">
        <v>46</v>
      </c>
      <c r="U33" s="12" t="s">
        <v>47</v>
      </c>
      <c r="V33" s="12" t="s">
        <v>48</v>
      </c>
      <c r="W33" s="12" t="s">
        <v>49</v>
      </c>
      <c r="X33" s="12" t="s">
        <v>54</v>
      </c>
      <c r="Y33" s="12" t="s">
        <v>129</v>
      </c>
      <c r="Z33" s="12" t="s">
        <v>130</v>
      </c>
      <c r="AA33" s="12" t="s">
        <v>131</v>
      </c>
      <c r="AB33" s="12" t="s">
        <v>132</v>
      </c>
      <c r="AC33" s="12" t="s">
        <v>50</v>
      </c>
      <c r="AD33" s="12" t="s">
        <v>50</v>
      </c>
      <c r="AE33" s="12" t="s">
        <v>52</v>
      </c>
      <c r="AF33" s="12" t="s">
        <v>53</v>
      </c>
      <c r="AG33" s="12" t="s">
        <v>133</v>
      </c>
      <c r="AH33" s="19" t="s">
        <v>54</v>
      </c>
    </row>
    <row r="34" spans="2:34" ht="22.5" customHeight="1" x14ac:dyDescent="0.25">
      <c r="B34" s="18" t="s">
        <v>161</v>
      </c>
      <c r="C34" s="9" t="s">
        <v>162</v>
      </c>
      <c r="D34" s="10" t="s">
        <v>163</v>
      </c>
      <c r="E34" s="10"/>
      <c r="F34" s="10" t="s">
        <v>164</v>
      </c>
      <c r="G34" s="10" t="s">
        <v>165</v>
      </c>
      <c r="H34" s="10"/>
      <c r="I34" s="16" t="s">
        <v>166</v>
      </c>
      <c r="J34" s="10" t="s">
        <v>167</v>
      </c>
      <c r="K34" s="10" t="s">
        <v>168</v>
      </c>
      <c r="L34" s="10" t="s">
        <v>169</v>
      </c>
      <c r="M34" s="10" t="s">
        <v>170</v>
      </c>
      <c r="N34" s="10" t="s">
        <v>171</v>
      </c>
      <c r="O34" s="39">
        <v>1</v>
      </c>
      <c r="P34" s="11">
        <v>1</v>
      </c>
      <c r="Q34" s="11"/>
      <c r="R34" s="11"/>
      <c r="S34" s="12" t="s">
        <v>172</v>
      </c>
      <c r="T34" s="12" t="s">
        <v>173</v>
      </c>
      <c r="U34" s="12" t="s">
        <v>50</v>
      </c>
      <c r="V34" s="12" t="s">
        <v>48</v>
      </c>
      <c r="W34" s="12" t="s">
        <v>49</v>
      </c>
      <c r="X34" s="12" t="s">
        <v>50</v>
      </c>
      <c r="Y34" s="12" t="s">
        <v>50</v>
      </c>
      <c r="Z34" s="12" t="s">
        <v>50</v>
      </c>
      <c r="AA34" s="12" t="s">
        <v>50</v>
      </c>
      <c r="AB34" s="12" t="s">
        <v>50</v>
      </c>
      <c r="AC34" s="12" t="s">
        <v>50</v>
      </c>
      <c r="AD34" s="12" t="s">
        <v>50</v>
      </c>
      <c r="AE34" s="12" t="s">
        <v>50</v>
      </c>
      <c r="AF34" s="12" t="s">
        <v>50</v>
      </c>
      <c r="AG34" s="12" t="s">
        <v>50</v>
      </c>
      <c r="AH34" s="19" t="s">
        <v>54</v>
      </c>
    </row>
    <row r="35" spans="2:34" ht="22.5" customHeight="1" x14ac:dyDescent="0.25">
      <c r="B35" s="18" t="s">
        <v>161</v>
      </c>
      <c r="C35" s="9" t="s">
        <v>174</v>
      </c>
      <c r="D35" s="10" t="s">
        <v>175</v>
      </c>
      <c r="E35" s="10"/>
      <c r="F35" s="10" t="s">
        <v>176</v>
      </c>
      <c r="G35" s="10" t="s">
        <v>177</v>
      </c>
      <c r="H35" s="10"/>
      <c r="I35" s="16" t="s">
        <v>178</v>
      </c>
      <c r="J35" s="10" t="s">
        <v>38</v>
      </c>
      <c r="K35" s="10" t="s">
        <v>168</v>
      </c>
      <c r="L35" s="10" t="s">
        <v>179</v>
      </c>
      <c r="M35" s="10">
        <v>0</v>
      </c>
      <c r="N35" s="10" t="s">
        <v>180</v>
      </c>
      <c r="O35" s="11">
        <v>1</v>
      </c>
      <c r="P35" s="11">
        <v>0</v>
      </c>
      <c r="Q35" s="11"/>
      <c r="R35" s="11"/>
      <c r="S35" s="12" t="s">
        <v>45</v>
      </c>
      <c r="T35" s="12" t="s">
        <v>46</v>
      </c>
      <c r="U35" s="12" t="s">
        <v>47</v>
      </c>
      <c r="V35" s="12" t="s">
        <v>48</v>
      </c>
      <c r="W35" s="12" t="s">
        <v>49</v>
      </c>
      <c r="X35" s="12" t="s">
        <v>50</v>
      </c>
      <c r="Y35" s="12" t="s">
        <v>50</v>
      </c>
      <c r="Z35" s="12" t="s">
        <v>50</v>
      </c>
      <c r="AA35" s="12" t="s">
        <v>50</v>
      </c>
      <c r="AB35" s="12" t="s">
        <v>51</v>
      </c>
      <c r="AC35" s="12" t="s">
        <v>50</v>
      </c>
      <c r="AD35" s="12" t="s">
        <v>50</v>
      </c>
      <c r="AE35" s="12" t="s">
        <v>52</v>
      </c>
      <c r="AF35" s="12" t="s">
        <v>53</v>
      </c>
      <c r="AG35" s="12" t="s">
        <v>50</v>
      </c>
      <c r="AH35" s="19" t="s">
        <v>54</v>
      </c>
    </row>
    <row r="36" spans="2:34" ht="22.5" customHeight="1" x14ac:dyDescent="0.25">
      <c r="B36" s="18" t="s">
        <v>161</v>
      </c>
      <c r="C36" s="9" t="s">
        <v>174</v>
      </c>
      <c r="D36" s="10" t="s">
        <v>175</v>
      </c>
      <c r="E36" s="10"/>
      <c r="F36" s="10" t="s">
        <v>176</v>
      </c>
      <c r="G36" s="10" t="s">
        <v>177</v>
      </c>
      <c r="H36" s="10"/>
      <c r="I36" s="16" t="s">
        <v>181</v>
      </c>
      <c r="J36" s="10" t="s">
        <v>38</v>
      </c>
      <c r="K36" s="10" t="s">
        <v>168</v>
      </c>
      <c r="L36" s="10" t="s">
        <v>179</v>
      </c>
      <c r="M36" s="10">
        <v>0</v>
      </c>
      <c r="N36" s="10" t="s">
        <v>180</v>
      </c>
      <c r="O36" s="11">
        <v>1</v>
      </c>
      <c r="P36" s="11">
        <v>0</v>
      </c>
      <c r="Q36" s="11"/>
      <c r="R36" s="11"/>
      <c r="S36" s="12" t="s">
        <v>45</v>
      </c>
      <c r="T36" s="12" t="s">
        <v>46</v>
      </c>
      <c r="U36" s="12" t="s">
        <v>47</v>
      </c>
      <c r="V36" s="12" t="s">
        <v>48</v>
      </c>
      <c r="W36" s="12" t="s">
        <v>49</v>
      </c>
      <c r="X36" s="12" t="s">
        <v>50</v>
      </c>
      <c r="Y36" s="12" t="s">
        <v>50</v>
      </c>
      <c r="Z36" s="12" t="s">
        <v>50</v>
      </c>
      <c r="AA36" s="12" t="s">
        <v>50</v>
      </c>
      <c r="AB36" s="12" t="s">
        <v>51</v>
      </c>
      <c r="AC36" s="12" t="s">
        <v>50</v>
      </c>
      <c r="AD36" s="12" t="s">
        <v>50</v>
      </c>
      <c r="AE36" s="12" t="s">
        <v>52</v>
      </c>
      <c r="AF36" s="12" t="s">
        <v>53</v>
      </c>
      <c r="AG36" s="12" t="s">
        <v>50</v>
      </c>
      <c r="AH36" s="19" t="s">
        <v>54</v>
      </c>
    </row>
    <row r="37" spans="2:34" ht="22.5" customHeight="1" x14ac:dyDescent="0.25">
      <c r="B37" s="18" t="s">
        <v>161</v>
      </c>
      <c r="C37" s="9" t="s">
        <v>162</v>
      </c>
      <c r="D37" s="10" t="s">
        <v>182</v>
      </c>
      <c r="E37" s="10"/>
      <c r="F37" s="10" t="s">
        <v>125</v>
      </c>
      <c r="G37" s="10" t="s">
        <v>183</v>
      </c>
      <c r="H37" s="10"/>
      <c r="I37" s="16" t="s">
        <v>184</v>
      </c>
      <c r="J37" s="10"/>
      <c r="K37" s="10"/>
      <c r="L37" s="16"/>
      <c r="M37" s="16"/>
      <c r="N37" s="16"/>
      <c r="O37" s="11">
        <v>0</v>
      </c>
      <c r="P37" s="11">
        <v>1</v>
      </c>
      <c r="Q37" s="11"/>
      <c r="R37" s="11"/>
      <c r="S37" s="12" t="s">
        <v>128</v>
      </c>
      <c r="T37" s="12" t="s">
        <v>46</v>
      </c>
      <c r="U37" s="12" t="s">
        <v>47</v>
      </c>
      <c r="V37" s="12" t="s">
        <v>48</v>
      </c>
      <c r="W37" s="12" t="s">
        <v>49</v>
      </c>
      <c r="X37" s="12" t="s">
        <v>50</v>
      </c>
      <c r="Y37" s="12" t="s">
        <v>50</v>
      </c>
      <c r="Z37" s="12" t="s">
        <v>50</v>
      </c>
      <c r="AA37" s="12" t="s">
        <v>50</v>
      </c>
      <c r="AB37" s="12" t="s">
        <v>132</v>
      </c>
      <c r="AC37" s="12" t="s">
        <v>50</v>
      </c>
      <c r="AD37" s="12" t="s">
        <v>50</v>
      </c>
      <c r="AE37" s="12" t="s">
        <v>52</v>
      </c>
      <c r="AF37" s="12" t="s">
        <v>53</v>
      </c>
      <c r="AG37" s="12" t="s">
        <v>133</v>
      </c>
      <c r="AH37" s="19" t="s">
        <v>54</v>
      </c>
    </row>
    <row r="38" spans="2:34" ht="22.5" customHeight="1" x14ac:dyDescent="0.25">
      <c r="B38" s="18" t="s">
        <v>161</v>
      </c>
      <c r="C38" s="9" t="s">
        <v>185</v>
      </c>
      <c r="D38" s="10" t="s">
        <v>186</v>
      </c>
      <c r="E38" s="10"/>
      <c r="F38" s="10" t="s">
        <v>38</v>
      </c>
      <c r="G38" s="10" t="s">
        <v>39</v>
      </c>
      <c r="H38" s="10"/>
      <c r="I38" s="16" t="s">
        <v>187</v>
      </c>
      <c r="J38" s="10" t="s">
        <v>38</v>
      </c>
      <c r="K38" s="10" t="s">
        <v>168</v>
      </c>
      <c r="L38" s="10" t="s">
        <v>188</v>
      </c>
      <c r="M38" s="10" t="s">
        <v>189</v>
      </c>
      <c r="N38" s="10" t="s">
        <v>190</v>
      </c>
      <c r="O38" s="11">
        <v>1</v>
      </c>
      <c r="P38" s="11">
        <v>0</v>
      </c>
      <c r="Q38" s="11"/>
      <c r="R38" s="11"/>
      <c r="S38" s="12" t="s">
        <v>45</v>
      </c>
      <c r="T38" s="12" t="s">
        <v>46</v>
      </c>
      <c r="U38" s="12" t="s">
        <v>47</v>
      </c>
      <c r="V38" s="12" t="s">
        <v>48</v>
      </c>
      <c r="W38" s="12" t="s">
        <v>49</v>
      </c>
      <c r="X38" s="12" t="s">
        <v>50</v>
      </c>
      <c r="Y38" s="12" t="s">
        <v>50</v>
      </c>
      <c r="Z38" s="12" t="s">
        <v>50</v>
      </c>
      <c r="AA38" s="12" t="s">
        <v>50</v>
      </c>
      <c r="AB38" s="12" t="s">
        <v>51</v>
      </c>
      <c r="AC38" s="12" t="s">
        <v>50</v>
      </c>
      <c r="AD38" s="12" t="s">
        <v>50</v>
      </c>
      <c r="AE38" s="12" t="s">
        <v>52</v>
      </c>
      <c r="AF38" s="12" t="s">
        <v>53</v>
      </c>
      <c r="AG38" s="12" t="s">
        <v>50</v>
      </c>
      <c r="AH38" s="19" t="s">
        <v>54</v>
      </c>
    </row>
    <row r="39" spans="2:34" ht="22.5" customHeight="1" x14ac:dyDescent="0.25">
      <c r="B39" s="18" t="s">
        <v>161</v>
      </c>
      <c r="C39" s="9" t="s">
        <v>191</v>
      </c>
      <c r="D39" s="10" t="s">
        <v>192</v>
      </c>
      <c r="E39" s="10"/>
      <c r="F39" s="10" t="s">
        <v>38</v>
      </c>
      <c r="G39" s="10" t="s">
        <v>39</v>
      </c>
      <c r="H39" s="10"/>
      <c r="I39" s="16" t="s">
        <v>193</v>
      </c>
      <c r="J39" s="10" t="s">
        <v>38</v>
      </c>
      <c r="K39" s="10" t="s">
        <v>168</v>
      </c>
      <c r="L39" s="10" t="s">
        <v>194</v>
      </c>
      <c r="M39" s="10" t="s">
        <v>195</v>
      </c>
      <c r="N39" s="10" t="s">
        <v>171</v>
      </c>
      <c r="O39" s="11">
        <v>1</v>
      </c>
      <c r="P39" s="11">
        <v>0</v>
      </c>
      <c r="Q39" s="11"/>
      <c r="R39" s="11"/>
      <c r="S39" s="12" t="s">
        <v>45</v>
      </c>
      <c r="T39" s="12" t="s">
        <v>46</v>
      </c>
      <c r="U39" s="12" t="s">
        <v>47</v>
      </c>
      <c r="V39" s="12" t="s">
        <v>48</v>
      </c>
      <c r="W39" s="12" t="s">
        <v>49</v>
      </c>
      <c r="X39" s="12" t="s">
        <v>50</v>
      </c>
      <c r="Y39" s="12" t="s">
        <v>50</v>
      </c>
      <c r="Z39" s="12" t="s">
        <v>50</v>
      </c>
      <c r="AA39" s="12" t="s">
        <v>50</v>
      </c>
      <c r="AB39" s="12" t="s">
        <v>51</v>
      </c>
      <c r="AC39" s="12" t="s">
        <v>50</v>
      </c>
      <c r="AD39" s="12" t="s">
        <v>50</v>
      </c>
      <c r="AE39" s="12" t="s">
        <v>52</v>
      </c>
      <c r="AF39" s="12" t="s">
        <v>53</v>
      </c>
      <c r="AG39" s="12" t="s">
        <v>50</v>
      </c>
      <c r="AH39" s="19" t="s">
        <v>54</v>
      </c>
    </row>
    <row r="40" spans="2:34" ht="22.5" customHeight="1" x14ac:dyDescent="0.25">
      <c r="B40" s="18" t="s">
        <v>161</v>
      </c>
      <c r="C40" s="9" t="s">
        <v>191</v>
      </c>
      <c r="D40" s="10" t="s">
        <v>192</v>
      </c>
      <c r="E40" s="10"/>
      <c r="F40" s="10" t="s">
        <v>38</v>
      </c>
      <c r="G40" s="10" t="s">
        <v>39</v>
      </c>
      <c r="H40" s="10"/>
      <c r="I40" s="16" t="s">
        <v>196</v>
      </c>
      <c r="J40" s="10" t="s">
        <v>38</v>
      </c>
      <c r="K40" s="10" t="s">
        <v>168</v>
      </c>
      <c r="L40" s="10" t="s">
        <v>188</v>
      </c>
      <c r="M40" s="10" t="s">
        <v>197</v>
      </c>
      <c r="N40" s="10" t="s">
        <v>190</v>
      </c>
      <c r="O40" s="11">
        <v>1</v>
      </c>
      <c r="P40" s="11">
        <v>0</v>
      </c>
      <c r="Q40" s="11"/>
      <c r="R40" s="11"/>
      <c r="S40" s="12" t="s">
        <v>45</v>
      </c>
      <c r="T40" s="12" t="s">
        <v>46</v>
      </c>
      <c r="U40" s="12" t="s">
        <v>47</v>
      </c>
      <c r="V40" s="12" t="s">
        <v>48</v>
      </c>
      <c r="W40" s="12" t="s">
        <v>49</v>
      </c>
      <c r="X40" s="12" t="s">
        <v>50</v>
      </c>
      <c r="Y40" s="12" t="s">
        <v>50</v>
      </c>
      <c r="Z40" s="12" t="s">
        <v>50</v>
      </c>
      <c r="AA40" s="12" t="s">
        <v>50</v>
      </c>
      <c r="AB40" s="12" t="s">
        <v>51</v>
      </c>
      <c r="AC40" s="12" t="s">
        <v>50</v>
      </c>
      <c r="AD40" s="12" t="s">
        <v>50</v>
      </c>
      <c r="AE40" s="12" t="s">
        <v>52</v>
      </c>
      <c r="AF40" s="12" t="s">
        <v>53</v>
      </c>
      <c r="AG40" s="12" t="s">
        <v>50</v>
      </c>
      <c r="AH40" s="19" t="s">
        <v>54</v>
      </c>
    </row>
    <row r="41" spans="2:34" ht="22.5" customHeight="1" x14ac:dyDescent="0.25">
      <c r="B41" s="18" t="s">
        <v>161</v>
      </c>
      <c r="C41" s="9" t="s">
        <v>198</v>
      </c>
      <c r="D41" s="10" t="s">
        <v>199</v>
      </c>
      <c r="E41" s="10"/>
      <c r="F41" s="10" t="s">
        <v>125</v>
      </c>
      <c r="G41" s="10" t="s">
        <v>183</v>
      </c>
      <c r="H41" s="10"/>
      <c r="I41" s="16" t="s">
        <v>184</v>
      </c>
      <c r="J41" s="10"/>
      <c r="K41" s="10"/>
      <c r="L41" s="16"/>
      <c r="M41" s="16"/>
      <c r="N41" s="16"/>
      <c r="O41" s="11">
        <v>0</v>
      </c>
      <c r="P41" s="11">
        <v>1</v>
      </c>
      <c r="Q41" s="11"/>
      <c r="R41" s="11"/>
      <c r="S41" s="12" t="s">
        <v>128</v>
      </c>
      <c r="T41" s="12" t="s">
        <v>46</v>
      </c>
      <c r="U41" s="12" t="s">
        <v>47</v>
      </c>
      <c r="V41" s="12" t="s">
        <v>48</v>
      </c>
      <c r="W41" s="12" t="s">
        <v>49</v>
      </c>
      <c r="X41" s="12" t="s">
        <v>50</v>
      </c>
      <c r="Y41" s="12" t="s">
        <v>50</v>
      </c>
      <c r="Z41" s="12" t="s">
        <v>50</v>
      </c>
      <c r="AA41" s="12" t="s">
        <v>50</v>
      </c>
      <c r="AB41" s="12" t="s">
        <v>132</v>
      </c>
      <c r="AC41" s="12" t="s">
        <v>50</v>
      </c>
      <c r="AD41" s="12" t="s">
        <v>50</v>
      </c>
      <c r="AE41" s="12" t="s">
        <v>52</v>
      </c>
      <c r="AF41" s="12" t="s">
        <v>53</v>
      </c>
      <c r="AG41" s="12" t="s">
        <v>133</v>
      </c>
      <c r="AH41" s="19" t="s">
        <v>54</v>
      </c>
    </row>
    <row r="42" spans="2:34" ht="22.5" customHeight="1" x14ac:dyDescent="0.25">
      <c r="B42" s="18" t="s">
        <v>161</v>
      </c>
      <c r="C42" s="9" t="s">
        <v>198</v>
      </c>
      <c r="D42" s="10" t="s">
        <v>200</v>
      </c>
      <c r="E42" s="10"/>
      <c r="F42" s="10" t="s">
        <v>125</v>
      </c>
      <c r="G42" s="10" t="s">
        <v>183</v>
      </c>
      <c r="H42" s="10"/>
      <c r="I42" s="16" t="s">
        <v>184</v>
      </c>
      <c r="J42" s="10"/>
      <c r="K42" s="10"/>
      <c r="L42" s="16"/>
      <c r="M42" s="16"/>
      <c r="N42" s="16"/>
      <c r="O42" s="11">
        <v>0</v>
      </c>
      <c r="P42" s="11">
        <v>1</v>
      </c>
      <c r="Q42" s="11"/>
      <c r="R42" s="11"/>
      <c r="S42" s="12" t="s">
        <v>128</v>
      </c>
      <c r="T42" s="12" t="s">
        <v>46</v>
      </c>
      <c r="U42" s="12" t="s">
        <v>47</v>
      </c>
      <c r="V42" s="12" t="s">
        <v>48</v>
      </c>
      <c r="W42" s="12" t="s">
        <v>49</v>
      </c>
      <c r="X42" s="12" t="s">
        <v>50</v>
      </c>
      <c r="Y42" s="12" t="s">
        <v>50</v>
      </c>
      <c r="Z42" s="12" t="s">
        <v>50</v>
      </c>
      <c r="AA42" s="12" t="s">
        <v>50</v>
      </c>
      <c r="AB42" s="12" t="s">
        <v>132</v>
      </c>
      <c r="AC42" s="12" t="s">
        <v>50</v>
      </c>
      <c r="AD42" s="12" t="s">
        <v>50</v>
      </c>
      <c r="AE42" s="12" t="s">
        <v>52</v>
      </c>
      <c r="AF42" s="12" t="s">
        <v>53</v>
      </c>
      <c r="AG42" s="12" t="s">
        <v>133</v>
      </c>
      <c r="AH42" s="19" t="s">
        <v>54</v>
      </c>
    </row>
    <row r="43" spans="2:34" ht="22.5" customHeight="1" x14ac:dyDescent="0.25">
      <c r="B43" s="18" t="s">
        <v>161</v>
      </c>
      <c r="C43" s="9" t="s">
        <v>191</v>
      </c>
      <c r="D43" s="10" t="s">
        <v>201</v>
      </c>
      <c r="E43" s="10"/>
      <c r="F43" s="10" t="s">
        <v>38</v>
      </c>
      <c r="G43" s="10" t="s">
        <v>39</v>
      </c>
      <c r="H43" s="10"/>
      <c r="I43" s="16" t="s">
        <v>202</v>
      </c>
      <c r="J43" s="10" t="s">
        <v>38</v>
      </c>
      <c r="K43" s="10" t="s">
        <v>168</v>
      </c>
      <c r="L43" s="10" t="s">
        <v>203</v>
      </c>
      <c r="M43" s="10" t="s">
        <v>204</v>
      </c>
      <c r="N43" s="10" t="s">
        <v>171</v>
      </c>
      <c r="O43" s="11">
        <v>1</v>
      </c>
      <c r="P43" s="11">
        <v>0</v>
      </c>
      <c r="Q43" s="11"/>
      <c r="R43" s="11"/>
      <c r="S43" s="12" t="s">
        <v>45</v>
      </c>
      <c r="T43" s="12" t="s">
        <v>46</v>
      </c>
      <c r="U43" s="12" t="s">
        <v>47</v>
      </c>
      <c r="V43" s="12" t="s">
        <v>48</v>
      </c>
      <c r="W43" s="12" t="s">
        <v>49</v>
      </c>
      <c r="X43" s="12" t="s">
        <v>50</v>
      </c>
      <c r="Y43" s="12" t="s">
        <v>50</v>
      </c>
      <c r="Z43" s="12" t="s">
        <v>50</v>
      </c>
      <c r="AA43" s="12" t="s">
        <v>50</v>
      </c>
      <c r="AB43" s="12" t="s">
        <v>51</v>
      </c>
      <c r="AC43" s="12" t="s">
        <v>50</v>
      </c>
      <c r="AD43" s="12" t="s">
        <v>50</v>
      </c>
      <c r="AE43" s="12" t="s">
        <v>52</v>
      </c>
      <c r="AF43" s="12" t="s">
        <v>53</v>
      </c>
      <c r="AG43" s="12" t="s">
        <v>50</v>
      </c>
      <c r="AH43" s="19" t="s">
        <v>54</v>
      </c>
    </row>
    <row r="44" spans="2:34" ht="22.5" customHeight="1" x14ac:dyDescent="0.25">
      <c r="B44" s="18" t="s">
        <v>161</v>
      </c>
      <c r="C44" s="9" t="s">
        <v>191</v>
      </c>
      <c r="D44" s="10" t="s">
        <v>201</v>
      </c>
      <c r="E44" s="10"/>
      <c r="F44" s="10" t="s">
        <v>38</v>
      </c>
      <c r="G44" s="10" t="s">
        <v>39</v>
      </c>
      <c r="H44" s="10"/>
      <c r="I44" s="16" t="s">
        <v>205</v>
      </c>
      <c r="J44" s="10" t="s">
        <v>38</v>
      </c>
      <c r="K44" s="10" t="s">
        <v>168</v>
      </c>
      <c r="L44" s="10" t="s">
        <v>188</v>
      </c>
      <c r="M44" s="10" t="s">
        <v>206</v>
      </c>
      <c r="N44" s="10" t="s">
        <v>190</v>
      </c>
      <c r="O44" s="11">
        <v>1</v>
      </c>
      <c r="P44" s="11">
        <v>0</v>
      </c>
      <c r="Q44" s="11"/>
      <c r="R44" s="11"/>
      <c r="S44" s="12" t="s">
        <v>45</v>
      </c>
      <c r="T44" s="12" t="s">
        <v>46</v>
      </c>
      <c r="U44" s="12" t="s">
        <v>47</v>
      </c>
      <c r="V44" s="12" t="s">
        <v>48</v>
      </c>
      <c r="W44" s="12" t="s">
        <v>49</v>
      </c>
      <c r="X44" s="12" t="s">
        <v>50</v>
      </c>
      <c r="Y44" s="12" t="s">
        <v>50</v>
      </c>
      <c r="Z44" s="12" t="s">
        <v>50</v>
      </c>
      <c r="AA44" s="12" t="s">
        <v>50</v>
      </c>
      <c r="AB44" s="12" t="s">
        <v>51</v>
      </c>
      <c r="AC44" s="12" t="s">
        <v>50</v>
      </c>
      <c r="AD44" s="12" t="s">
        <v>50</v>
      </c>
      <c r="AE44" s="12" t="s">
        <v>52</v>
      </c>
      <c r="AF44" s="12" t="s">
        <v>53</v>
      </c>
      <c r="AG44" s="12" t="s">
        <v>50</v>
      </c>
      <c r="AH44" s="19" t="s">
        <v>54</v>
      </c>
    </row>
    <row r="45" spans="2:34" ht="22.5" customHeight="1" x14ac:dyDescent="0.25">
      <c r="B45" s="18" t="s">
        <v>161</v>
      </c>
      <c r="C45" s="9" t="s">
        <v>191</v>
      </c>
      <c r="D45" s="10" t="s">
        <v>207</v>
      </c>
      <c r="E45" s="10"/>
      <c r="F45" s="10" t="s">
        <v>38</v>
      </c>
      <c r="G45" s="10" t="s">
        <v>39</v>
      </c>
      <c r="H45" s="10"/>
      <c r="I45" s="16" t="s">
        <v>208</v>
      </c>
      <c r="J45" s="10" t="s">
        <v>38</v>
      </c>
      <c r="K45" s="10" t="s">
        <v>168</v>
      </c>
      <c r="L45" s="10" t="s">
        <v>203</v>
      </c>
      <c r="M45" s="10" t="s">
        <v>209</v>
      </c>
      <c r="N45" s="10" t="s">
        <v>171</v>
      </c>
      <c r="O45" s="11">
        <v>1</v>
      </c>
      <c r="P45" s="11">
        <v>0</v>
      </c>
      <c r="Q45" s="11"/>
      <c r="R45" s="11"/>
      <c r="S45" s="12" t="s">
        <v>45</v>
      </c>
      <c r="T45" s="12" t="s">
        <v>46</v>
      </c>
      <c r="U45" s="12" t="s">
        <v>47</v>
      </c>
      <c r="V45" s="12" t="s">
        <v>48</v>
      </c>
      <c r="W45" s="12" t="s">
        <v>49</v>
      </c>
      <c r="X45" s="12" t="s">
        <v>50</v>
      </c>
      <c r="Y45" s="12" t="s">
        <v>50</v>
      </c>
      <c r="Z45" s="12" t="s">
        <v>50</v>
      </c>
      <c r="AA45" s="12" t="s">
        <v>50</v>
      </c>
      <c r="AB45" s="12" t="s">
        <v>51</v>
      </c>
      <c r="AC45" s="12" t="s">
        <v>50</v>
      </c>
      <c r="AD45" s="12" t="s">
        <v>50</v>
      </c>
      <c r="AE45" s="12" t="s">
        <v>52</v>
      </c>
      <c r="AF45" s="12" t="s">
        <v>53</v>
      </c>
      <c r="AG45" s="12" t="s">
        <v>50</v>
      </c>
      <c r="AH45" s="19" t="s">
        <v>54</v>
      </c>
    </row>
    <row r="46" spans="2:34" ht="22.5" customHeight="1" x14ac:dyDescent="0.25">
      <c r="B46" s="18" t="s">
        <v>161</v>
      </c>
      <c r="C46" s="9" t="s">
        <v>191</v>
      </c>
      <c r="D46" s="10" t="s">
        <v>207</v>
      </c>
      <c r="E46" s="10"/>
      <c r="F46" s="10" t="s">
        <v>38</v>
      </c>
      <c r="G46" s="10" t="s">
        <v>39</v>
      </c>
      <c r="H46" s="10"/>
      <c r="I46" s="16" t="s">
        <v>210</v>
      </c>
      <c r="J46" s="10" t="s">
        <v>38</v>
      </c>
      <c r="K46" s="10" t="s">
        <v>168</v>
      </c>
      <c r="L46" s="10" t="s">
        <v>188</v>
      </c>
      <c r="M46" s="10" t="s">
        <v>211</v>
      </c>
      <c r="N46" s="10" t="s">
        <v>190</v>
      </c>
      <c r="O46" s="11">
        <v>1</v>
      </c>
      <c r="P46" s="11">
        <v>0</v>
      </c>
      <c r="Q46" s="11"/>
      <c r="R46" s="11"/>
      <c r="S46" s="12" t="s">
        <v>45</v>
      </c>
      <c r="T46" s="12" t="s">
        <v>46</v>
      </c>
      <c r="U46" s="12" t="s">
        <v>47</v>
      </c>
      <c r="V46" s="12" t="s">
        <v>48</v>
      </c>
      <c r="W46" s="12" t="s">
        <v>49</v>
      </c>
      <c r="X46" s="12" t="s">
        <v>50</v>
      </c>
      <c r="Y46" s="12" t="s">
        <v>50</v>
      </c>
      <c r="Z46" s="12" t="s">
        <v>50</v>
      </c>
      <c r="AA46" s="12" t="s">
        <v>50</v>
      </c>
      <c r="AB46" s="12" t="s">
        <v>51</v>
      </c>
      <c r="AC46" s="12" t="s">
        <v>50</v>
      </c>
      <c r="AD46" s="12" t="s">
        <v>50</v>
      </c>
      <c r="AE46" s="12" t="s">
        <v>52</v>
      </c>
      <c r="AF46" s="12" t="s">
        <v>53</v>
      </c>
      <c r="AG46" s="12" t="s">
        <v>50</v>
      </c>
      <c r="AH46" s="19" t="s">
        <v>54</v>
      </c>
    </row>
    <row r="47" spans="2:34" ht="22.5" customHeight="1" x14ac:dyDescent="0.25">
      <c r="B47" s="18" t="s">
        <v>161</v>
      </c>
      <c r="C47" s="9" t="s">
        <v>198</v>
      </c>
      <c r="D47" s="10" t="s">
        <v>212</v>
      </c>
      <c r="E47" s="10"/>
      <c r="F47" s="10" t="s">
        <v>125</v>
      </c>
      <c r="G47" s="10" t="s">
        <v>183</v>
      </c>
      <c r="H47" s="10"/>
      <c r="I47" s="16" t="s">
        <v>184</v>
      </c>
      <c r="J47" s="10"/>
      <c r="K47" s="10"/>
      <c r="L47" s="16"/>
      <c r="M47" s="16"/>
      <c r="N47" s="16"/>
      <c r="O47" s="11">
        <v>0</v>
      </c>
      <c r="P47" s="11">
        <v>1</v>
      </c>
      <c r="Q47" s="11"/>
      <c r="R47" s="11"/>
      <c r="S47" s="12" t="s">
        <v>128</v>
      </c>
      <c r="T47" s="12" t="s">
        <v>46</v>
      </c>
      <c r="U47" s="12" t="s">
        <v>47</v>
      </c>
      <c r="V47" s="12" t="s">
        <v>48</v>
      </c>
      <c r="W47" s="12" t="s">
        <v>49</v>
      </c>
      <c r="X47" s="12" t="s">
        <v>50</v>
      </c>
      <c r="Y47" s="12" t="s">
        <v>50</v>
      </c>
      <c r="Z47" s="12" t="s">
        <v>50</v>
      </c>
      <c r="AA47" s="12" t="s">
        <v>50</v>
      </c>
      <c r="AB47" s="12" t="s">
        <v>132</v>
      </c>
      <c r="AC47" s="12" t="s">
        <v>50</v>
      </c>
      <c r="AD47" s="12" t="s">
        <v>50</v>
      </c>
      <c r="AE47" s="12" t="s">
        <v>52</v>
      </c>
      <c r="AF47" s="12" t="s">
        <v>53</v>
      </c>
      <c r="AG47" s="12" t="s">
        <v>133</v>
      </c>
      <c r="AH47" s="19" t="s">
        <v>54</v>
      </c>
    </row>
    <row r="48" spans="2:34" ht="22.5" customHeight="1" x14ac:dyDescent="0.25">
      <c r="B48" s="18" t="s">
        <v>161</v>
      </c>
      <c r="C48" s="9" t="s">
        <v>198</v>
      </c>
      <c r="D48" s="10" t="s">
        <v>213</v>
      </c>
      <c r="E48" s="10"/>
      <c r="F48" s="10" t="s">
        <v>125</v>
      </c>
      <c r="G48" s="10" t="s">
        <v>183</v>
      </c>
      <c r="H48" s="10"/>
      <c r="I48" s="16" t="s">
        <v>184</v>
      </c>
      <c r="J48" s="10"/>
      <c r="K48" s="10"/>
      <c r="L48" s="16"/>
      <c r="M48" s="16"/>
      <c r="N48" s="16"/>
      <c r="O48" s="11">
        <v>0</v>
      </c>
      <c r="P48" s="11">
        <v>1</v>
      </c>
      <c r="Q48" s="11"/>
      <c r="R48" s="11"/>
      <c r="S48" s="12" t="s">
        <v>128</v>
      </c>
      <c r="T48" s="12" t="s">
        <v>46</v>
      </c>
      <c r="U48" s="12" t="s">
        <v>47</v>
      </c>
      <c r="V48" s="12" t="s">
        <v>48</v>
      </c>
      <c r="W48" s="12" t="s">
        <v>49</v>
      </c>
      <c r="X48" s="12" t="s">
        <v>50</v>
      </c>
      <c r="Y48" s="12" t="s">
        <v>50</v>
      </c>
      <c r="Z48" s="12" t="s">
        <v>50</v>
      </c>
      <c r="AA48" s="12" t="s">
        <v>50</v>
      </c>
      <c r="AB48" s="12" t="s">
        <v>132</v>
      </c>
      <c r="AC48" s="12" t="s">
        <v>50</v>
      </c>
      <c r="AD48" s="12" t="s">
        <v>50</v>
      </c>
      <c r="AE48" s="12" t="s">
        <v>52</v>
      </c>
      <c r="AF48" s="12" t="s">
        <v>53</v>
      </c>
      <c r="AG48" s="12" t="s">
        <v>133</v>
      </c>
      <c r="AH48" s="19" t="s">
        <v>54</v>
      </c>
    </row>
    <row r="49" spans="2:34" ht="22.5" customHeight="1" x14ac:dyDescent="0.25">
      <c r="B49" s="18" t="s">
        <v>161</v>
      </c>
      <c r="C49" s="9" t="s">
        <v>191</v>
      </c>
      <c r="D49" s="10" t="s">
        <v>214</v>
      </c>
      <c r="E49" s="10"/>
      <c r="F49" s="10" t="s">
        <v>38</v>
      </c>
      <c r="G49" s="10" t="s">
        <v>39</v>
      </c>
      <c r="H49" s="10"/>
      <c r="I49" s="16" t="s">
        <v>215</v>
      </c>
      <c r="J49" s="10" t="s">
        <v>38</v>
      </c>
      <c r="K49" s="10" t="s">
        <v>168</v>
      </c>
      <c r="L49" s="10" t="s">
        <v>216</v>
      </c>
      <c r="M49" s="10" t="s">
        <v>217</v>
      </c>
      <c r="N49" s="10" t="s">
        <v>171</v>
      </c>
      <c r="O49" s="11">
        <v>1</v>
      </c>
      <c r="P49" s="11">
        <v>0</v>
      </c>
      <c r="Q49" s="11"/>
      <c r="R49" s="11"/>
      <c r="S49" s="12" t="s">
        <v>45</v>
      </c>
      <c r="T49" s="12" t="s">
        <v>46</v>
      </c>
      <c r="U49" s="12" t="s">
        <v>47</v>
      </c>
      <c r="V49" s="12" t="s">
        <v>48</v>
      </c>
      <c r="W49" s="12" t="s">
        <v>49</v>
      </c>
      <c r="X49" s="12" t="s">
        <v>50</v>
      </c>
      <c r="Y49" s="12" t="s">
        <v>50</v>
      </c>
      <c r="Z49" s="12" t="s">
        <v>50</v>
      </c>
      <c r="AA49" s="12" t="s">
        <v>50</v>
      </c>
      <c r="AB49" s="12" t="s">
        <v>51</v>
      </c>
      <c r="AC49" s="12" t="s">
        <v>50</v>
      </c>
      <c r="AD49" s="12" t="s">
        <v>50</v>
      </c>
      <c r="AE49" s="12" t="s">
        <v>52</v>
      </c>
      <c r="AF49" s="12" t="s">
        <v>53</v>
      </c>
      <c r="AG49" s="12" t="s">
        <v>50</v>
      </c>
      <c r="AH49" s="19" t="s">
        <v>54</v>
      </c>
    </row>
    <row r="50" spans="2:34" ht="22.5" customHeight="1" x14ac:dyDescent="0.25">
      <c r="B50" s="18" t="s">
        <v>161</v>
      </c>
      <c r="C50" s="9" t="s">
        <v>191</v>
      </c>
      <c r="D50" s="10" t="s">
        <v>214</v>
      </c>
      <c r="E50" s="10"/>
      <c r="F50" s="10" t="s">
        <v>38</v>
      </c>
      <c r="G50" s="10" t="s">
        <v>39</v>
      </c>
      <c r="H50" s="10"/>
      <c r="I50" s="16" t="s">
        <v>218</v>
      </c>
      <c r="J50" s="10" t="s">
        <v>38</v>
      </c>
      <c r="K50" s="10" t="s">
        <v>168</v>
      </c>
      <c r="L50" s="10" t="s">
        <v>188</v>
      </c>
      <c r="M50" s="10" t="s">
        <v>219</v>
      </c>
      <c r="N50" s="10" t="s">
        <v>190</v>
      </c>
      <c r="O50" s="11">
        <v>1</v>
      </c>
      <c r="P50" s="11">
        <v>0</v>
      </c>
      <c r="Q50" s="11"/>
      <c r="R50" s="11"/>
      <c r="S50" s="12" t="s">
        <v>45</v>
      </c>
      <c r="T50" s="12" t="s">
        <v>46</v>
      </c>
      <c r="U50" s="12" t="s">
        <v>47</v>
      </c>
      <c r="V50" s="12" t="s">
        <v>48</v>
      </c>
      <c r="W50" s="12" t="s">
        <v>49</v>
      </c>
      <c r="X50" s="12" t="s">
        <v>50</v>
      </c>
      <c r="Y50" s="12" t="s">
        <v>50</v>
      </c>
      <c r="Z50" s="12" t="s">
        <v>50</v>
      </c>
      <c r="AA50" s="12" t="s">
        <v>50</v>
      </c>
      <c r="AB50" s="12" t="s">
        <v>51</v>
      </c>
      <c r="AC50" s="12" t="s">
        <v>50</v>
      </c>
      <c r="AD50" s="12" t="s">
        <v>50</v>
      </c>
      <c r="AE50" s="12" t="s">
        <v>52</v>
      </c>
      <c r="AF50" s="12" t="s">
        <v>53</v>
      </c>
      <c r="AG50" s="12" t="s">
        <v>50</v>
      </c>
      <c r="AH50" s="19" t="s">
        <v>54</v>
      </c>
    </row>
    <row r="51" spans="2:34" ht="22.5" customHeight="1" x14ac:dyDescent="0.25">
      <c r="B51" s="18" t="s">
        <v>161</v>
      </c>
      <c r="C51" s="9" t="s">
        <v>162</v>
      </c>
      <c r="D51" s="10" t="s">
        <v>220</v>
      </c>
      <c r="E51" s="10"/>
      <c r="F51" s="10" t="s">
        <v>125</v>
      </c>
      <c r="G51" s="10" t="s">
        <v>183</v>
      </c>
      <c r="H51" s="10"/>
      <c r="I51" s="16" t="s">
        <v>184</v>
      </c>
      <c r="J51" s="10"/>
      <c r="K51" s="10"/>
      <c r="L51" s="16"/>
      <c r="M51" s="16"/>
      <c r="N51" s="16"/>
      <c r="O51" s="11">
        <v>0</v>
      </c>
      <c r="P51" s="11">
        <v>1</v>
      </c>
      <c r="Q51" s="11"/>
      <c r="R51" s="11"/>
      <c r="S51" s="12" t="s">
        <v>128</v>
      </c>
      <c r="T51" s="12" t="s">
        <v>46</v>
      </c>
      <c r="U51" s="12" t="s">
        <v>47</v>
      </c>
      <c r="V51" s="12" t="s">
        <v>48</v>
      </c>
      <c r="W51" s="12" t="s">
        <v>49</v>
      </c>
      <c r="X51" s="12" t="s">
        <v>50</v>
      </c>
      <c r="Y51" s="12" t="s">
        <v>50</v>
      </c>
      <c r="Z51" s="12" t="s">
        <v>50</v>
      </c>
      <c r="AA51" s="12" t="s">
        <v>50</v>
      </c>
      <c r="AB51" s="12" t="s">
        <v>132</v>
      </c>
      <c r="AC51" s="12" t="s">
        <v>50</v>
      </c>
      <c r="AD51" s="12" t="s">
        <v>50</v>
      </c>
      <c r="AE51" s="12" t="s">
        <v>52</v>
      </c>
      <c r="AF51" s="12" t="s">
        <v>53</v>
      </c>
      <c r="AG51" s="12" t="s">
        <v>133</v>
      </c>
      <c r="AH51" s="19" t="s">
        <v>54</v>
      </c>
    </row>
    <row r="52" spans="2:34" ht="22.5" customHeight="1" x14ac:dyDescent="0.25">
      <c r="B52" s="18" t="s">
        <v>161</v>
      </c>
      <c r="C52" s="9" t="s">
        <v>162</v>
      </c>
      <c r="D52" s="10" t="s">
        <v>163</v>
      </c>
      <c r="E52" s="10"/>
      <c r="F52" s="10" t="s">
        <v>125</v>
      </c>
      <c r="G52" s="10" t="s">
        <v>183</v>
      </c>
      <c r="H52" s="10"/>
      <c r="I52" s="16" t="s">
        <v>221</v>
      </c>
      <c r="J52" s="10" t="s">
        <v>125</v>
      </c>
      <c r="K52" s="10" t="s">
        <v>168</v>
      </c>
      <c r="L52" s="10" t="s">
        <v>222</v>
      </c>
      <c r="M52" s="10" t="s">
        <v>223</v>
      </c>
      <c r="N52" s="10" t="s">
        <v>224</v>
      </c>
      <c r="O52" s="11">
        <v>1</v>
      </c>
      <c r="P52" s="11">
        <v>0</v>
      </c>
      <c r="Q52" s="11"/>
      <c r="R52" s="11"/>
      <c r="S52" s="12" t="s">
        <v>128</v>
      </c>
      <c r="T52" s="12" t="s">
        <v>46</v>
      </c>
      <c r="U52" s="12" t="s">
        <v>47</v>
      </c>
      <c r="V52" s="12" t="s">
        <v>48</v>
      </c>
      <c r="W52" s="12" t="s">
        <v>49</v>
      </c>
      <c r="X52" s="12" t="s">
        <v>50</v>
      </c>
      <c r="Y52" s="12" t="s">
        <v>50</v>
      </c>
      <c r="Z52" s="12" t="s">
        <v>50</v>
      </c>
      <c r="AA52" s="12" t="s">
        <v>50</v>
      </c>
      <c r="AB52" s="12" t="s">
        <v>132</v>
      </c>
      <c r="AC52" s="12" t="s">
        <v>50</v>
      </c>
      <c r="AD52" s="12" t="s">
        <v>50</v>
      </c>
      <c r="AE52" s="12" t="s">
        <v>52</v>
      </c>
      <c r="AF52" s="12" t="s">
        <v>53</v>
      </c>
      <c r="AG52" s="12" t="s">
        <v>133</v>
      </c>
      <c r="AH52" s="19" t="s">
        <v>54</v>
      </c>
    </row>
    <row r="53" spans="2:34" ht="22.5" customHeight="1" x14ac:dyDescent="0.25">
      <c r="B53" s="18" t="s">
        <v>161</v>
      </c>
      <c r="C53" s="9" t="s">
        <v>225</v>
      </c>
      <c r="D53" s="10" t="s">
        <v>226</v>
      </c>
      <c r="E53" s="10"/>
      <c r="F53" s="10" t="s">
        <v>38</v>
      </c>
      <c r="G53" s="10" t="s">
        <v>39</v>
      </c>
      <c r="H53" s="10"/>
      <c r="I53" s="16" t="s">
        <v>227</v>
      </c>
      <c r="J53" s="10" t="s">
        <v>38</v>
      </c>
      <c r="K53" s="10" t="s">
        <v>168</v>
      </c>
      <c r="L53" s="10" t="s">
        <v>188</v>
      </c>
      <c r="M53" s="10" t="s">
        <v>228</v>
      </c>
      <c r="N53" s="10" t="s">
        <v>190</v>
      </c>
      <c r="O53" s="11">
        <v>1</v>
      </c>
      <c r="P53" s="11">
        <v>0</v>
      </c>
      <c r="Q53" s="11"/>
      <c r="R53" s="11"/>
      <c r="S53" s="12" t="s">
        <v>45</v>
      </c>
      <c r="T53" s="12" t="s">
        <v>46</v>
      </c>
      <c r="U53" s="12" t="s">
        <v>47</v>
      </c>
      <c r="V53" s="12" t="s">
        <v>48</v>
      </c>
      <c r="W53" s="12" t="s">
        <v>49</v>
      </c>
      <c r="X53" s="12" t="s">
        <v>50</v>
      </c>
      <c r="Y53" s="12" t="s">
        <v>50</v>
      </c>
      <c r="Z53" s="12" t="s">
        <v>50</v>
      </c>
      <c r="AA53" s="12" t="s">
        <v>50</v>
      </c>
      <c r="AB53" s="12" t="s">
        <v>51</v>
      </c>
      <c r="AC53" s="12" t="s">
        <v>50</v>
      </c>
      <c r="AD53" s="12" t="s">
        <v>50</v>
      </c>
      <c r="AE53" s="12" t="s">
        <v>52</v>
      </c>
      <c r="AF53" s="12" t="s">
        <v>53</v>
      </c>
      <c r="AG53" s="12" t="s">
        <v>50</v>
      </c>
      <c r="AH53" s="19" t="s">
        <v>54</v>
      </c>
    </row>
    <row r="54" spans="2:34" ht="22.5" customHeight="1" x14ac:dyDescent="0.25">
      <c r="B54" s="18" t="s">
        <v>161</v>
      </c>
      <c r="C54" s="9" t="s">
        <v>191</v>
      </c>
      <c r="D54" s="10" t="s">
        <v>229</v>
      </c>
      <c r="E54" s="10"/>
      <c r="F54" s="10" t="s">
        <v>38</v>
      </c>
      <c r="G54" s="10" t="s">
        <v>39</v>
      </c>
      <c r="H54" s="10"/>
      <c r="I54" s="16">
        <v>3077</v>
      </c>
      <c r="J54" s="10" t="s">
        <v>38</v>
      </c>
      <c r="K54" s="10" t="s">
        <v>168</v>
      </c>
      <c r="L54" s="10" t="s">
        <v>216</v>
      </c>
      <c r="M54" s="10" t="s">
        <v>230</v>
      </c>
      <c r="N54" s="10" t="s">
        <v>171</v>
      </c>
      <c r="O54" s="11">
        <v>1</v>
      </c>
      <c r="P54" s="11">
        <v>0</v>
      </c>
      <c r="Q54" s="11"/>
      <c r="R54" s="11"/>
      <c r="S54" s="12" t="s">
        <v>45</v>
      </c>
      <c r="T54" s="12" t="s">
        <v>46</v>
      </c>
      <c r="U54" s="12" t="s">
        <v>47</v>
      </c>
      <c r="V54" s="12" t="s">
        <v>48</v>
      </c>
      <c r="W54" s="12" t="s">
        <v>49</v>
      </c>
      <c r="X54" s="12" t="s">
        <v>50</v>
      </c>
      <c r="Y54" s="12" t="s">
        <v>50</v>
      </c>
      <c r="Z54" s="12" t="s">
        <v>50</v>
      </c>
      <c r="AA54" s="12" t="s">
        <v>50</v>
      </c>
      <c r="AB54" s="12" t="s">
        <v>51</v>
      </c>
      <c r="AC54" s="12" t="s">
        <v>50</v>
      </c>
      <c r="AD54" s="12" t="s">
        <v>50</v>
      </c>
      <c r="AE54" s="12" t="s">
        <v>52</v>
      </c>
      <c r="AF54" s="12" t="s">
        <v>53</v>
      </c>
      <c r="AG54" s="12" t="s">
        <v>50</v>
      </c>
      <c r="AH54" s="19" t="s">
        <v>54</v>
      </c>
    </row>
    <row r="55" spans="2:34" ht="22.5" customHeight="1" x14ac:dyDescent="0.25">
      <c r="B55" s="18" t="s">
        <v>161</v>
      </c>
      <c r="C55" s="9" t="s">
        <v>191</v>
      </c>
      <c r="D55" s="10" t="s">
        <v>229</v>
      </c>
      <c r="E55" s="10"/>
      <c r="F55" s="10" t="s">
        <v>38</v>
      </c>
      <c r="G55" s="10" t="s">
        <v>39</v>
      </c>
      <c r="H55" s="10"/>
      <c r="I55" s="16" t="s">
        <v>231</v>
      </c>
      <c r="J55" s="10" t="s">
        <v>38</v>
      </c>
      <c r="K55" s="10" t="s">
        <v>168</v>
      </c>
      <c r="L55" s="10" t="s">
        <v>188</v>
      </c>
      <c r="M55" s="10" t="s">
        <v>232</v>
      </c>
      <c r="N55" s="10" t="s">
        <v>190</v>
      </c>
      <c r="O55" s="11">
        <v>1</v>
      </c>
      <c r="P55" s="11">
        <v>0</v>
      </c>
      <c r="Q55" s="11"/>
      <c r="R55" s="11"/>
      <c r="S55" s="12" t="s">
        <v>45</v>
      </c>
      <c r="T55" s="12" t="s">
        <v>46</v>
      </c>
      <c r="U55" s="12" t="s">
        <v>47</v>
      </c>
      <c r="V55" s="12" t="s">
        <v>48</v>
      </c>
      <c r="W55" s="12" t="s">
        <v>49</v>
      </c>
      <c r="X55" s="12" t="s">
        <v>50</v>
      </c>
      <c r="Y55" s="12" t="s">
        <v>50</v>
      </c>
      <c r="Z55" s="12" t="s">
        <v>50</v>
      </c>
      <c r="AA55" s="12" t="s">
        <v>50</v>
      </c>
      <c r="AB55" s="12" t="s">
        <v>51</v>
      </c>
      <c r="AC55" s="12" t="s">
        <v>50</v>
      </c>
      <c r="AD55" s="12" t="s">
        <v>50</v>
      </c>
      <c r="AE55" s="12" t="s">
        <v>52</v>
      </c>
      <c r="AF55" s="12" t="s">
        <v>53</v>
      </c>
      <c r="AG55" s="12" t="s">
        <v>50</v>
      </c>
      <c r="AH55" s="19" t="s">
        <v>54</v>
      </c>
    </row>
    <row r="56" spans="2:34" ht="22.5" customHeight="1" x14ac:dyDescent="0.25">
      <c r="B56" s="18" t="s">
        <v>161</v>
      </c>
      <c r="C56" s="9" t="s">
        <v>191</v>
      </c>
      <c r="D56" s="10" t="s">
        <v>233</v>
      </c>
      <c r="E56" s="10"/>
      <c r="F56" s="10" t="s">
        <v>38</v>
      </c>
      <c r="G56" s="10" t="s">
        <v>39</v>
      </c>
      <c r="H56" s="10"/>
      <c r="I56" s="16">
        <v>3028</v>
      </c>
      <c r="J56" s="10" t="s">
        <v>38</v>
      </c>
      <c r="K56" s="10" t="s">
        <v>168</v>
      </c>
      <c r="L56" s="10" t="s">
        <v>203</v>
      </c>
      <c r="M56" s="10" t="s">
        <v>234</v>
      </c>
      <c r="N56" s="10" t="s">
        <v>171</v>
      </c>
      <c r="O56" s="11">
        <v>1</v>
      </c>
      <c r="P56" s="11">
        <v>0</v>
      </c>
      <c r="Q56" s="11"/>
      <c r="R56" s="11"/>
      <c r="S56" s="12" t="s">
        <v>45</v>
      </c>
      <c r="T56" s="12" t="s">
        <v>46</v>
      </c>
      <c r="U56" s="12" t="s">
        <v>47</v>
      </c>
      <c r="V56" s="12" t="s">
        <v>48</v>
      </c>
      <c r="W56" s="12" t="s">
        <v>49</v>
      </c>
      <c r="X56" s="12" t="s">
        <v>50</v>
      </c>
      <c r="Y56" s="12" t="s">
        <v>50</v>
      </c>
      <c r="Z56" s="12" t="s">
        <v>50</v>
      </c>
      <c r="AA56" s="12" t="s">
        <v>50</v>
      </c>
      <c r="AB56" s="12" t="s">
        <v>51</v>
      </c>
      <c r="AC56" s="12" t="s">
        <v>50</v>
      </c>
      <c r="AD56" s="12" t="s">
        <v>50</v>
      </c>
      <c r="AE56" s="12" t="s">
        <v>52</v>
      </c>
      <c r="AF56" s="12" t="s">
        <v>53</v>
      </c>
      <c r="AG56" s="12" t="s">
        <v>50</v>
      </c>
      <c r="AH56" s="19" t="s">
        <v>54</v>
      </c>
    </row>
    <row r="57" spans="2:34" ht="22.5" customHeight="1" x14ac:dyDescent="0.25">
      <c r="B57" s="18" t="s">
        <v>161</v>
      </c>
      <c r="C57" s="9" t="s">
        <v>191</v>
      </c>
      <c r="D57" s="10" t="s">
        <v>233</v>
      </c>
      <c r="E57" s="10"/>
      <c r="F57" s="10" t="s">
        <v>38</v>
      </c>
      <c r="G57" s="10" t="s">
        <v>39</v>
      </c>
      <c r="H57" s="10"/>
      <c r="I57" s="16" t="s">
        <v>235</v>
      </c>
      <c r="J57" s="10" t="s">
        <v>125</v>
      </c>
      <c r="K57" s="10" t="s">
        <v>168</v>
      </c>
      <c r="L57" s="10" t="s">
        <v>236</v>
      </c>
      <c r="M57" s="10" t="s">
        <v>237</v>
      </c>
      <c r="N57" s="10" t="s">
        <v>190</v>
      </c>
      <c r="O57" s="11">
        <v>1</v>
      </c>
      <c r="P57" s="11">
        <v>0</v>
      </c>
      <c r="Q57" s="11"/>
      <c r="R57" s="11"/>
      <c r="S57" s="12" t="s">
        <v>45</v>
      </c>
      <c r="T57" s="12" t="s">
        <v>46</v>
      </c>
      <c r="U57" s="12" t="s">
        <v>47</v>
      </c>
      <c r="V57" s="12" t="s">
        <v>48</v>
      </c>
      <c r="W57" s="12" t="s">
        <v>49</v>
      </c>
      <c r="X57" s="12" t="s">
        <v>50</v>
      </c>
      <c r="Y57" s="12" t="s">
        <v>50</v>
      </c>
      <c r="Z57" s="12" t="s">
        <v>50</v>
      </c>
      <c r="AA57" s="12" t="s">
        <v>50</v>
      </c>
      <c r="AB57" s="12" t="s">
        <v>51</v>
      </c>
      <c r="AC57" s="12" t="s">
        <v>50</v>
      </c>
      <c r="AD57" s="12" t="s">
        <v>50</v>
      </c>
      <c r="AE57" s="12" t="s">
        <v>52</v>
      </c>
      <c r="AF57" s="12" t="s">
        <v>53</v>
      </c>
      <c r="AG57" s="12" t="s">
        <v>50</v>
      </c>
      <c r="AH57" s="19" t="s">
        <v>54</v>
      </c>
    </row>
    <row r="58" spans="2:34" ht="22.5" customHeight="1" x14ac:dyDescent="0.25">
      <c r="B58" s="18" t="s">
        <v>161</v>
      </c>
      <c r="C58" s="9" t="s">
        <v>238</v>
      </c>
      <c r="D58" s="10" t="s">
        <v>239</v>
      </c>
      <c r="E58" s="10"/>
      <c r="F58" s="10" t="s">
        <v>38</v>
      </c>
      <c r="G58" s="10" t="s">
        <v>39</v>
      </c>
      <c r="H58" s="10"/>
      <c r="I58" s="16" t="s">
        <v>240</v>
      </c>
      <c r="J58" s="10" t="s">
        <v>38</v>
      </c>
      <c r="K58" s="10" t="s">
        <v>168</v>
      </c>
      <c r="L58" s="10" t="s">
        <v>188</v>
      </c>
      <c r="M58" s="10" t="s">
        <v>241</v>
      </c>
      <c r="N58" s="10" t="s">
        <v>190</v>
      </c>
      <c r="O58" s="11">
        <v>1</v>
      </c>
      <c r="P58" s="11">
        <v>0</v>
      </c>
      <c r="Q58" s="11"/>
      <c r="R58" s="11"/>
      <c r="S58" s="12" t="s">
        <v>45</v>
      </c>
      <c r="T58" s="12" t="s">
        <v>46</v>
      </c>
      <c r="U58" s="12" t="s">
        <v>47</v>
      </c>
      <c r="V58" s="12" t="s">
        <v>48</v>
      </c>
      <c r="W58" s="12" t="s">
        <v>49</v>
      </c>
      <c r="X58" s="12" t="s">
        <v>50</v>
      </c>
      <c r="Y58" s="12" t="s">
        <v>50</v>
      </c>
      <c r="Z58" s="12" t="s">
        <v>50</v>
      </c>
      <c r="AA58" s="12" t="s">
        <v>50</v>
      </c>
      <c r="AB58" s="12" t="s">
        <v>51</v>
      </c>
      <c r="AC58" s="12" t="s">
        <v>50</v>
      </c>
      <c r="AD58" s="12" t="s">
        <v>50</v>
      </c>
      <c r="AE58" s="12" t="s">
        <v>52</v>
      </c>
      <c r="AF58" s="12" t="s">
        <v>53</v>
      </c>
      <c r="AG58" s="12" t="s">
        <v>50</v>
      </c>
      <c r="AH58" s="19" t="s">
        <v>54</v>
      </c>
    </row>
    <row r="59" spans="2:34" ht="22.5" customHeight="1" x14ac:dyDescent="0.25">
      <c r="B59" s="18" t="s">
        <v>161</v>
      </c>
      <c r="C59" s="9" t="s">
        <v>238</v>
      </c>
      <c r="D59" s="10" t="s">
        <v>242</v>
      </c>
      <c r="E59" s="10"/>
      <c r="F59" s="10" t="s">
        <v>38</v>
      </c>
      <c r="G59" s="10" t="s">
        <v>39</v>
      </c>
      <c r="H59" s="10"/>
      <c r="I59" s="16" t="s">
        <v>243</v>
      </c>
      <c r="J59" s="10" t="s">
        <v>38</v>
      </c>
      <c r="K59" s="10" t="s">
        <v>168</v>
      </c>
      <c r="L59" s="10" t="s">
        <v>188</v>
      </c>
      <c r="M59" s="10" t="s">
        <v>244</v>
      </c>
      <c r="N59" s="10" t="s">
        <v>190</v>
      </c>
      <c r="O59" s="11">
        <v>1</v>
      </c>
      <c r="P59" s="11">
        <v>0</v>
      </c>
      <c r="Q59" s="11"/>
      <c r="R59" s="11"/>
      <c r="S59" s="12" t="s">
        <v>45</v>
      </c>
      <c r="T59" s="12" t="s">
        <v>46</v>
      </c>
      <c r="U59" s="12" t="s">
        <v>47</v>
      </c>
      <c r="V59" s="12" t="s">
        <v>48</v>
      </c>
      <c r="W59" s="12" t="s">
        <v>49</v>
      </c>
      <c r="X59" s="12" t="s">
        <v>50</v>
      </c>
      <c r="Y59" s="12" t="s">
        <v>50</v>
      </c>
      <c r="Z59" s="12" t="s">
        <v>50</v>
      </c>
      <c r="AA59" s="12" t="s">
        <v>50</v>
      </c>
      <c r="AB59" s="12" t="s">
        <v>51</v>
      </c>
      <c r="AC59" s="12" t="s">
        <v>50</v>
      </c>
      <c r="AD59" s="12" t="s">
        <v>50</v>
      </c>
      <c r="AE59" s="12" t="s">
        <v>52</v>
      </c>
      <c r="AF59" s="12" t="s">
        <v>53</v>
      </c>
      <c r="AG59" s="12" t="s">
        <v>50</v>
      </c>
      <c r="AH59" s="19" t="s">
        <v>54</v>
      </c>
    </row>
    <row r="60" spans="2:34" ht="22.5" customHeight="1" x14ac:dyDescent="0.25">
      <c r="B60" s="18" t="s">
        <v>161</v>
      </c>
      <c r="C60" s="9" t="s">
        <v>238</v>
      </c>
      <c r="D60" s="10" t="s">
        <v>245</v>
      </c>
      <c r="E60" s="10"/>
      <c r="F60" s="10" t="s">
        <v>38</v>
      </c>
      <c r="G60" s="10" t="s">
        <v>39</v>
      </c>
      <c r="H60" s="10"/>
      <c r="I60" s="16" t="s">
        <v>246</v>
      </c>
      <c r="J60" s="10" t="s">
        <v>38</v>
      </c>
      <c r="K60" s="10" t="s">
        <v>168</v>
      </c>
      <c r="L60" s="10" t="s">
        <v>188</v>
      </c>
      <c r="M60" s="10" t="s">
        <v>247</v>
      </c>
      <c r="N60" s="10" t="s">
        <v>190</v>
      </c>
      <c r="O60" s="11">
        <v>1</v>
      </c>
      <c r="P60" s="11">
        <v>0</v>
      </c>
      <c r="Q60" s="11"/>
      <c r="R60" s="11"/>
      <c r="S60" s="12" t="s">
        <v>45</v>
      </c>
      <c r="T60" s="12" t="s">
        <v>46</v>
      </c>
      <c r="U60" s="12" t="s">
        <v>47</v>
      </c>
      <c r="V60" s="12" t="s">
        <v>48</v>
      </c>
      <c r="W60" s="12" t="s">
        <v>49</v>
      </c>
      <c r="X60" s="12" t="s">
        <v>50</v>
      </c>
      <c r="Y60" s="12" t="s">
        <v>50</v>
      </c>
      <c r="Z60" s="12" t="s">
        <v>50</v>
      </c>
      <c r="AA60" s="12" t="s">
        <v>50</v>
      </c>
      <c r="AB60" s="12" t="s">
        <v>51</v>
      </c>
      <c r="AC60" s="12" t="s">
        <v>50</v>
      </c>
      <c r="AD60" s="12" t="s">
        <v>50</v>
      </c>
      <c r="AE60" s="12" t="s">
        <v>52</v>
      </c>
      <c r="AF60" s="12" t="s">
        <v>53</v>
      </c>
      <c r="AG60" s="12" t="s">
        <v>50</v>
      </c>
      <c r="AH60" s="19" t="s">
        <v>54</v>
      </c>
    </row>
    <row r="61" spans="2:34" ht="22.5" customHeight="1" x14ac:dyDescent="0.25">
      <c r="B61" s="18" t="s">
        <v>161</v>
      </c>
      <c r="C61" s="9" t="s">
        <v>238</v>
      </c>
      <c r="D61" s="10" t="s">
        <v>248</v>
      </c>
      <c r="E61" s="10"/>
      <c r="F61" s="10" t="s">
        <v>38</v>
      </c>
      <c r="G61" s="10" t="s">
        <v>39</v>
      </c>
      <c r="H61" s="10"/>
      <c r="I61" s="16" t="s">
        <v>249</v>
      </c>
      <c r="J61" s="10" t="s">
        <v>38</v>
      </c>
      <c r="K61" s="10" t="s">
        <v>168</v>
      </c>
      <c r="L61" s="10" t="s">
        <v>179</v>
      </c>
      <c r="M61" s="10" t="s">
        <v>250</v>
      </c>
      <c r="N61" s="10" t="s">
        <v>190</v>
      </c>
      <c r="O61" s="11">
        <v>1</v>
      </c>
      <c r="P61" s="11">
        <v>0</v>
      </c>
      <c r="Q61" s="11"/>
      <c r="R61" s="11"/>
      <c r="S61" s="12" t="s">
        <v>45</v>
      </c>
      <c r="T61" s="12" t="s">
        <v>46</v>
      </c>
      <c r="U61" s="12" t="s">
        <v>47</v>
      </c>
      <c r="V61" s="12" t="s">
        <v>48</v>
      </c>
      <c r="W61" s="12" t="s">
        <v>49</v>
      </c>
      <c r="X61" s="12" t="s">
        <v>50</v>
      </c>
      <c r="Y61" s="12" t="s">
        <v>50</v>
      </c>
      <c r="Z61" s="12" t="s">
        <v>50</v>
      </c>
      <c r="AA61" s="12" t="s">
        <v>50</v>
      </c>
      <c r="AB61" s="12" t="s">
        <v>51</v>
      </c>
      <c r="AC61" s="12" t="s">
        <v>50</v>
      </c>
      <c r="AD61" s="12" t="s">
        <v>50</v>
      </c>
      <c r="AE61" s="12" t="s">
        <v>52</v>
      </c>
      <c r="AF61" s="12" t="s">
        <v>53</v>
      </c>
      <c r="AG61" s="12" t="s">
        <v>50</v>
      </c>
      <c r="AH61" s="19" t="s">
        <v>54</v>
      </c>
    </row>
    <row r="62" spans="2:34" ht="22.5" customHeight="1" x14ac:dyDescent="0.25">
      <c r="B62" s="18" t="s">
        <v>161</v>
      </c>
      <c r="C62" s="9" t="s">
        <v>251</v>
      </c>
      <c r="D62" s="10" t="s">
        <v>252</v>
      </c>
      <c r="E62" s="10"/>
      <c r="F62" s="10" t="s">
        <v>38</v>
      </c>
      <c r="G62" s="10" t="s">
        <v>39</v>
      </c>
      <c r="H62" s="10"/>
      <c r="I62" s="16" t="s">
        <v>253</v>
      </c>
      <c r="J62" s="10" t="s">
        <v>38</v>
      </c>
      <c r="K62" s="10" t="s">
        <v>168</v>
      </c>
      <c r="L62" s="10" t="s">
        <v>179</v>
      </c>
      <c r="M62" s="10" t="s">
        <v>254</v>
      </c>
      <c r="N62" s="10" t="s">
        <v>190</v>
      </c>
      <c r="O62" s="11">
        <v>1</v>
      </c>
      <c r="P62" s="11">
        <v>0</v>
      </c>
      <c r="Q62" s="11"/>
      <c r="R62" s="11"/>
      <c r="S62" s="12" t="s">
        <v>45</v>
      </c>
      <c r="T62" s="12" t="s">
        <v>46</v>
      </c>
      <c r="U62" s="12" t="s">
        <v>47</v>
      </c>
      <c r="V62" s="12" t="s">
        <v>48</v>
      </c>
      <c r="W62" s="12" t="s">
        <v>49</v>
      </c>
      <c r="X62" s="12" t="s">
        <v>50</v>
      </c>
      <c r="Y62" s="12" t="s">
        <v>50</v>
      </c>
      <c r="Z62" s="12" t="s">
        <v>50</v>
      </c>
      <c r="AA62" s="12" t="s">
        <v>50</v>
      </c>
      <c r="AB62" s="12" t="s">
        <v>51</v>
      </c>
      <c r="AC62" s="12" t="s">
        <v>50</v>
      </c>
      <c r="AD62" s="12" t="s">
        <v>50</v>
      </c>
      <c r="AE62" s="12" t="s">
        <v>52</v>
      </c>
      <c r="AF62" s="12" t="s">
        <v>53</v>
      </c>
      <c r="AG62" s="12" t="s">
        <v>50</v>
      </c>
      <c r="AH62" s="19" t="s">
        <v>54</v>
      </c>
    </row>
    <row r="63" spans="2:34" ht="22.5" customHeight="1" x14ac:dyDescent="0.25">
      <c r="B63" s="18" t="s">
        <v>161</v>
      </c>
      <c r="C63" s="9" t="s">
        <v>251</v>
      </c>
      <c r="D63" s="10" t="s">
        <v>255</v>
      </c>
      <c r="E63" s="10"/>
      <c r="F63" s="10" t="s">
        <v>38</v>
      </c>
      <c r="G63" s="10" t="s">
        <v>39</v>
      </c>
      <c r="H63" s="10"/>
      <c r="I63" s="16" t="s">
        <v>256</v>
      </c>
      <c r="J63" s="10" t="s">
        <v>38</v>
      </c>
      <c r="K63" s="10" t="s">
        <v>168</v>
      </c>
      <c r="L63" s="10" t="s">
        <v>179</v>
      </c>
      <c r="M63" s="10" t="s">
        <v>257</v>
      </c>
      <c r="N63" s="10" t="s">
        <v>190</v>
      </c>
      <c r="O63" s="11">
        <v>1</v>
      </c>
      <c r="P63" s="11">
        <v>0</v>
      </c>
      <c r="Q63" s="11"/>
      <c r="R63" s="11"/>
      <c r="S63" s="12" t="s">
        <v>45</v>
      </c>
      <c r="T63" s="12" t="s">
        <v>46</v>
      </c>
      <c r="U63" s="12" t="s">
        <v>47</v>
      </c>
      <c r="V63" s="12" t="s">
        <v>48</v>
      </c>
      <c r="W63" s="12" t="s">
        <v>49</v>
      </c>
      <c r="X63" s="12" t="s">
        <v>50</v>
      </c>
      <c r="Y63" s="12" t="s">
        <v>50</v>
      </c>
      <c r="Z63" s="12" t="s">
        <v>50</v>
      </c>
      <c r="AA63" s="12" t="s">
        <v>50</v>
      </c>
      <c r="AB63" s="12" t="s">
        <v>51</v>
      </c>
      <c r="AC63" s="12" t="s">
        <v>50</v>
      </c>
      <c r="AD63" s="12" t="s">
        <v>50</v>
      </c>
      <c r="AE63" s="12" t="s">
        <v>52</v>
      </c>
      <c r="AF63" s="12" t="s">
        <v>53</v>
      </c>
      <c r="AG63" s="12" t="s">
        <v>50</v>
      </c>
      <c r="AH63" s="19" t="s">
        <v>54</v>
      </c>
    </row>
    <row r="64" spans="2:34" ht="22.5" customHeight="1" x14ac:dyDescent="0.25">
      <c r="B64" s="18" t="s">
        <v>161</v>
      </c>
      <c r="C64" s="9" t="s">
        <v>251</v>
      </c>
      <c r="D64" s="10" t="s">
        <v>258</v>
      </c>
      <c r="E64" s="10"/>
      <c r="F64" s="10" t="s">
        <v>38</v>
      </c>
      <c r="G64" s="10" t="s">
        <v>39</v>
      </c>
      <c r="H64" s="10"/>
      <c r="I64" s="16" t="s">
        <v>259</v>
      </c>
      <c r="J64" s="10" t="s">
        <v>38</v>
      </c>
      <c r="K64" s="10" t="s">
        <v>168</v>
      </c>
      <c r="L64" s="10" t="s">
        <v>179</v>
      </c>
      <c r="M64" s="10" t="s">
        <v>260</v>
      </c>
      <c r="N64" s="10" t="s">
        <v>190</v>
      </c>
      <c r="O64" s="11">
        <v>1</v>
      </c>
      <c r="P64" s="11">
        <v>0</v>
      </c>
      <c r="Q64" s="11"/>
      <c r="R64" s="11"/>
      <c r="S64" s="12" t="s">
        <v>45</v>
      </c>
      <c r="T64" s="12" t="s">
        <v>46</v>
      </c>
      <c r="U64" s="12" t="s">
        <v>47</v>
      </c>
      <c r="V64" s="12" t="s">
        <v>48</v>
      </c>
      <c r="W64" s="12" t="s">
        <v>49</v>
      </c>
      <c r="X64" s="12" t="s">
        <v>50</v>
      </c>
      <c r="Y64" s="12" t="s">
        <v>50</v>
      </c>
      <c r="Z64" s="12" t="s">
        <v>50</v>
      </c>
      <c r="AA64" s="12" t="s">
        <v>50</v>
      </c>
      <c r="AB64" s="12" t="s">
        <v>51</v>
      </c>
      <c r="AC64" s="12" t="s">
        <v>50</v>
      </c>
      <c r="AD64" s="12" t="s">
        <v>50</v>
      </c>
      <c r="AE64" s="12" t="s">
        <v>52</v>
      </c>
      <c r="AF64" s="12" t="s">
        <v>53</v>
      </c>
      <c r="AG64" s="12" t="s">
        <v>50</v>
      </c>
      <c r="AH64" s="19" t="s">
        <v>54</v>
      </c>
    </row>
    <row r="65" spans="2:35" ht="22.5" customHeight="1" x14ac:dyDescent="0.25">
      <c r="B65" s="18" t="s">
        <v>161</v>
      </c>
      <c r="C65" s="9" t="s">
        <v>251</v>
      </c>
      <c r="D65" s="10" t="s">
        <v>261</v>
      </c>
      <c r="E65" s="10"/>
      <c r="F65" s="10" t="s">
        <v>38</v>
      </c>
      <c r="G65" s="10" t="s">
        <v>39</v>
      </c>
      <c r="H65" s="10"/>
      <c r="I65" s="16" t="s">
        <v>262</v>
      </c>
      <c r="J65" s="10" t="s">
        <v>38</v>
      </c>
      <c r="K65" s="10" t="s">
        <v>168</v>
      </c>
      <c r="L65" s="10" t="s">
        <v>179</v>
      </c>
      <c r="M65" s="10">
        <v>0</v>
      </c>
      <c r="N65" s="10" t="s">
        <v>263</v>
      </c>
      <c r="O65" s="11">
        <v>1</v>
      </c>
      <c r="P65" s="11">
        <v>0</v>
      </c>
      <c r="Q65" s="11"/>
      <c r="R65" s="11"/>
      <c r="S65" s="12" t="s">
        <v>45</v>
      </c>
      <c r="T65" s="12" t="s">
        <v>46</v>
      </c>
      <c r="U65" s="12" t="s">
        <v>47</v>
      </c>
      <c r="V65" s="12" t="s">
        <v>48</v>
      </c>
      <c r="W65" s="12" t="s">
        <v>49</v>
      </c>
      <c r="X65" s="12" t="s">
        <v>50</v>
      </c>
      <c r="Y65" s="12" t="s">
        <v>50</v>
      </c>
      <c r="Z65" s="12" t="s">
        <v>50</v>
      </c>
      <c r="AA65" s="12" t="s">
        <v>50</v>
      </c>
      <c r="AB65" s="12" t="s">
        <v>51</v>
      </c>
      <c r="AC65" s="12" t="s">
        <v>50</v>
      </c>
      <c r="AD65" s="12" t="s">
        <v>50</v>
      </c>
      <c r="AE65" s="12" t="s">
        <v>52</v>
      </c>
      <c r="AF65" s="12" t="s">
        <v>53</v>
      </c>
      <c r="AG65" s="12" t="s">
        <v>50</v>
      </c>
      <c r="AH65" s="19" t="s">
        <v>54</v>
      </c>
    </row>
    <row r="66" spans="2:35" ht="22.5" customHeight="1" x14ac:dyDescent="0.25">
      <c r="B66" s="18" t="s">
        <v>161</v>
      </c>
      <c r="C66" s="9" t="s">
        <v>191</v>
      </c>
      <c r="D66" s="10" t="s">
        <v>264</v>
      </c>
      <c r="E66" s="10"/>
      <c r="F66" s="10" t="s">
        <v>38</v>
      </c>
      <c r="G66" s="10" t="s">
        <v>39</v>
      </c>
      <c r="H66" s="10"/>
      <c r="I66" s="16" t="s">
        <v>265</v>
      </c>
      <c r="J66" s="10" t="s">
        <v>38</v>
      </c>
      <c r="K66" s="10" t="s">
        <v>168</v>
      </c>
      <c r="L66" s="10" t="s">
        <v>266</v>
      </c>
      <c r="M66" s="10" t="s">
        <v>267</v>
      </c>
      <c r="N66" s="10" t="s">
        <v>190</v>
      </c>
      <c r="O66" s="11">
        <v>1</v>
      </c>
      <c r="P66" s="11">
        <v>0</v>
      </c>
      <c r="Q66" s="11"/>
      <c r="R66" s="11"/>
      <c r="S66" s="12" t="s">
        <v>45</v>
      </c>
      <c r="T66" s="12" t="s">
        <v>46</v>
      </c>
      <c r="U66" s="12" t="s">
        <v>47</v>
      </c>
      <c r="V66" s="12" t="s">
        <v>48</v>
      </c>
      <c r="W66" s="12" t="s">
        <v>49</v>
      </c>
      <c r="X66" s="12" t="s">
        <v>50</v>
      </c>
      <c r="Y66" s="12" t="s">
        <v>50</v>
      </c>
      <c r="Z66" s="12" t="s">
        <v>50</v>
      </c>
      <c r="AA66" s="12" t="s">
        <v>50</v>
      </c>
      <c r="AB66" s="12" t="s">
        <v>51</v>
      </c>
      <c r="AC66" s="12" t="s">
        <v>50</v>
      </c>
      <c r="AD66" s="12" t="s">
        <v>50</v>
      </c>
      <c r="AE66" s="12" t="s">
        <v>52</v>
      </c>
      <c r="AF66" s="12" t="s">
        <v>53</v>
      </c>
      <c r="AG66" s="12" t="s">
        <v>50</v>
      </c>
      <c r="AH66" s="19" t="s">
        <v>54</v>
      </c>
    </row>
    <row r="67" spans="2:35" ht="22.5" customHeight="1" x14ac:dyDescent="0.25">
      <c r="B67" s="18" t="s">
        <v>161</v>
      </c>
      <c r="C67" s="9" t="s">
        <v>191</v>
      </c>
      <c r="D67" s="10" t="s">
        <v>264</v>
      </c>
      <c r="E67" s="10"/>
      <c r="F67" s="10" t="s">
        <v>38</v>
      </c>
      <c r="G67" s="10" t="s">
        <v>39</v>
      </c>
      <c r="H67" s="10"/>
      <c r="I67" s="16" t="s">
        <v>268</v>
      </c>
      <c r="J67" s="10" t="s">
        <v>125</v>
      </c>
      <c r="K67" s="10" t="s">
        <v>168</v>
      </c>
      <c r="L67" s="10" t="s">
        <v>236</v>
      </c>
      <c r="M67" s="10" t="s">
        <v>269</v>
      </c>
      <c r="N67" s="10" t="s">
        <v>190</v>
      </c>
      <c r="O67" s="11">
        <v>1</v>
      </c>
      <c r="P67" s="11">
        <v>0</v>
      </c>
      <c r="Q67" s="11"/>
      <c r="R67" s="11"/>
      <c r="S67" s="12" t="s">
        <v>45</v>
      </c>
      <c r="T67" s="12" t="s">
        <v>46</v>
      </c>
      <c r="U67" s="12" t="s">
        <v>47</v>
      </c>
      <c r="V67" s="12" t="s">
        <v>48</v>
      </c>
      <c r="W67" s="12" t="s">
        <v>49</v>
      </c>
      <c r="X67" s="12" t="s">
        <v>50</v>
      </c>
      <c r="Y67" s="12" t="s">
        <v>50</v>
      </c>
      <c r="Z67" s="12" t="s">
        <v>50</v>
      </c>
      <c r="AA67" s="12" t="s">
        <v>50</v>
      </c>
      <c r="AB67" s="12" t="s">
        <v>51</v>
      </c>
      <c r="AC67" s="12" t="s">
        <v>50</v>
      </c>
      <c r="AD67" s="12" t="s">
        <v>50</v>
      </c>
      <c r="AE67" s="12" t="s">
        <v>52</v>
      </c>
      <c r="AF67" s="12" t="s">
        <v>53</v>
      </c>
      <c r="AG67" s="12" t="s">
        <v>50</v>
      </c>
      <c r="AH67" s="19" t="s">
        <v>54</v>
      </c>
    </row>
    <row r="68" spans="2:35" ht="22.5" customHeight="1" x14ac:dyDescent="0.25">
      <c r="B68" s="18" t="s">
        <v>161</v>
      </c>
      <c r="C68" s="9" t="s">
        <v>191</v>
      </c>
      <c r="D68" s="10" t="s">
        <v>270</v>
      </c>
      <c r="E68" s="10"/>
      <c r="F68" s="10" t="s">
        <v>38</v>
      </c>
      <c r="G68" s="10" t="s">
        <v>39</v>
      </c>
      <c r="H68" s="10"/>
      <c r="I68" s="16" t="s">
        <v>271</v>
      </c>
      <c r="J68" s="10" t="s">
        <v>38</v>
      </c>
      <c r="K68" s="10" t="s">
        <v>168</v>
      </c>
      <c r="L68" s="10" t="s">
        <v>179</v>
      </c>
      <c r="M68" s="10" t="s">
        <v>272</v>
      </c>
      <c r="N68" s="10" t="s">
        <v>190</v>
      </c>
      <c r="O68" s="11">
        <v>1</v>
      </c>
      <c r="P68" s="11">
        <v>0</v>
      </c>
      <c r="Q68" s="11"/>
      <c r="R68" s="11"/>
      <c r="S68" s="12" t="s">
        <v>45</v>
      </c>
      <c r="T68" s="12" t="s">
        <v>46</v>
      </c>
      <c r="U68" s="12" t="s">
        <v>47</v>
      </c>
      <c r="V68" s="12" t="s">
        <v>48</v>
      </c>
      <c r="W68" s="12" t="s">
        <v>49</v>
      </c>
      <c r="X68" s="12" t="s">
        <v>50</v>
      </c>
      <c r="Y68" s="12" t="s">
        <v>50</v>
      </c>
      <c r="Z68" s="12" t="s">
        <v>50</v>
      </c>
      <c r="AA68" s="12" t="s">
        <v>50</v>
      </c>
      <c r="AB68" s="12" t="s">
        <v>51</v>
      </c>
      <c r="AC68" s="12" t="s">
        <v>50</v>
      </c>
      <c r="AD68" s="12" t="s">
        <v>50</v>
      </c>
      <c r="AE68" s="12" t="s">
        <v>52</v>
      </c>
      <c r="AF68" s="12" t="s">
        <v>53</v>
      </c>
      <c r="AG68" s="12" t="s">
        <v>50</v>
      </c>
      <c r="AH68" s="19" t="s">
        <v>54</v>
      </c>
    </row>
    <row r="69" spans="2:35" ht="22.5" customHeight="1" x14ac:dyDescent="0.25">
      <c r="B69" s="18" t="s">
        <v>161</v>
      </c>
      <c r="C69" s="9" t="s">
        <v>191</v>
      </c>
      <c r="D69" s="10" t="s">
        <v>270</v>
      </c>
      <c r="E69" s="10"/>
      <c r="F69" s="10" t="s">
        <v>38</v>
      </c>
      <c r="G69" s="10" t="s">
        <v>39</v>
      </c>
      <c r="H69" s="10"/>
      <c r="I69" s="16" t="s">
        <v>273</v>
      </c>
      <c r="J69" s="10" t="s">
        <v>38</v>
      </c>
      <c r="K69" s="10" t="s">
        <v>168</v>
      </c>
      <c r="L69" s="10" t="s">
        <v>179</v>
      </c>
      <c r="M69" s="10" t="s">
        <v>274</v>
      </c>
      <c r="N69" s="10" t="s">
        <v>190</v>
      </c>
      <c r="O69" s="11">
        <v>1</v>
      </c>
      <c r="P69" s="11">
        <v>0</v>
      </c>
      <c r="Q69" s="11"/>
      <c r="R69" s="11"/>
      <c r="S69" s="12" t="s">
        <v>45</v>
      </c>
      <c r="T69" s="12" t="s">
        <v>46</v>
      </c>
      <c r="U69" s="12" t="s">
        <v>47</v>
      </c>
      <c r="V69" s="12" t="s">
        <v>48</v>
      </c>
      <c r="W69" s="12" t="s">
        <v>49</v>
      </c>
      <c r="X69" s="12" t="s">
        <v>50</v>
      </c>
      <c r="Y69" s="12" t="s">
        <v>50</v>
      </c>
      <c r="Z69" s="12" t="s">
        <v>50</v>
      </c>
      <c r="AA69" s="12" t="s">
        <v>50</v>
      </c>
      <c r="AB69" s="12" t="s">
        <v>51</v>
      </c>
      <c r="AC69" s="12" t="s">
        <v>50</v>
      </c>
      <c r="AD69" s="12" t="s">
        <v>50</v>
      </c>
      <c r="AE69" s="12" t="s">
        <v>52</v>
      </c>
      <c r="AF69" s="12" t="s">
        <v>53</v>
      </c>
      <c r="AG69" s="12" t="s">
        <v>50</v>
      </c>
      <c r="AH69" s="19" t="s">
        <v>54</v>
      </c>
    </row>
    <row r="70" spans="2:35" ht="22.5" customHeight="1" x14ac:dyDescent="0.25">
      <c r="B70" s="18" t="s">
        <v>275</v>
      </c>
      <c r="C70" s="9" t="s">
        <v>276</v>
      </c>
      <c r="D70" s="10" t="s">
        <v>277</v>
      </c>
      <c r="E70" s="10"/>
      <c r="F70" s="10" t="s">
        <v>125</v>
      </c>
      <c r="G70" s="10" t="s">
        <v>278</v>
      </c>
      <c r="H70" s="10"/>
      <c r="I70" s="16" t="s">
        <v>279</v>
      </c>
      <c r="J70" s="10" t="s">
        <v>125</v>
      </c>
      <c r="K70" s="10" t="s">
        <v>168</v>
      </c>
      <c r="L70" s="10" t="s">
        <v>280</v>
      </c>
      <c r="M70" s="10" t="s">
        <v>281</v>
      </c>
      <c r="N70" s="10" t="s">
        <v>190</v>
      </c>
      <c r="O70" s="11">
        <v>1</v>
      </c>
      <c r="P70" s="11">
        <v>0</v>
      </c>
      <c r="Q70" s="11"/>
      <c r="R70" s="11"/>
      <c r="S70" s="12" t="s">
        <v>128</v>
      </c>
      <c r="T70" s="12" t="s">
        <v>46</v>
      </c>
      <c r="U70" s="12" t="s">
        <v>47</v>
      </c>
      <c r="V70" s="12" t="s">
        <v>48</v>
      </c>
      <c r="W70" s="12" t="s">
        <v>49</v>
      </c>
      <c r="X70" s="12" t="s">
        <v>50</v>
      </c>
      <c r="Y70" s="12" t="s">
        <v>50</v>
      </c>
      <c r="Z70" s="12" t="s">
        <v>50</v>
      </c>
      <c r="AA70" s="12" t="s">
        <v>50</v>
      </c>
      <c r="AB70" s="12" t="s">
        <v>132</v>
      </c>
      <c r="AC70" s="12" t="s">
        <v>50</v>
      </c>
      <c r="AD70" s="12" t="s">
        <v>50</v>
      </c>
      <c r="AE70" s="12" t="s">
        <v>52</v>
      </c>
      <c r="AF70" s="12" t="s">
        <v>53</v>
      </c>
      <c r="AG70" s="12" t="s">
        <v>133</v>
      </c>
      <c r="AH70" s="19" t="s">
        <v>54</v>
      </c>
    </row>
    <row r="71" spans="2:35" ht="22.5" customHeight="1" x14ac:dyDescent="0.25">
      <c r="B71" s="18" t="s">
        <v>275</v>
      </c>
      <c r="C71" s="9" t="s">
        <v>276</v>
      </c>
      <c r="D71" s="10" t="s">
        <v>282</v>
      </c>
      <c r="E71" s="10"/>
      <c r="F71" s="10" t="s">
        <v>125</v>
      </c>
      <c r="G71" s="10" t="s">
        <v>278</v>
      </c>
      <c r="H71" s="10"/>
      <c r="I71" s="16" t="s">
        <v>283</v>
      </c>
      <c r="J71" s="10" t="s">
        <v>125</v>
      </c>
      <c r="K71" s="10" t="s">
        <v>168</v>
      </c>
      <c r="L71" s="10" t="s">
        <v>280</v>
      </c>
      <c r="M71" s="10" t="s">
        <v>284</v>
      </c>
      <c r="N71" s="10" t="s">
        <v>190</v>
      </c>
      <c r="O71" s="11">
        <v>1</v>
      </c>
      <c r="P71" s="11">
        <v>0</v>
      </c>
      <c r="Q71" s="11"/>
      <c r="R71" s="11"/>
      <c r="S71" s="12" t="s">
        <v>128</v>
      </c>
      <c r="T71" s="12" t="s">
        <v>46</v>
      </c>
      <c r="U71" s="12" t="s">
        <v>47</v>
      </c>
      <c r="V71" s="12" t="s">
        <v>48</v>
      </c>
      <c r="W71" s="12" t="s">
        <v>49</v>
      </c>
      <c r="X71" s="12" t="s">
        <v>50</v>
      </c>
      <c r="Y71" s="12" t="s">
        <v>50</v>
      </c>
      <c r="Z71" s="12" t="s">
        <v>50</v>
      </c>
      <c r="AA71" s="12" t="s">
        <v>50</v>
      </c>
      <c r="AB71" s="12" t="s">
        <v>132</v>
      </c>
      <c r="AC71" s="12" t="s">
        <v>50</v>
      </c>
      <c r="AD71" s="12" t="s">
        <v>50</v>
      </c>
      <c r="AE71" s="12" t="s">
        <v>52</v>
      </c>
      <c r="AF71" s="12" t="s">
        <v>53</v>
      </c>
      <c r="AG71" s="12" t="s">
        <v>133</v>
      </c>
      <c r="AH71" s="19" t="s">
        <v>54</v>
      </c>
    </row>
    <row r="72" spans="2:35" ht="22.5" customHeight="1" x14ac:dyDescent="0.25">
      <c r="B72" s="18" t="s">
        <v>275</v>
      </c>
      <c r="C72" s="9" t="s">
        <v>276</v>
      </c>
      <c r="D72" s="10" t="s">
        <v>285</v>
      </c>
      <c r="E72" s="10"/>
      <c r="F72" s="10" t="s">
        <v>125</v>
      </c>
      <c r="G72" s="10" t="s">
        <v>278</v>
      </c>
      <c r="H72" s="10"/>
      <c r="I72" s="16" t="s">
        <v>286</v>
      </c>
      <c r="J72" s="10" t="s">
        <v>125</v>
      </c>
      <c r="K72" s="10" t="s">
        <v>168</v>
      </c>
      <c r="L72" s="10" t="s">
        <v>280</v>
      </c>
      <c r="M72" s="10" t="s">
        <v>287</v>
      </c>
      <c r="N72" s="10" t="s">
        <v>190</v>
      </c>
      <c r="O72" s="11">
        <v>1</v>
      </c>
      <c r="P72" s="11">
        <v>0</v>
      </c>
      <c r="Q72" s="11"/>
      <c r="R72" s="11"/>
      <c r="S72" s="12" t="s">
        <v>128</v>
      </c>
      <c r="T72" s="12" t="s">
        <v>46</v>
      </c>
      <c r="U72" s="12" t="s">
        <v>47</v>
      </c>
      <c r="V72" s="12" t="s">
        <v>48</v>
      </c>
      <c r="W72" s="12" t="s">
        <v>49</v>
      </c>
      <c r="X72" s="12" t="s">
        <v>50</v>
      </c>
      <c r="Y72" s="12" t="s">
        <v>50</v>
      </c>
      <c r="Z72" s="12" t="s">
        <v>50</v>
      </c>
      <c r="AA72" s="12" t="s">
        <v>50</v>
      </c>
      <c r="AB72" s="12" t="s">
        <v>132</v>
      </c>
      <c r="AC72" s="12" t="s">
        <v>50</v>
      </c>
      <c r="AD72" s="12" t="s">
        <v>50</v>
      </c>
      <c r="AE72" s="12" t="s">
        <v>52</v>
      </c>
      <c r="AF72" s="12" t="s">
        <v>53</v>
      </c>
      <c r="AG72" s="12" t="s">
        <v>133</v>
      </c>
      <c r="AH72" s="19" t="s">
        <v>54</v>
      </c>
    </row>
    <row r="73" spans="2:35" ht="22.5" customHeight="1" x14ac:dyDescent="0.25">
      <c r="B73" s="18" t="s">
        <v>275</v>
      </c>
      <c r="C73" s="9" t="s">
        <v>288</v>
      </c>
      <c r="D73" s="10" t="s">
        <v>289</v>
      </c>
      <c r="E73" s="10"/>
      <c r="F73" s="10" t="s">
        <v>125</v>
      </c>
      <c r="G73" s="10" t="s">
        <v>278</v>
      </c>
      <c r="H73" s="10"/>
      <c r="I73" s="16" t="s">
        <v>290</v>
      </c>
      <c r="J73" s="10" t="s">
        <v>125</v>
      </c>
      <c r="K73" s="10" t="s">
        <v>168</v>
      </c>
      <c r="L73" s="10" t="s">
        <v>222</v>
      </c>
      <c r="M73" s="10" t="s">
        <v>291</v>
      </c>
      <c r="N73" s="10" t="s">
        <v>224</v>
      </c>
      <c r="O73" s="11">
        <v>1</v>
      </c>
      <c r="P73" s="11">
        <v>0</v>
      </c>
      <c r="Q73" s="11"/>
      <c r="R73" s="11"/>
      <c r="S73" s="12" t="s">
        <v>128</v>
      </c>
      <c r="T73" s="12" t="s">
        <v>46</v>
      </c>
      <c r="U73" s="12" t="s">
        <v>47</v>
      </c>
      <c r="V73" s="12" t="s">
        <v>48</v>
      </c>
      <c r="W73" s="12" t="s">
        <v>49</v>
      </c>
      <c r="X73" s="12" t="s">
        <v>50</v>
      </c>
      <c r="Y73" s="12" t="s">
        <v>50</v>
      </c>
      <c r="Z73" s="12" t="s">
        <v>50</v>
      </c>
      <c r="AA73" s="12" t="s">
        <v>50</v>
      </c>
      <c r="AB73" s="12" t="s">
        <v>132</v>
      </c>
      <c r="AC73" s="12" t="s">
        <v>50</v>
      </c>
      <c r="AD73" s="12" t="s">
        <v>50</v>
      </c>
      <c r="AE73" s="12" t="s">
        <v>52</v>
      </c>
      <c r="AF73" s="12" t="s">
        <v>53</v>
      </c>
      <c r="AG73" s="12" t="s">
        <v>133</v>
      </c>
      <c r="AH73" s="19" t="s">
        <v>54</v>
      </c>
    </row>
    <row r="74" spans="2:35" ht="22.5" customHeight="1" x14ac:dyDescent="0.25">
      <c r="B74" s="18" t="s">
        <v>275</v>
      </c>
      <c r="C74" s="9" t="s">
        <v>276</v>
      </c>
      <c r="D74" s="10" t="s">
        <v>292</v>
      </c>
      <c r="E74" s="10"/>
      <c r="F74" s="10" t="s">
        <v>125</v>
      </c>
      <c r="G74" s="10" t="s">
        <v>278</v>
      </c>
      <c r="H74" s="10"/>
      <c r="I74" s="16" t="s">
        <v>293</v>
      </c>
      <c r="J74" s="10" t="s">
        <v>125</v>
      </c>
      <c r="K74" s="10" t="s">
        <v>168</v>
      </c>
      <c r="L74" s="10" t="s">
        <v>222</v>
      </c>
      <c r="M74" s="10" t="s">
        <v>294</v>
      </c>
      <c r="N74" s="10" t="s">
        <v>224</v>
      </c>
      <c r="O74" s="11">
        <v>1</v>
      </c>
      <c r="P74" s="11">
        <v>0</v>
      </c>
      <c r="Q74" s="11"/>
      <c r="R74" s="11"/>
      <c r="S74" s="12" t="s">
        <v>128</v>
      </c>
      <c r="T74" s="12" t="s">
        <v>46</v>
      </c>
      <c r="U74" s="12" t="s">
        <v>47</v>
      </c>
      <c r="V74" s="12" t="s">
        <v>48</v>
      </c>
      <c r="W74" s="12" t="s">
        <v>49</v>
      </c>
      <c r="X74" s="12" t="s">
        <v>50</v>
      </c>
      <c r="Y74" s="12" t="s">
        <v>50</v>
      </c>
      <c r="Z74" s="12" t="s">
        <v>50</v>
      </c>
      <c r="AA74" s="12" t="s">
        <v>50</v>
      </c>
      <c r="AB74" s="12" t="s">
        <v>132</v>
      </c>
      <c r="AC74" s="12" t="s">
        <v>50</v>
      </c>
      <c r="AD74" s="12" t="s">
        <v>50</v>
      </c>
      <c r="AE74" s="12" t="s">
        <v>52</v>
      </c>
      <c r="AF74" s="12" t="s">
        <v>53</v>
      </c>
      <c r="AG74" s="12" t="s">
        <v>133</v>
      </c>
      <c r="AH74" s="19" t="s">
        <v>54</v>
      </c>
    </row>
    <row r="75" spans="2:35" ht="22.5" customHeight="1" x14ac:dyDescent="0.25">
      <c r="B75" s="18" t="s">
        <v>275</v>
      </c>
      <c r="C75" s="9" t="s">
        <v>174</v>
      </c>
      <c r="D75" s="10" t="s">
        <v>295</v>
      </c>
      <c r="E75" s="10"/>
      <c r="F75" s="10" t="s">
        <v>125</v>
      </c>
      <c r="G75" s="10" t="s">
        <v>296</v>
      </c>
      <c r="H75" s="10"/>
      <c r="I75" s="16" t="s">
        <v>297</v>
      </c>
      <c r="J75" s="10" t="s">
        <v>125</v>
      </c>
      <c r="K75" s="10" t="s">
        <v>168</v>
      </c>
      <c r="L75" s="10" t="s">
        <v>222</v>
      </c>
      <c r="M75" s="10" t="s">
        <v>298</v>
      </c>
      <c r="N75" s="10" t="s">
        <v>224</v>
      </c>
      <c r="O75" s="11">
        <v>1</v>
      </c>
      <c r="P75" s="11">
        <v>0</v>
      </c>
      <c r="Q75" s="11"/>
      <c r="R75" s="11"/>
      <c r="S75" s="12" t="s">
        <v>128</v>
      </c>
      <c r="T75" s="12" t="s">
        <v>46</v>
      </c>
      <c r="U75" s="12" t="s">
        <v>47</v>
      </c>
      <c r="V75" s="12" t="s">
        <v>48</v>
      </c>
      <c r="W75" s="12" t="s">
        <v>49</v>
      </c>
      <c r="X75" s="12" t="s">
        <v>50</v>
      </c>
      <c r="Y75" s="12" t="s">
        <v>50</v>
      </c>
      <c r="Z75" s="12" t="s">
        <v>50</v>
      </c>
      <c r="AA75" s="12" t="s">
        <v>50</v>
      </c>
      <c r="AB75" s="12" t="s">
        <v>132</v>
      </c>
      <c r="AC75" s="12" t="s">
        <v>50</v>
      </c>
      <c r="AD75" s="12" t="s">
        <v>50</v>
      </c>
      <c r="AE75" s="12" t="s">
        <v>52</v>
      </c>
      <c r="AF75" s="12" t="s">
        <v>53</v>
      </c>
      <c r="AG75" s="12" t="s">
        <v>133</v>
      </c>
      <c r="AH75" s="19" t="s">
        <v>54</v>
      </c>
    </row>
    <row r="76" spans="2:35" ht="22.5" customHeight="1" x14ac:dyDescent="0.25">
      <c r="B76" s="18" t="s">
        <v>299</v>
      </c>
      <c r="C76" s="9" t="s">
        <v>174</v>
      </c>
      <c r="D76" s="10" t="s">
        <v>300</v>
      </c>
      <c r="E76" s="10"/>
      <c r="F76" s="10" t="s">
        <v>301</v>
      </c>
      <c r="G76" s="10" t="s">
        <v>177</v>
      </c>
      <c r="H76" s="10"/>
      <c r="I76" s="16" t="s">
        <v>302</v>
      </c>
      <c r="J76" s="10" t="s">
        <v>38</v>
      </c>
      <c r="K76" s="10" t="s">
        <v>168</v>
      </c>
      <c r="L76" s="10" t="s">
        <v>179</v>
      </c>
      <c r="M76" s="10">
        <v>0</v>
      </c>
      <c r="N76" s="10" t="s">
        <v>303</v>
      </c>
      <c r="O76" s="11">
        <v>1</v>
      </c>
      <c r="P76" s="11">
        <v>0</v>
      </c>
      <c r="Q76" s="11"/>
      <c r="R76" s="11"/>
      <c r="S76" s="12" t="s">
        <v>45</v>
      </c>
      <c r="T76" s="12" t="s">
        <v>46</v>
      </c>
      <c r="U76" s="12" t="s">
        <v>47</v>
      </c>
      <c r="V76" s="12" t="s">
        <v>48</v>
      </c>
      <c r="W76" s="12" t="s">
        <v>49</v>
      </c>
      <c r="X76" s="12" t="s">
        <v>50</v>
      </c>
      <c r="Y76" s="12" t="s">
        <v>50</v>
      </c>
      <c r="Z76" s="12" t="s">
        <v>50</v>
      </c>
      <c r="AA76" s="12" t="s">
        <v>50</v>
      </c>
      <c r="AB76" s="12" t="s">
        <v>51</v>
      </c>
      <c r="AC76" s="12" t="s">
        <v>50</v>
      </c>
      <c r="AD76" s="12" t="s">
        <v>50</v>
      </c>
      <c r="AE76" s="12" t="s">
        <v>52</v>
      </c>
      <c r="AF76" s="12" t="s">
        <v>53</v>
      </c>
      <c r="AG76" s="12" t="s">
        <v>50</v>
      </c>
      <c r="AH76" s="19" t="s">
        <v>54</v>
      </c>
    </row>
    <row r="77" spans="2:35" ht="22.5" customHeight="1" x14ac:dyDescent="0.25">
      <c r="B77" s="18" t="s">
        <v>299</v>
      </c>
      <c r="C77" s="9" t="s">
        <v>174</v>
      </c>
      <c r="D77" s="10" t="s">
        <v>300</v>
      </c>
      <c r="E77" s="10"/>
      <c r="F77" s="10" t="s">
        <v>301</v>
      </c>
      <c r="G77" s="10" t="s">
        <v>177</v>
      </c>
      <c r="H77" s="10"/>
      <c r="I77" s="16" t="s">
        <v>304</v>
      </c>
      <c r="J77" s="10" t="s">
        <v>38</v>
      </c>
      <c r="K77" s="10" t="s">
        <v>168</v>
      </c>
      <c r="L77" s="10" t="s">
        <v>179</v>
      </c>
      <c r="M77" s="10">
        <v>0</v>
      </c>
      <c r="N77" s="10" t="s">
        <v>303</v>
      </c>
      <c r="O77" s="11">
        <v>1</v>
      </c>
      <c r="P77" s="11">
        <v>0</v>
      </c>
      <c r="Q77" s="11"/>
      <c r="R77" s="11"/>
      <c r="S77" s="12" t="s">
        <v>45</v>
      </c>
      <c r="T77" s="12" t="s">
        <v>46</v>
      </c>
      <c r="U77" s="12" t="s">
        <v>47</v>
      </c>
      <c r="V77" s="12" t="s">
        <v>48</v>
      </c>
      <c r="W77" s="12" t="s">
        <v>49</v>
      </c>
      <c r="X77" s="12" t="s">
        <v>50</v>
      </c>
      <c r="Y77" s="12" t="s">
        <v>50</v>
      </c>
      <c r="Z77" s="12" t="s">
        <v>50</v>
      </c>
      <c r="AA77" s="12" t="s">
        <v>50</v>
      </c>
      <c r="AB77" s="12" t="s">
        <v>51</v>
      </c>
      <c r="AC77" s="12" t="s">
        <v>50</v>
      </c>
      <c r="AD77" s="12" t="s">
        <v>50</v>
      </c>
      <c r="AE77" s="12" t="s">
        <v>52</v>
      </c>
      <c r="AF77" s="12" t="s">
        <v>53</v>
      </c>
      <c r="AG77" s="12" t="s">
        <v>50</v>
      </c>
      <c r="AH77" s="19" t="s">
        <v>54</v>
      </c>
      <c r="AI77"/>
    </row>
    <row r="78" spans="2:35" ht="22.5" customHeight="1" x14ac:dyDescent="0.25">
      <c r="B78" s="18" t="s">
        <v>299</v>
      </c>
      <c r="C78" s="9" t="s">
        <v>305</v>
      </c>
      <c r="D78" s="10" t="s">
        <v>306</v>
      </c>
      <c r="E78" s="10"/>
      <c r="F78" s="10" t="s">
        <v>125</v>
      </c>
      <c r="G78" s="10" t="s">
        <v>278</v>
      </c>
      <c r="H78" s="10"/>
      <c r="I78" s="16" t="s">
        <v>307</v>
      </c>
      <c r="J78" s="10" t="s">
        <v>125</v>
      </c>
      <c r="K78" s="10" t="s">
        <v>168</v>
      </c>
      <c r="L78" s="10" t="s">
        <v>308</v>
      </c>
      <c r="M78" s="10">
        <v>0</v>
      </c>
      <c r="N78" s="10" t="s">
        <v>303</v>
      </c>
      <c r="O78" s="11">
        <v>1</v>
      </c>
      <c r="P78" s="11">
        <v>0</v>
      </c>
      <c r="Q78" s="11"/>
      <c r="R78" s="11"/>
      <c r="S78" s="12" t="s">
        <v>128</v>
      </c>
      <c r="T78" s="12" t="s">
        <v>46</v>
      </c>
      <c r="U78" s="12" t="s">
        <v>47</v>
      </c>
      <c r="V78" s="12" t="s">
        <v>48</v>
      </c>
      <c r="W78" s="12" t="s">
        <v>49</v>
      </c>
      <c r="X78" s="12" t="s">
        <v>50</v>
      </c>
      <c r="Y78" s="12" t="s">
        <v>50</v>
      </c>
      <c r="Z78" s="12" t="s">
        <v>50</v>
      </c>
      <c r="AA78" s="12" t="s">
        <v>50</v>
      </c>
      <c r="AB78" s="12" t="s">
        <v>132</v>
      </c>
      <c r="AC78" s="12" t="s">
        <v>50</v>
      </c>
      <c r="AD78" s="12" t="s">
        <v>50</v>
      </c>
      <c r="AE78" s="12" t="s">
        <v>52</v>
      </c>
      <c r="AF78" s="12" t="s">
        <v>53</v>
      </c>
      <c r="AG78" s="12" t="s">
        <v>133</v>
      </c>
      <c r="AH78" s="19" t="s">
        <v>54</v>
      </c>
    </row>
    <row r="79" spans="2:35" ht="22.5" customHeight="1" x14ac:dyDescent="0.25">
      <c r="B79" s="18" t="s">
        <v>299</v>
      </c>
      <c r="C79" s="9" t="s">
        <v>305</v>
      </c>
      <c r="D79" s="10" t="s">
        <v>309</v>
      </c>
      <c r="E79" s="10"/>
      <c r="F79" s="10" t="s">
        <v>125</v>
      </c>
      <c r="G79" s="10" t="s">
        <v>278</v>
      </c>
      <c r="H79" s="10"/>
      <c r="I79" s="16" t="s">
        <v>310</v>
      </c>
      <c r="J79" s="10" t="s">
        <v>125</v>
      </c>
      <c r="K79" s="10" t="s">
        <v>168</v>
      </c>
      <c r="L79" s="10" t="s">
        <v>308</v>
      </c>
      <c r="M79" s="10">
        <v>0</v>
      </c>
      <c r="N79" s="10" t="s">
        <v>303</v>
      </c>
      <c r="O79" s="11">
        <v>1</v>
      </c>
      <c r="P79" s="11">
        <v>0</v>
      </c>
      <c r="Q79" s="11"/>
      <c r="R79" s="11"/>
      <c r="S79" s="12" t="s">
        <v>128</v>
      </c>
      <c r="T79" s="12" t="s">
        <v>46</v>
      </c>
      <c r="U79" s="12" t="s">
        <v>47</v>
      </c>
      <c r="V79" s="12" t="s">
        <v>48</v>
      </c>
      <c r="W79" s="12" t="s">
        <v>49</v>
      </c>
      <c r="X79" s="12" t="s">
        <v>50</v>
      </c>
      <c r="Y79" s="12" t="s">
        <v>50</v>
      </c>
      <c r="Z79" s="12" t="s">
        <v>50</v>
      </c>
      <c r="AA79" s="12" t="s">
        <v>50</v>
      </c>
      <c r="AB79" s="12" t="s">
        <v>132</v>
      </c>
      <c r="AC79" s="12" t="s">
        <v>50</v>
      </c>
      <c r="AD79" s="12" t="s">
        <v>50</v>
      </c>
      <c r="AE79" s="12" t="s">
        <v>52</v>
      </c>
      <c r="AF79" s="12" t="s">
        <v>53</v>
      </c>
      <c r="AG79" s="12" t="s">
        <v>133</v>
      </c>
      <c r="AH79" s="19" t="s">
        <v>54</v>
      </c>
    </row>
    <row r="80" spans="2:35" ht="22.5" customHeight="1" x14ac:dyDescent="0.25">
      <c r="B80" s="18" t="s">
        <v>299</v>
      </c>
      <c r="C80" s="9" t="s">
        <v>305</v>
      </c>
      <c r="D80" s="10" t="s">
        <v>311</v>
      </c>
      <c r="E80" s="10"/>
      <c r="F80" s="10" t="s">
        <v>125</v>
      </c>
      <c r="G80" s="10" t="s">
        <v>278</v>
      </c>
      <c r="H80" s="10"/>
      <c r="I80" s="16" t="s">
        <v>312</v>
      </c>
      <c r="J80" s="10" t="s">
        <v>125</v>
      </c>
      <c r="K80" s="10" t="s">
        <v>168</v>
      </c>
      <c r="L80" s="10" t="s">
        <v>308</v>
      </c>
      <c r="M80" s="10">
        <v>0</v>
      </c>
      <c r="N80" s="10" t="s">
        <v>303</v>
      </c>
      <c r="O80" s="11">
        <v>1</v>
      </c>
      <c r="P80" s="11">
        <v>0</v>
      </c>
      <c r="Q80" s="11"/>
      <c r="R80" s="11"/>
      <c r="S80" s="12" t="s">
        <v>128</v>
      </c>
      <c r="T80" s="12" t="s">
        <v>46</v>
      </c>
      <c r="U80" s="12" t="s">
        <v>47</v>
      </c>
      <c r="V80" s="12" t="s">
        <v>48</v>
      </c>
      <c r="W80" s="12" t="s">
        <v>49</v>
      </c>
      <c r="X80" s="12" t="s">
        <v>50</v>
      </c>
      <c r="Y80" s="12" t="s">
        <v>50</v>
      </c>
      <c r="Z80" s="12" t="s">
        <v>50</v>
      </c>
      <c r="AA80" s="12" t="s">
        <v>50</v>
      </c>
      <c r="AB80" s="12" t="s">
        <v>132</v>
      </c>
      <c r="AC80" s="12" t="s">
        <v>50</v>
      </c>
      <c r="AD80" s="12" t="s">
        <v>50</v>
      </c>
      <c r="AE80" s="12" t="s">
        <v>52</v>
      </c>
      <c r="AF80" s="12" t="s">
        <v>53</v>
      </c>
      <c r="AG80" s="12" t="s">
        <v>133</v>
      </c>
      <c r="AH80" s="19" t="s">
        <v>54</v>
      </c>
    </row>
    <row r="81" spans="2:34" ht="22.5" customHeight="1" x14ac:dyDescent="0.25">
      <c r="B81" s="18" t="s">
        <v>299</v>
      </c>
      <c r="C81" s="9" t="s">
        <v>313</v>
      </c>
      <c r="D81" s="10" t="s">
        <v>314</v>
      </c>
      <c r="E81" s="10"/>
      <c r="F81" s="10" t="s">
        <v>125</v>
      </c>
      <c r="G81" s="10" t="s">
        <v>278</v>
      </c>
      <c r="H81" s="10"/>
      <c r="I81" s="16" t="s">
        <v>315</v>
      </c>
      <c r="J81" s="10" t="s">
        <v>125</v>
      </c>
      <c r="K81" s="10" t="s">
        <v>168</v>
      </c>
      <c r="L81" s="10" t="s">
        <v>222</v>
      </c>
      <c r="M81" s="10" t="s">
        <v>316</v>
      </c>
      <c r="N81" s="10" t="s">
        <v>224</v>
      </c>
      <c r="O81" s="11">
        <v>1</v>
      </c>
      <c r="P81" s="11">
        <v>0</v>
      </c>
      <c r="Q81" s="11"/>
      <c r="R81" s="11"/>
      <c r="S81" s="12" t="s">
        <v>128</v>
      </c>
      <c r="T81" s="12" t="s">
        <v>46</v>
      </c>
      <c r="U81" s="12" t="s">
        <v>47</v>
      </c>
      <c r="V81" s="12" t="s">
        <v>48</v>
      </c>
      <c r="W81" s="12" t="s">
        <v>49</v>
      </c>
      <c r="X81" s="12" t="s">
        <v>50</v>
      </c>
      <c r="Y81" s="12" t="s">
        <v>50</v>
      </c>
      <c r="Z81" s="12" t="s">
        <v>50</v>
      </c>
      <c r="AA81" s="12" t="s">
        <v>50</v>
      </c>
      <c r="AB81" s="12" t="s">
        <v>132</v>
      </c>
      <c r="AC81" s="12" t="s">
        <v>50</v>
      </c>
      <c r="AD81" s="12" t="s">
        <v>50</v>
      </c>
      <c r="AE81" s="12" t="s">
        <v>52</v>
      </c>
      <c r="AF81" s="12" t="s">
        <v>53</v>
      </c>
      <c r="AG81" s="12" t="s">
        <v>133</v>
      </c>
      <c r="AH81" s="19" t="s">
        <v>54</v>
      </c>
    </row>
    <row r="82" spans="2:34" ht="22.5" customHeight="1" x14ac:dyDescent="0.25">
      <c r="B82" s="18" t="s">
        <v>299</v>
      </c>
      <c r="C82" s="9" t="s">
        <v>313</v>
      </c>
      <c r="D82" s="10" t="s">
        <v>317</v>
      </c>
      <c r="E82" s="10"/>
      <c r="F82" s="10" t="s">
        <v>125</v>
      </c>
      <c r="G82" s="10" t="s">
        <v>278</v>
      </c>
      <c r="H82" s="10"/>
      <c r="I82" s="16" t="s">
        <v>318</v>
      </c>
      <c r="J82" s="10" t="s">
        <v>125</v>
      </c>
      <c r="K82" s="10" t="s">
        <v>168</v>
      </c>
      <c r="L82" s="10" t="s">
        <v>308</v>
      </c>
      <c r="M82" s="10">
        <v>0</v>
      </c>
      <c r="N82" s="10" t="s">
        <v>303</v>
      </c>
      <c r="O82" s="11">
        <v>1</v>
      </c>
      <c r="P82" s="11">
        <v>0</v>
      </c>
      <c r="Q82" s="11"/>
      <c r="R82" s="11"/>
      <c r="S82" s="12" t="s">
        <v>128</v>
      </c>
      <c r="T82" s="12" t="s">
        <v>46</v>
      </c>
      <c r="U82" s="12" t="s">
        <v>47</v>
      </c>
      <c r="V82" s="12" t="s">
        <v>48</v>
      </c>
      <c r="W82" s="12" t="s">
        <v>49</v>
      </c>
      <c r="X82" s="12" t="s">
        <v>50</v>
      </c>
      <c r="Y82" s="12" t="s">
        <v>50</v>
      </c>
      <c r="Z82" s="12" t="s">
        <v>50</v>
      </c>
      <c r="AA82" s="12" t="s">
        <v>50</v>
      </c>
      <c r="AB82" s="12" t="s">
        <v>132</v>
      </c>
      <c r="AC82" s="12" t="s">
        <v>50</v>
      </c>
      <c r="AD82" s="12" t="s">
        <v>50</v>
      </c>
      <c r="AE82" s="12" t="s">
        <v>52</v>
      </c>
      <c r="AF82" s="12" t="s">
        <v>53</v>
      </c>
      <c r="AG82" s="12" t="s">
        <v>133</v>
      </c>
      <c r="AH82" s="19" t="s">
        <v>54</v>
      </c>
    </row>
    <row r="83" spans="2:34" ht="22.5" customHeight="1" x14ac:dyDescent="0.25">
      <c r="B83" s="18" t="s">
        <v>299</v>
      </c>
      <c r="C83" s="9" t="s">
        <v>313</v>
      </c>
      <c r="D83" s="10" t="s">
        <v>319</v>
      </c>
      <c r="E83" s="10"/>
      <c r="F83" s="10" t="s">
        <v>125</v>
      </c>
      <c r="G83" s="10" t="s">
        <v>278</v>
      </c>
      <c r="H83" s="10"/>
      <c r="I83" s="16" t="s">
        <v>320</v>
      </c>
      <c r="J83" s="10" t="s">
        <v>125</v>
      </c>
      <c r="K83" s="10" t="s">
        <v>168</v>
      </c>
      <c r="L83" s="10" t="s">
        <v>222</v>
      </c>
      <c r="M83" s="10" t="s">
        <v>321</v>
      </c>
      <c r="N83" s="10" t="s">
        <v>224</v>
      </c>
      <c r="O83" s="11">
        <v>1</v>
      </c>
      <c r="P83" s="11">
        <v>0</v>
      </c>
      <c r="Q83" s="11"/>
      <c r="R83" s="11"/>
      <c r="S83" s="12" t="s">
        <v>128</v>
      </c>
      <c r="T83" s="12" t="s">
        <v>46</v>
      </c>
      <c r="U83" s="12" t="s">
        <v>47</v>
      </c>
      <c r="V83" s="12" t="s">
        <v>48</v>
      </c>
      <c r="W83" s="12" t="s">
        <v>49</v>
      </c>
      <c r="X83" s="12" t="s">
        <v>50</v>
      </c>
      <c r="Y83" s="12" t="s">
        <v>50</v>
      </c>
      <c r="Z83" s="12" t="s">
        <v>50</v>
      </c>
      <c r="AA83" s="12" t="s">
        <v>50</v>
      </c>
      <c r="AB83" s="12" t="s">
        <v>132</v>
      </c>
      <c r="AC83" s="12" t="s">
        <v>50</v>
      </c>
      <c r="AD83" s="12" t="s">
        <v>50</v>
      </c>
      <c r="AE83" s="12" t="s">
        <v>52</v>
      </c>
      <c r="AF83" s="12" t="s">
        <v>53</v>
      </c>
      <c r="AG83" s="12" t="s">
        <v>133</v>
      </c>
      <c r="AH83" s="19" t="s">
        <v>54</v>
      </c>
    </row>
    <row r="84" spans="2:34" ht="22.5" customHeight="1" x14ac:dyDescent="0.25">
      <c r="B84" s="18" t="s">
        <v>299</v>
      </c>
      <c r="C84" s="9" t="s">
        <v>313</v>
      </c>
      <c r="D84" s="10" t="s">
        <v>322</v>
      </c>
      <c r="E84" s="10"/>
      <c r="F84" s="10" t="s">
        <v>125</v>
      </c>
      <c r="G84" s="10" t="s">
        <v>278</v>
      </c>
      <c r="H84" s="10"/>
      <c r="I84" s="16" t="s">
        <v>323</v>
      </c>
      <c r="J84" s="10" t="s">
        <v>125</v>
      </c>
      <c r="K84" s="10" t="s">
        <v>168</v>
      </c>
      <c r="L84" s="10" t="s">
        <v>308</v>
      </c>
      <c r="M84" s="10">
        <v>0</v>
      </c>
      <c r="N84" s="10" t="s">
        <v>303</v>
      </c>
      <c r="O84" s="11">
        <v>1</v>
      </c>
      <c r="P84" s="11">
        <v>0</v>
      </c>
      <c r="Q84" s="11"/>
      <c r="R84" s="11"/>
      <c r="S84" s="12" t="s">
        <v>128</v>
      </c>
      <c r="T84" s="12" t="s">
        <v>46</v>
      </c>
      <c r="U84" s="12" t="s">
        <v>47</v>
      </c>
      <c r="V84" s="12" t="s">
        <v>48</v>
      </c>
      <c r="W84" s="12" t="s">
        <v>49</v>
      </c>
      <c r="X84" s="12" t="s">
        <v>50</v>
      </c>
      <c r="Y84" s="12" t="s">
        <v>50</v>
      </c>
      <c r="Z84" s="12" t="s">
        <v>50</v>
      </c>
      <c r="AA84" s="12" t="s">
        <v>50</v>
      </c>
      <c r="AB84" s="12" t="s">
        <v>132</v>
      </c>
      <c r="AC84" s="12" t="s">
        <v>50</v>
      </c>
      <c r="AD84" s="12" t="s">
        <v>50</v>
      </c>
      <c r="AE84" s="12" t="s">
        <v>52</v>
      </c>
      <c r="AF84" s="12" t="s">
        <v>53</v>
      </c>
      <c r="AG84" s="12" t="s">
        <v>133</v>
      </c>
      <c r="AH84" s="19" t="s">
        <v>54</v>
      </c>
    </row>
    <row r="85" spans="2:34" ht="22.5" customHeight="1" x14ac:dyDescent="0.25">
      <c r="B85" s="18" t="s">
        <v>299</v>
      </c>
      <c r="C85" s="9" t="s">
        <v>324</v>
      </c>
      <c r="D85" s="10" t="s">
        <v>325</v>
      </c>
      <c r="E85" s="10"/>
      <c r="F85" s="10" t="s">
        <v>125</v>
      </c>
      <c r="G85" s="10" t="s">
        <v>278</v>
      </c>
      <c r="H85" s="10"/>
      <c r="I85" s="16" t="s">
        <v>326</v>
      </c>
      <c r="J85" s="10" t="s">
        <v>125</v>
      </c>
      <c r="K85" s="10" t="s">
        <v>168</v>
      </c>
      <c r="L85" s="10" t="s">
        <v>308</v>
      </c>
      <c r="M85" s="10">
        <v>0</v>
      </c>
      <c r="N85" s="10" t="s">
        <v>303</v>
      </c>
      <c r="O85" s="11">
        <v>1</v>
      </c>
      <c r="P85" s="11">
        <v>0</v>
      </c>
      <c r="Q85" s="11"/>
      <c r="R85" s="11"/>
      <c r="S85" s="12" t="s">
        <v>128</v>
      </c>
      <c r="T85" s="12" t="s">
        <v>46</v>
      </c>
      <c r="U85" s="12" t="s">
        <v>47</v>
      </c>
      <c r="V85" s="12" t="s">
        <v>48</v>
      </c>
      <c r="W85" s="12" t="s">
        <v>49</v>
      </c>
      <c r="X85" s="12" t="s">
        <v>50</v>
      </c>
      <c r="Y85" s="12" t="s">
        <v>50</v>
      </c>
      <c r="Z85" s="12" t="s">
        <v>50</v>
      </c>
      <c r="AA85" s="12" t="s">
        <v>50</v>
      </c>
      <c r="AB85" s="12" t="s">
        <v>132</v>
      </c>
      <c r="AC85" s="12" t="s">
        <v>50</v>
      </c>
      <c r="AD85" s="12" t="s">
        <v>50</v>
      </c>
      <c r="AE85" s="12" t="s">
        <v>52</v>
      </c>
      <c r="AF85" s="12" t="s">
        <v>53</v>
      </c>
      <c r="AG85" s="12" t="s">
        <v>133</v>
      </c>
      <c r="AH85" s="19" t="s">
        <v>54</v>
      </c>
    </row>
    <row r="86" spans="2:34" ht="22.5" customHeight="1" x14ac:dyDescent="0.25">
      <c r="B86" s="18" t="s">
        <v>299</v>
      </c>
      <c r="C86" s="9" t="s">
        <v>305</v>
      </c>
      <c r="D86" s="10" t="s">
        <v>327</v>
      </c>
      <c r="E86" s="10"/>
      <c r="F86" s="10" t="s">
        <v>125</v>
      </c>
      <c r="G86" s="10" t="s">
        <v>278</v>
      </c>
      <c r="H86" s="10"/>
      <c r="I86" s="16" t="s">
        <v>328</v>
      </c>
      <c r="J86" s="10" t="s">
        <v>125</v>
      </c>
      <c r="K86" s="10" t="s">
        <v>168</v>
      </c>
      <c r="L86" s="10" t="s">
        <v>308</v>
      </c>
      <c r="M86" s="10">
        <v>0</v>
      </c>
      <c r="N86" s="10" t="s">
        <v>303</v>
      </c>
      <c r="O86" s="11">
        <v>1</v>
      </c>
      <c r="P86" s="11">
        <v>0</v>
      </c>
      <c r="Q86" s="11"/>
      <c r="R86" s="11"/>
      <c r="S86" s="12" t="s">
        <v>128</v>
      </c>
      <c r="T86" s="12" t="s">
        <v>46</v>
      </c>
      <c r="U86" s="12" t="s">
        <v>47</v>
      </c>
      <c r="V86" s="12" t="s">
        <v>48</v>
      </c>
      <c r="W86" s="12" t="s">
        <v>49</v>
      </c>
      <c r="X86" s="12" t="s">
        <v>50</v>
      </c>
      <c r="Y86" s="12" t="s">
        <v>50</v>
      </c>
      <c r="Z86" s="12" t="s">
        <v>50</v>
      </c>
      <c r="AA86" s="12" t="s">
        <v>50</v>
      </c>
      <c r="AB86" s="12" t="s">
        <v>132</v>
      </c>
      <c r="AC86" s="12" t="s">
        <v>50</v>
      </c>
      <c r="AD86" s="12" t="s">
        <v>50</v>
      </c>
      <c r="AE86" s="12" t="s">
        <v>52</v>
      </c>
      <c r="AF86" s="12" t="s">
        <v>53</v>
      </c>
      <c r="AG86" s="12" t="s">
        <v>133</v>
      </c>
      <c r="AH86" s="19" t="s">
        <v>54</v>
      </c>
    </row>
    <row r="87" spans="2:34" ht="22.5" customHeight="1" x14ac:dyDescent="0.25">
      <c r="B87" s="18" t="s">
        <v>299</v>
      </c>
      <c r="C87" s="9" t="s">
        <v>305</v>
      </c>
      <c r="D87" s="10" t="s">
        <v>329</v>
      </c>
      <c r="E87" s="10"/>
      <c r="F87" s="10" t="s">
        <v>125</v>
      </c>
      <c r="G87" s="10" t="s">
        <v>278</v>
      </c>
      <c r="H87" s="10"/>
      <c r="I87" s="16" t="s">
        <v>330</v>
      </c>
      <c r="J87" s="10" t="s">
        <v>125</v>
      </c>
      <c r="K87" s="10" t="s">
        <v>168</v>
      </c>
      <c r="L87" s="10" t="s">
        <v>308</v>
      </c>
      <c r="M87" s="10">
        <v>0</v>
      </c>
      <c r="N87" s="10" t="s">
        <v>303</v>
      </c>
      <c r="O87" s="11">
        <v>1</v>
      </c>
      <c r="P87" s="11">
        <v>0</v>
      </c>
      <c r="Q87" s="11"/>
      <c r="R87" s="11"/>
      <c r="S87" s="12" t="s">
        <v>128</v>
      </c>
      <c r="T87" s="12" t="s">
        <v>46</v>
      </c>
      <c r="U87" s="12" t="s">
        <v>47</v>
      </c>
      <c r="V87" s="12" t="s">
        <v>48</v>
      </c>
      <c r="W87" s="12" t="s">
        <v>49</v>
      </c>
      <c r="X87" s="12" t="s">
        <v>50</v>
      </c>
      <c r="Y87" s="12" t="s">
        <v>50</v>
      </c>
      <c r="Z87" s="12" t="s">
        <v>50</v>
      </c>
      <c r="AA87" s="12" t="s">
        <v>50</v>
      </c>
      <c r="AB87" s="12" t="s">
        <v>132</v>
      </c>
      <c r="AC87" s="12" t="s">
        <v>50</v>
      </c>
      <c r="AD87" s="12" t="s">
        <v>50</v>
      </c>
      <c r="AE87" s="12" t="s">
        <v>52</v>
      </c>
      <c r="AF87" s="12" t="s">
        <v>53</v>
      </c>
      <c r="AG87" s="12" t="s">
        <v>133</v>
      </c>
      <c r="AH87" s="19" t="s">
        <v>54</v>
      </c>
    </row>
    <row r="88" spans="2:34" ht="22.5" customHeight="1" x14ac:dyDescent="0.25">
      <c r="B88" s="18" t="s">
        <v>299</v>
      </c>
      <c r="C88" s="9" t="s">
        <v>305</v>
      </c>
      <c r="D88" s="10" t="s">
        <v>331</v>
      </c>
      <c r="E88" s="10"/>
      <c r="F88" s="10" t="s">
        <v>125</v>
      </c>
      <c r="G88" s="10" t="s">
        <v>278</v>
      </c>
      <c r="H88" s="10"/>
      <c r="I88" s="16" t="s">
        <v>332</v>
      </c>
      <c r="J88" s="10" t="s">
        <v>125</v>
      </c>
      <c r="K88" s="10" t="s">
        <v>168</v>
      </c>
      <c r="L88" s="10" t="s">
        <v>308</v>
      </c>
      <c r="M88" s="10">
        <v>0</v>
      </c>
      <c r="N88" s="10" t="s">
        <v>303</v>
      </c>
      <c r="O88" s="11">
        <v>1</v>
      </c>
      <c r="P88" s="11">
        <v>0</v>
      </c>
      <c r="Q88" s="11"/>
      <c r="R88" s="11"/>
      <c r="S88" s="12" t="s">
        <v>128</v>
      </c>
      <c r="T88" s="12" t="s">
        <v>46</v>
      </c>
      <c r="U88" s="12" t="s">
        <v>47</v>
      </c>
      <c r="V88" s="12" t="s">
        <v>48</v>
      </c>
      <c r="W88" s="12" t="s">
        <v>49</v>
      </c>
      <c r="X88" s="12" t="s">
        <v>50</v>
      </c>
      <c r="Y88" s="12" t="s">
        <v>50</v>
      </c>
      <c r="Z88" s="12" t="s">
        <v>50</v>
      </c>
      <c r="AA88" s="12" t="s">
        <v>50</v>
      </c>
      <c r="AB88" s="12" t="s">
        <v>132</v>
      </c>
      <c r="AC88" s="12" t="s">
        <v>50</v>
      </c>
      <c r="AD88" s="12" t="s">
        <v>50</v>
      </c>
      <c r="AE88" s="12" t="s">
        <v>52</v>
      </c>
      <c r="AF88" s="12" t="s">
        <v>53</v>
      </c>
      <c r="AG88" s="12" t="s">
        <v>133</v>
      </c>
      <c r="AH88" s="19" t="s">
        <v>54</v>
      </c>
    </row>
    <row r="89" spans="2:34" ht="22.5" customHeight="1" x14ac:dyDescent="0.25">
      <c r="B89" s="18" t="s">
        <v>299</v>
      </c>
      <c r="C89" s="9" t="s">
        <v>333</v>
      </c>
      <c r="D89" s="10" t="s">
        <v>334</v>
      </c>
      <c r="E89" s="10"/>
      <c r="F89" s="10" t="s">
        <v>125</v>
      </c>
      <c r="G89" s="10" t="s">
        <v>278</v>
      </c>
      <c r="H89" s="10"/>
      <c r="I89" s="16" t="s">
        <v>335</v>
      </c>
      <c r="J89" s="10" t="s">
        <v>125</v>
      </c>
      <c r="K89" s="10" t="s">
        <v>168</v>
      </c>
      <c r="L89" s="10" t="s">
        <v>308</v>
      </c>
      <c r="M89" s="10">
        <v>0</v>
      </c>
      <c r="N89" s="10" t="s">
        <v>303</v>
      </c>
      <c r="O89" s="11">
        <v>1</v>
      </c>
      <c r="P89" s="11">
        <v>0</v>
      </c>
      <c r="Q89" s="11"/>
      <c r="R89" s="11"/>
      <c r="S89" s="12" t="s">
        <v>128</v>
      </c>
      <c r="T89" s="12" t="s">
        <v>46</v>
      </c>
      <c r="U89" s="12" t="s">
        <v>47</v>
      </c>
      <c r="V89" s="12" t="s">
        <v>48</v>
      </c>
      <c r="W89" s="12" t="s">
        <v>49</v>
      </c>
      <c r="X89" s="12" t="s">
        <v>50</v>
      </c>
      <c r="Y89" s="12" t="s">
        <v>50</v>
      </c>
      <c r="Z89" s="12" t="s">
        <v>50</v>
      </c>
      <c r="AA89" s="12" t="s">
        <v>50</v>
      </c>
      <c r="AB89" s="12" t="s">
        <v>132</v>
      </c>
      <c r="AC89" s="12" t="s">
        <v>50</v>
      </c>
      <c r="AD89" s="12" t="s">
        <v>50</v>
      </c>
      <c r="AE89" s="12" t="s">
        <v>52</v>
      </c>
      <c r="AF89" s="12" t="s">
        <v>53</v>
      </c>
      <c r="AG89" s="12" t="s">
        <v>133</v>
      </c>
      <c r="AH89" s="19" t="s">
        <v>54</v>
      </c>
    </row>
    <row r="90" spans="2:34" ht="22.5" customHeight="1" x14ac:dyDescent="0.25">
      <c r="B90" s="18" t="s">
        <v>299</v>
      </c>
      <c r="C90" s="9" t="s">
        <v>333</v>
      </c>
      <c r="D90" s="10" t="s">
        <v>336</v>
      </c>
      <c r="E90" s="10"/>
      <c r="F90" s="10" t="s">
        <v>125</v>
      </c>
      <c r="G90" s="10" t="s">
        <v>278</v>
      </c>
      <c r="H90" s="10"/>
      <c r="I90" s="16" t="s">
        <v>337</v>
      </c>
      <c r="J90" s="10" t="s">
        <v>125</v>
      </c>
      <c r="K90" s="10" t="s">
        <v>168</v>
      </c>
      <c r="L90" s="10" t="s">
        <v>308</v>
      </c>
      <c r="M90" s="10">
        <v>0</v>
      </c>
      <c r="N90" s="10" t="s">
        <v>303</v>
      </c>
      <c r="O90" s="11">
        <v>1</v>
      </c>
      <c r="P90" s="11">
        <v>0</v>
      </c>
      <c r="Q90" s="11"/>
      <c r="R90" s="11"/>
      <c r="S90" s="12" t="s">
        <v>128</v>
      </c>
      <c r="T90" s="12" t="s">
        <v>46</v>
      </c>
      <c r="U90" s="12" t="s">
        <v>47</v>
      </c>
      <c r="V90" s="12" t="s">
        <v>48</v>
      </c>
      <c r="W90" s="12" t="s">
        <v>49</v>
      </c>
      <c r="X90" s="12" t="s">
        <v>50</v>
      </c>
      <c r="Y90" s="12" t="s">
        <v>50</v>
      </c>
      <c r="Z90" s="12" t="s">
        <v>50</v>
      </c>
      <c r="AA90" s="12" t="s">
        <v>50</v>
      </c>
      <c r="AB90" s="12" t="s">
        <v>132</v>
      </c>
      <c r="AC90" s="12" t="s">
        <v>50</v>
      </c>
      <c r="AD90" s="12" t="s">
        <v>50</v>
      </c>
      <c r="AE90" s="12" t="s">
        <v>52</v>
      </c>
      <c r="AF90" s="12" t="s">
        <v>53</v>
      </c>
      <c r="AG90" s="12" t="s">
        <v>133</v>
      </c>
      <c r="AH90" s="19" t="s">
        <v>54</v>
      </c>
    </row>
    <row r="91" spans="2:34" ht="22.5" customHeight="1" x14ac:dyDescent="0.25">
      <c r="B91" s="18" t="s">
        <v>299</v>
      </c>
      <c r="C91" s="9" t="s">
        <v>305</v>
      </c>
      <c r="D91" s="10" t="s">
        <v>338</v>
      </c>
      <c r="E91" s="10"/>
      <c r="F91" s="10" t="s">
        <v>125</v>
      </c>
      <c r="G91" s="10" t="s">
        <v>278</v>
      </c>
      <c r="H91" s="10" t="s">
        <v>339</v>
      </c>
      <c r="I91" s="16" t="s">
        <v>340</v>
      </c>
      <c r="J91" s="10" t="s">
        <v>38</v>
      </c>
      <c r="K91" s="10" t="s">
        <v>168</v>
      </c>
      <c r="L91" s="10" t="s">
        <v>222</v>
      </c>
      <c r="M91" s="10" t="s">
        <v>341</v>
      </c>
      <c r="N91" s="10" t="s">
        <v>224</v>
      </c>
      <c r="O91" s="11">
        <v>1</v>
      </c>
      <c r="P91" s="11">
        <v>0</v>
      </c>
      <c r="Q91" s="11"/>
      <c r="R91" s="11"/>
      <c r="S91" s="12" t="s">
        <v>128</v>
      </c>
      <c r="T91" s="12" t="s">
        <v>46</v>
      </c>
      <c r="U91" s="12" t="s">
        <v>47</v>
      </c>
      <c r="V91" s="12" t="s">
        <v>48</v>
      </c>
      <c r="W91" s="12" t="s">
        <v>49</v>
      </c>
      <c r="X91" s="12" t="s">
        <v>50</v>
      </c>
      <c r="Y91" s="12" t="s">
        <v>50</v>
      </c>
      <c r="Z91" s="12" t="s">
        <v>50</v>
      </c>
      <c r="AA91" s="12" t="s">
        <v>50</v>
      </c>
      <c r="AB91" s="12" t="s">
        <v>132</v>
      </c>
      <c r="AC91" s="12" t="s">
        <v>50</v>
      </c>
      <c r="AD91" s="12" t="s">
        <v>50</v>
      </c>
      <c r="AE91" s="12" t="s">
        <v>52</v>
      </c>
      <c r="AF91" s="12" t="s">
        <v>53</v>
      </c>
      <c r="AG91" s="12" t="s">
        <v>133</v>
      </c>
      <c r="AH91" s="19" t="s">
        <v>54</v>
      </c>
    </row>
    <row r="92" spans="2:34" ht="22.5" customHeight="1" x14ac:dyDescent="0.25">
      <c r="B92" s="18" t="s">
        <v>299</v>
      </c>
      <c r="C92" s="9" t="s">
        <v>305</v>
      </c>
      <c r="D92" s="10" t="s">
        <v>342</v>
      </c>
      <c r="E92" s="10"/>
      <c r="F92" s="10" t="s">
        <v>125</v>
      </c>
      <c r="G92" s="10" t="s">
        <v>278</v>
      </c>
      <c r="H92" s="10" t="s">
        <v>339</v>
      </c>
      <c r="I92" s="16" t="s">
        <v>343</v>
      </c>
      <c r="J92" s="10" t="s">
        <v>38</v>
      </c>
      <c r="K92" s="10" t="s">
        <v>168</v>
      </c>
      <c r="L92" s="10" t="s">
        <v>222</v>
      </c>
      <c r="M92" s="10" t="s">
        <v>344</v>
      </c>
      <c r="N92" s="10" t="s">
        <v>224</v>
      </c>
      <c r="O92" s="11">
        <v>1</v>
      </c>
      <c r="P92" s="11">
        <v>0</v>
      </c>
      <c r="Q92" s="11"/>
      <c r="R92" s="11"/>
      <c r="S92" s="12" t="s">
        <v>128</v>
      </c>
      <c r="T92" s="12" t="s">
        <v>46</v>
      </c>
      <c r="U92" s="12" t="s">
        <v>47</v>
      </c>
      <c r="V92" s="12" t="s">
        <v>48</v>
      </c>
      <c r="W92" s="12" t="s">
        <v>49</v>
      </c>
      <c r="X92" s="12" t="s">
        <v>50</v>
      </c>
      <c r="Y92" s="12" t="s">
        <v>50</v>
      </c>
      <c r="Z92" s="12" t="s">
        <v>50</v>
      </c>
      <c r="AA92" s="12" t="s">
        <v>50</v>
      </c>
      <c r="AB92" s="12" t="s">
        <v>132</v>
      </c>
      <c r="AC92" s="12" t="s">
        <v>50</v>
      </c>
      <c r="AD92" s="12" t="s">
        <v>50</v>
      </c>
      <c r="AE92" s="12" t="s">
        <v>52</v>
      </c>
      <c r="AF92" s="12" t="s">
        <v>53</v>
      </c>
      <c r="AG92" s="12" t="s">
        <v>133</v>
      </c>
      <c r="AH92" s="19" t="s">
        <v>54</v>
      </c>
    </row>
    <row r="93" spans="2:34" ht="22.5" customHeight="1" x14ac:dyDescent="0.25">
      <c r="B93" s="18" t="s">
        <v>299</v>
      </c>
      <c r="C93" s="9" t="s">
        <v>305</v>
      </c>
      <c r="D93" s="10" t="s">
        <v>345</v>
      </c>
      <c r="E93" s="10"/>
      <c r="F93" s="10" t="s">
        <v>125</v>
      </c>
      <c r="G93" s="10" t="s">
        <v>278</v>
      </c>
      <c r="H93" s="10" t="s">
        <v>339</v>
      </c>
      <c r="I93" s="16" t="s">
        <v>346</v>
      </c>
      <c r="J93" s="10" t="s">
        <v>38</v>
      </c>
      <c r="K93" s="10" t="s">
        <v>168</v>
      </c>
      <c r="L93" s="10" t="s">
        <v>222</v>
      </c>
      <c r="M93" s="10" t="s">
        <v>347</v>
      </c>
      <c r="N93" s="10" t="s">
        <v>224</v>
      </c>
      <c r="O93" s="11">
        <v>1</v>
      </c>
      <c r="P93" s="11">
        <v>0</v>
      </c>
      <c r="Q93" s="11"/>
      <c r="R93" s="11"/>
      <c r="S93" s="12" t="s">
        <v>128</v>
      </c>
      <c r="T93" s="12" t="s">
        <v>46</v>
      </c>
      <c r="U93" s="12" t="s">
        <v>47</v>
      </c>
      <c r="V93" s="12" t="s">
        <v>48</v>
      </c>
      <c r="W93" s="12" t="s">
        <v>49</v>
      </c>
      <c r="X93" s="12" t="s">
        <v>50</v>
      </c>
      <c r="Y93" s="12" t="s">
        <v>50</v>
      </c>
      <c r="Z93" s="12" t="s">
        <v>50</v>
      </c>
      <c r="AA93" s="12" t="s">
        <v>50</v>
      </c>
      <c r="AB93" s="12" t="s">
        <v>132</v>
      </c>
      <c r="AC93" s="12" t="s">
        <v>50</v>
      </c>
      <c r="AD93" s="12" t="s">
        <v>50</v>
      </c>
      <c r="AE93" s="12" t="s">
        <v>52</v>
      </c>
      <c r="AF93" s="12" t="s">
        <v>53</v>
      </c>
      <c r="AG93" s="12" t="s">
        <v>133</v>
      </c>
      <c r="AH93" s="19" t="s">
        <v>54</v>
      </c>
    </row>
    <row r="94" spans="2:34" ht="22.5" customHeight="1" x14ac:dyDescent="0.25">
      <c r="B94" s="18" t="s">
        <v>299</v>
      </c>
      <c r="C94" s="9" t="s">
        <v>324</v>
      </c>
      <c r="D94" s="10" t="s">
        <v>348</v>
      </c>
      <c r="E94" s="10"/>
      <c r="F94" s="10" t="s">
        <v>125</v>
      </c>
      <c r="G94" s="10" t="s">
        <v>278</v>
      </c>
      <c r="H94" s="10"/>
      <c r="I94" s="16" t="s">
        <v>349</v>
      </c>
      <c r="J94" s="10" t="s">
        <v>125</v>
      </c>
      <c r="K94" s="10" t="s">
        <v>168</v>
      </c>
      <c r="L94" s="10" t="s">
        <v>308</v>
      </c>
      <c r="M94" s="10">
        <v>0</v>
      </c>
      <c r="N94" s="10" t="s">
        <v>303</v>
      </c>
      <c r="O94" s="11">
        <v>1</v>
      </c>
      <c r="P94" s="11">
        <v>0</v>
      </c>
      <c r="Q94" s="11"/>
      <c r="R94" s="11"/>
      <c r="S94" s="12" t="s">
        <v>128</v>
      </c>
      <c r="T94" s="12" t="s">
        <v>46</v>
      </c>
      <c r="U94" s="12" t="s">
        <v>47</v>
      </c>
      <c r="V94" s="12" t="s">
        <v>48</v>
      </c>
      <c r="W94" s="12" t="s">
        <v>49</v>
      </c>
      <c r="X94" s="12" t="s">
        <v>50</v>
      </c>
      <c r="Y94" s="12" t="s">
        <v>50</v>
      </c>
      <c r="Z94" s="12" t="s">
        <v>50</v>
      </c>
      <c r="AA94" s="12" t="s">
        <v>50</v>
      </c>
      <c r="AB94" s="12" t="s">
        <v>132</v>
      </c>
      <c r="AC94" s="12" t="s">
        <v>50</v>
      </c>
      <c r="AD94" s="12" t="s">
        <v>50</v>
      </c>
      <c r="AE94" s="12" t="s">
        <v>52</v>
      </c>
      <c r="AF94" s="12" t="s">
        <v>53</v>
      </c>
      <c r="AG94" s="12" t="s">
        <v>133</v>
      </c>
      <c r="AH94" s="19" t="s">
        <v>54</v>
      </c>
    </row>
    <row r="95" spans="2:34" ht="22.5" customHeight="1" x14ac:dyDescent="0.25">
      <c r="B95" s="18" t="s">
        <v>299</v>
      </c>
      <c r="C95" s="9" t="s">
        <v>305</v>
      </c>
      <c r="D95" s="10" t="s">
        <v>350</v>
      </c>
      <c r="E95" s="10"/>
      <c r="F95" s="10" t="s">
        <v>125</v>
      </c>
      <c r="G95" s="10" t="s">
        <v>278</v>
      </c>
      <c r="H95" s="10" t="s">
        <v>339</v>
      </c>
      <c r="I95" s="16" t="s">
        <v>351</v>
      </c>
      <c r="J95" s="10" t="s">
        <v>38</v>
      </c>
      <c r="K95" s="10" t="s">
        <v>168</v>
      </c>
      <c r="L95" s="10" t="s">
        <v>222</v>
      </c>
      <c r="M95" s="10" t="s">
        <v>352</v>
      </c>
      <c r="N95" s="10" t="s">
        <v>224</v>
      </c>
      <c r="O95" s="11">
        <v>1</v>
      </c>
      <c r="P95" s="11">
        <v>0</v>
      </c>
      <c r="Q95" s="11"/>
      <c r="R95" s="11"/>
      <c r="S95" s="12" t="s">
        <v>128</v>
      </c>
      <c r="T95" s="12" t="s">
        <v>46</v>
      </c>
      <c r="U95" s="12" t="s">
        <v>47</v>
      </c>
      <c r="V95" s="12" t="s">
        <v>48</v>
      </c>
      <c r="W95" s="12" t="s">
        <v>49</v>
      </c>
      <c r="X95" s="12" t="s">
        <v>50</v>
      </c>
      <c r="Y95" s="12" t="s">
        <v>50</v>
      </c>
      <c r="Z95" s="12" t="s">
        <v>50</v>
      </c>
      <c r="AA95" s="12" t="s">
        <v>50</v>
      </c>
      <c r="AB95" s="12" t="s">
        <v>132</v>
      </c>
      <c r="AC95" s="12" t="s">
        <v>50</v>
      </c>
      <c r="AD95" s="12" t="s">
        <v>50</v>
      </c>
      <c r="AE95" s="12" t="s">
        <v>52</v>
      </c>
      <c r="AF95" s="12" t="s">
        <v>53</v>
      </c>
      <c r="AG95" s="12" t="s">
        <v>133</v>
      </c>
      <c r="AH95" s="19" t="s">
        <v>54</v>
      </c>
    </row>
    <row r="96" spans="2:34" ht="22.5" customHeight="1" x14ac:dyDescent="0.25">
      <c r="B96" s="18" t="s">
        <v>299</v>
      </c>
      <c r="C96" s="9" t="s">
        <v>333</v>
      </c>
      <c r="D96" s="10" t="s">
        <v>353</v>
      </c>
      <c r="E96" s="10"/>
      <c r="F96" s="10" t="s">
        <v>125</v>
      </c>
      <c r="G96" s="10" t="s">
        <v>278</v>
      </c>
      <c r="H96" s="10"/>
      <c r="I96" s="16" t="s">
        <v>354</v>
      </c>
      <c r="J96" s="10" t="s">
        <v>125</v>
      </c>
      <c r="K96" s="10" t="s">
        <v>168</v>
      </c>
      <c r="L96" s="10" t="s">
        <v>308</v>
      </c>
      <c r="M96" s="10">
        <v>0</v>
      </c>
      <c r="N96" s="10" t="s">
        <v>303</v>
      </c>
      <c r="O96" s="11">
        <v>1</v>
      </c>
      <c r="P96" s="11">
        <v>0</v>
      </c>
      <c r="Q96" s="11"/>
      <c r="R96" s="11"/>
      <c r="S96" s="12" t="s">
        <v>128</v>
      </c>
      <c r="T96" s="12" t="s">
        <v>46</v>
      </c>
      <c r="U96" s="12" t="s">
        <v>47</v>
      </c>
      <c r="V96" s="12" t="s">
        <v>48</v>
      </c>
      <c r="W96" s="12" t="s">
        <v>49</v>
      </c>
      <c r="X96" s="12" t="s">
        <v>50</v>
      </c>
      <c r="Y96" s="12" t="s">
        <v>50</v>
      </c>
      <c r="Z96" s="12" t="s">
        <v>50</v>
      </c>
      <c r="AA96" s="12" t="s">
        <v>50</v>
      </c>
      <c r="AB96" s="12" t="s">
        <v>132</v>
      </c>
      <c r="AC96" s="12" t="s">
        <v>50</v>
      </c>
      <c r="AD96" s="12" t="s">
        <v>50</v>
      </c>
      <c r="AE96" s="12" t="s">
        <v>52</v>
      </c>
      <c r="AF96" s="12" t="s">
        <v>53</v>
      </c>
      <c r="AG96" s="12" t="s">
        <v>133</v>
      </c>
      <c r="AH96" s="19" t="s">
        <v>54</v>
      </c>
    </row>
    <row r="97" spans="2:34" ht="22.5" customHeight="1" x14ac:dyDescent="0.25">
      <c r="B97" s="18" t="s">
        <v>299</v>
      </c>
      <c r="C97" s="9" t="s">
        <v>305</v>
      </c>
      <c r="D97" s="10" t="s">
        <v>355</v>
      </c>
      <c r="E97" s="10"/>
      <c r="F97" s="10" t="s">
        <v>125</v>
      </c>
      <c r="G97" s="10" t="s">
        <v>278</v>
      </c>
      <c r="H97" s="10" t="s">
        <v>339</v>
      </c>
      <c r="I97" s="16" t="s">
        <v>356</v>
      </c>
      <c r="J97" s="10" t="s">
        <v>38</v>
      </c>
      <c r="K97" s="10" t="s">
        <v>168</v>
      </c>
      <c r="L97" s="10" t="s">
        <v>222</v>
      </c>
      <c r="M97" s="10" t="s">
        <v>357</v>
      </c>
      <c r="N97" s="10" t="s">
        <v>224</v>
      </c>
      <c r="O97" s="11">
        <v>1</v>
      </c>
      <c r="P97" s="11">
        <v>0</v>
      </c>
      <c r="Q97" s="11"/>
      <c r="R97" s="11"/>
      <c r="S97" s="12" t="s">
        <v>128</v>
      </c>
      <c r="T97" s="12" t="s">
        <v>46</v>
      </c>
      <c r="U97" s="12" t="s">
        <v>47</v>
      </c>
      <c r="V97" s="12" t="s">
        <v>48</v>
      </c>
      <c r="W97" s="12" t="s">
        <v>49</v>
      </c>
      <c r="X97" s="12" t="s">
        <v>50</v>
      </c>
      <c r="Y97" s="12" t="s">
        <v>50</v>
      </c>
      <c r="Z97" s="12" t="s">
        <v>50</v>
      </c>
      <c r="AA97" s="12" t="s">
        <v>50</v>
      </c>
      <c r="AB97" s="12" t="s">
        <v>132</v>
      </c>
      <c r="AC97" s="12" t="s">
        <v>50</v>
      </c>
      <c r="AD97" s="12" t="s">
        <v>50</v>
      </c>
      <c r="AE97" s="12" t="s">
        <v>52</v>
      </c>
      <c r="AF97" s="12" t="s">
        <v>53</v>
      </c>
      <c r="AG97" s="12" t="s">
        <v>133</v>
      </c>
      <c r="AH97" s="19" t="s">
        <v>54</v>
      </c>
    </row>
    <row r="98" spans="2:34" ht="22.5" customHeight="1" x14ac:dyDescent="0.25">
      <c r="B98" s="18" t="s">
        <v>299</v>
      </c>
      <c r="C98" s="9" t="s">
        <v>305</v>
      </c>
      <c r="D98" s="10" t="s">
        <v>358</v>
      </c>
      <c r="E98" s="10"/>
      <c r="F98" s="10" t="s">
        <v>125</v>
      </c>
      <c r="G98" s="10" t="s">
        <v>278</v>
      </c>
      <c r="H98" s="10" t="s">
        <v>339</v>
      </c>
      <c r="I98" s="16" t="s">
        <v>359</v>
      </c>
      <c r="J98" s="10" t="s">
        <v>38</v>
      </c>
      <c r="K98" s="10" t="s">
        <v>168</v>
      </c>
      <c r="L98" s="10" t="s">
        <v>222</v>
      </c>
      <c r="M98" s="10" t="s">
        <v>360</v>
      </c>
      <c r="N98" s="10" t="s">
        <v>224</v>
      </c>
      <c r="O98" s="11">
        <v>1</v>
      </c>
      <c r="P98" s="11">
        <v>0</v>
      </c>
      <c r="Q98" s="11"/>
      <c r="R98" s="11"/>
      <c r="S98" s="12" t="s">
        <v>128</v>
      </c>
      <c r="T98" s="12" t="s">
        <v>46</v>
      </c>
      <c r="U98" s="12" t="s">
        <v>47</v>
      </c>
      <c r="V98" s="12" t="s">
        <v>48</v>
      </c>
      <c r="W98" s="12" t="s">
        <v>49</v>
      </c>
      <c r="X98" s="12" t="s">
        <v>50</v>
      </c>
      <c r="Y98" s="12" t="s">
        <v>50</v>
      </c>
      <c r="Z98" s="12" t="s">
        <v>50</v>
      </c>
      <c r="AA98" s="12" t="s">
        <v>50</v>
      </c>
      <c r="AB98" s="12" t="s">
        <v>132</v>
      </c>
      <c r="AC98" s="12" t="s">
        <v>50</v>
      </c>
      <c r="AD98" s="12" t="s">
        <v>50</v>
      </c>
      <c r="AE98" s="12" t="s">
        <v>52</v>
      </c>
      <c r="AF98" s="12" t="s">
        <v>53</v>
      </c>
      <c r="AG98" s="12" t="s">
        <v>133</v>
      </c>
      <c r="AH98" s="19" t="s">
        <v>54</v>
      </c>
    </row>
    <row r="99" spans="2:34" ht="22.5" customHeight="1" x14ac:dyDescent="0.25">
      <c r="B99" s="18" t="s">
        <v>299</v>
      </c>
      <c r="C99" s="9" t="s">
        <v>333</v>
      </c>
      <c r="D99" s="10" t="s">
        <v>361</v>
      </c>
      <c r="E99" s="10"/>
      <c r="F99" s="10" t="s">
        <v>125</v>
      </c>
      <c r="G99" s="10" t="s">
        <v>278</v>
      </c>
      <c r="H99" s="10"/>
      <c r="I99" s="16" t="s">
        <v>362</v>
      </c>
      <c r="J99" s="10" t="s">
        <v>125</v>
      </c>
      <c r="K99" s="10" t="s">
        <v>168</v>
      </c>
      <c r="L99" s="10" t="s">
        <v>308</v>
      </c>
      <c r="M99" s="10">
        <v>0</v>
      </c>
      <c r="N99" s="10" t="s">
        <v>303</v>
      </c>
      <c r="O99" s="11">
        <v>1</v>
      </c>
      <c r="P99" s="11">
        <v>0</v>
      </c>
      <c r="Q99" s="11"/>
      <c r="R99" s="11"/>
      <c r="S99" s="12" t="s">
        <v>128</v>
      </c>
      <c r="T99" s="12" t="s">
        <v>46</v>
      </c>
      <c r="U99" s="12" t="s">
        <v>47</v>
      </c>
      <c r="V99" s="12" t="s">
        <v>48</v>
      </c>
      <c r="W99" s="12" t="s">
        <v>49</v>
      </c>
      <c r="X99" s="12" t="s">
        <v>50</v>
      </c>
      <c r="Y99" s="12" t="s">
        <v>50</v>
      </c>
      <c r="Z99" s="12" t="s">
        <v>50</v>
      </c>
      <c r="AA99" s="12" t="s">
        <v>50</v>
      </c>
      <c r="AB99" s="12" t="s">
        <v>132</v>
      </c>
      <c r="AC99" s="12" t="s">
        <v>50</v>
      </c>
      <c r="AD99" s="12" t="s">
        <v>50</v>
      </c>
      <c r="AE99" s="12" t="s">
        <v>52</v>
      </c>
      <c r="AF99" s="12" t="s">
        <v>53</v>
      </c>
      <c r="AG99" s="12" t="s">
        <v>133</v>
      </c>
      <c r="AH99" s="19" t="s">
        <v>54</v>
      </c>
    </row>
    <row r="100" spans="2:34" ht="22.5" customHeight="1" x14ac:dyDescent="0.25">
      <c r="B100" s="18" t="s">
        <v>363</v>
      </c>
      <c r="C100" s="9" t="s">
        <v>364</v>
      </c>
      <c r="D100" s="10" t="s">
        <v>365</v>
      </c>
      <c r="E100" s="10"/>
      <c r="F100" s="10" t="s">
        <v>38</v>
      </c>
      <c r="G100" s="10" t="s">
        <v>183</v>
      </c>
      <c r="H100" s="10"/>
      <c r="I100" s="16" t="s">
        <v>366</v>
      </c>
      <c r="J100" s="10" t="s">
        <v>38</v>
      </c>
      <c r="K100" s="10" t="s">
        <v>168</v>
      </c>
      <c r="L100" s="10" t="s">
        <v>188</v>
      </c>
      <c r="M100" s="10" t="s">
        <v>367</v>
      </c>
      <c r="N100" s="10" t="s">
        <v>190</v>
      </c>
      <c r="O100" s="11">
        <v>1</v>
      </c>
      <c r="P100" s="11">
        <v>0</v>
      </c>
      <c r="Q100" s="11"/>
      <c r="R100" s="11"/>
      <c r="S100" s="12" t="s">
        <v>45</v>
      </c>
      <c r="T100" s="12" t="s">
        <v>46</v>
      </c>
      <c r="U100" s="12" t="s">
        <v>47</v>
      </c>
      <c r="V100" s="12" t="s">
        <v>48</v>
      </c>
      <c r="W100" s="12" t="s">
        <v>49</v>
      </c>
      <c r="X100" s="12" t="s">
        <v>50</v>
      </c>
      <c r="Y100" s="12" t="s">
        <v>50</v>
      </c>
      <c r="Z100" s="12" t="s">
        <v>50</v>
      </c>
      <c r="AA100" s="12" t="s">
        <v>50</v>
      </c>
      <c r="AB100" s="12" t="s">
        <v>51</v>
      </c>
      <c r="AC100" s="12" t="s">
        <v>50</v>
      </c>
      <c r="AD100" s="12" t="s">
        <v>50</v>
      </c>
      <c r="AE100" s="12" t="s">
        <v>52</v>
      </c>
      <c r="AF100" s="12" t="s">
        <v>53</v>
      </c>
      <c r="AG100" s="12" t="s">
        <v>50</v>
      </c>
      <c r="AH100" s="19" t="s">
        <v>54</v>
      </c>
    </row>
    <row r="101" spans="2:34" ht="22.5" customHeight="1" x14ac:dyDescent="0.25">
      <c r="B101" s="18" t="s">
        <v>368</v>
      </c>
      <c r="C101" s="9" t="s">
        <v>36</v>
      </c>
      <c r="D101" s="10" t="s">
        <v>369</v>
      </c>
      <c r="E101" s="10"/>
      <c r="F101" s="10" t="s">
        <v>38</v>
      </c>
      <c r="G101" s="10" t="s">
        <v>39</v>
      </c>
      <c r="H101" s="10"/>
      <c r="I101" s="16" t="s">
        <v>370</v>
      </c>
      <c r="J101" s="10" t="s">
        <v>38</v>
      </c>
      <c r="K101" s="10" t="s">
        <v>168</v>
      </c>
      <c r="L101" s="10" t="s">
        <v>179</v>
      </c>
      <c r="M101" s="10">
        <v>0</v>
      </c>
      <c r="N101" s="10" t="s">
        <v>180</v>
      </c>
      <c r="O101" s="11">
        <v>1</v>
      </c>
      <c r="P101" s="11">
        <v>0</v>
      </c>
      <c r="Q101" s="11"/>
      <c r="R101" s="11"/>
      <c r="S101" s="12" t="s">
        <v>45</v>
      </c>
      <c r="T101" s="12" t="s">
        <v>46</v>
      </c>
      <c r="U101" s="12" t="s">
        <v>47</v>
      </c>
      <c r="V101" s="12" t="s">
        <v>48</v>
      </c>
      <c r="W101" s="12" t="s">
        <v>49</v>
      </c>
      <c r="X101" s="12" t="s">
        <v>50</v>
      </c>
      <c r="Y101" s="12" t="s">
        <v>50</v>
      </c>
      <c r="Z101" s="12" t="s">
        <v>50</v>
      </c>
      <c r="AA101" s="12" t="s">
        <v>50</v>
      </c>
      <c r="AB101" s="12" t="s">
        <v>51</v>
      </c>
      <c r="AC101" s="12" t="s">
        <v>50</v>
      </c>
      <c r="AD101" s="12" t="s">
        <v>50</v>
      </c>
      <c r="AE101" s="12" t="s">
        <v>52</v>
      </c>
      <c r="AF101" s="12" t="s">
        <v>53</v>
      </c>
      <c r="AG101" s="12" t="s">
        <v>50</v>
      </c>
      <c r="AH101" s="19" t="s">
        <v>54</v>
      </c>
    </row>
    <row r="102" spans="2:34" ht="22.5" customHeight="1" x14ac:dyDescent="0.25">
      <c r="B102" s="18" t="s">
        <v>368</v>
      </c>
      <c r="C102" s="9" t="s">
        <v>371</v>
      </c>
      <c r="D102" s="10" t="s">
        <v>372</v>
      </c>
      <c r="E102" s="10"/>
      <c r="F102" s="10" t="s">
        <v>38</v>
      </c>
      <c r="G102" s="10" t="s">
        <v>39</v>
      </c>
      <c r="H102" s="10"/>
      <c r="I102" s="16" t="s">
        <v>373</v>
      </c>
      <c r="J102" s="10" t="s">
        <v>38</v>
      </c>
      <c r="K102" s="10" t="s">
        <v>168</v>
      </c>
      <c r="L102" s="10" t="s">
        <v>179</v>
      </c>
      <c r="M102" s="10">
        <v>0</v>
      </c>
      <c r="N102" s="10" t="s">
        <v>180</v>
      </c>
      <c r="O102" s="11">
        <v>1</v>
      </c>
      <c r="P102" s="11">
        <v>0</v>
      </c>
      <c r="Q102" s="11"/>
      <c r="R102" s="11"/>
      <c r="S102" s="12" t="s">
        <v>45</v>
      </c>
      <c r="T102" s="12" t="s">
        <v>46</v>
      </c>
      <c r="U102" s="12" t="s">
        <v>47</v>
      </c>
      <c r="V102" s="12" t="s">
        <v>48</v>
      </c>
      <c r="W102" s="12" t="s">
        <v>49</v>
      </c>
      <c r="X102" s="12" t="s">
        <v>50</v>
      </c>
      <c r="Y102" s="12" t="s">
        <v>50</v>
      </c>
      <c r="Z102" s="12" t="s">
        <v>50</v>
      </c>
      <c r="AA102" s="12" t="s">
        <v>50</v>
      </c>
      <c r="AB102" s="12" t="s">
        <v>51</v>
      </c>
      <c r="AC102" s="12" t="s">
        <v>50</v>
      </c>
      <c r="AD102" s="12" t="s">
        <v>50</v>
      </c>
      <c r="AE102" s="12" t="s">
        <v>52</v>
      </c>
      <c r="AF102" s="12" t="s">
        <v>53</v>
      </c>
      <c r="AG102" s="12" t="s">
        <v>50</v>
      </c>
      <c r="AH102" s="19" t="s">
        <v>54</v>
      </c>
    </row>
    <row r="103" spans="2:34" ht="22.5" customHeight="1" x14ac:dyDescent="0.25">
      <c r="B103" s="18" t="s">
        <v>368</v>
      </c>
      <c r="C103" s="9" t="s">
        <v>374</v>
      </c>
      <c r="D103" s="10" t="s">
        <v>375</v>
      </c>
      <c r="E103" s="4"/>
      <c r="F103" s="4" t="s">
        <v>38</v>
      </c>
      <c r="G103" s="10" t="s">
        <v>39</v>
      </c>
      <c r="H103" s="10"/>
      <c r="I103" s="16" t="s">
        <v>376</v>
      </c>
      <c r="J103" s="10" t="s">
        <v>38</v>
      </c>
      <c r="K103" s="10" t="s">
        <v>168</v>
      </c>
      <c r="L103" s="10" t="s">
        <v>179</v>
      </c>
      <c r="M103" s="10">
        <v>0</v>
      </c>
      <c r="N103" s="10" t="s">
        <v>303</v>
      </c>
      <c r="O103" s="11">
        <v>1</v>
      </c>
      <c r="P103" s="11">
        <v>0</v>
      </c>
      <c r="Q103" s="11"/>
      <c r="R103" s="11"/>
      <c r="S103" s="12" t="s">
        <v>45</v>
      </c>
      <c r="T103" s="12" t="s">
        <v>46</v>
      </c>
      <c r="U103" s="12" t="s">
        <v>47</v>
      </c>
      <c r="V103" s="12" t="s">
        <v>48</v>
      </c>
      <c r="W103" s="12" t="s">
        <v>49</v>
      </c>
      <c r="X103" s="12" t="s">
        <v>50</v>
      </c>
      <c r="Y103" s="12" t="s">
        <v>50</v>
      </c>
      <c r="Z103" s="12" t="s">
        <v>50</v>
      </c>
      <c r="AA103" s="12" t="s">
        <v>50</v>
      </c>
      <c r="AB103" s="12" t="s">
        <v>51</v>
      </c>
      <c r="AC103" s="12" t="s">
        <v>50</v>
      </c>
      <c r="AD103" s="12" t="s">
        <v>50</v>
      </c>
      <c r="AE103" s="12" t="s">
        <v>52</v>
      </c>
      <c r="AF103" s="12" t="s">
        <v>53</v>
      </c>
      <c r="AG103" s="12" t="s">
        <v>50</v>
      </c>
      <c r="AH103" s="19" t="s">
        <v>54</v>
      </c>
    </row>
    <row r="104" spans="2:34" ht="22.5" customHeight="1" x14ac:dyDescent="0.25">
      <c r="B104" s="18" t="s">
        <v>368</v>
      </c>
      <c r="C104" s="9" t="s">
        <v>374</v>
      </c>
      <c r="D104" s="10" t="s">
        <v>377</v>
      </c>
      <c r="E104" s="10"/>
      <c r="F104" s="10" t="s">
        <v>38</v>
      </c>
      <c r="G104" s="10" t="s">
        <v>39</v>
      </c>
      <c r="H104" s="10"/>
      <c r="I104" s="16" t="s">
        <v>378</v>
      </c>
      <c r="J104" s="10" t="s">
        <v>38</v>
      </c>
      <c r="K104" s="10" t="s">
        <v>168</v>
      </c>
      <c r="L104" s="10" t="s">
        <v>179</v>
      </c>
      <c r="M104" s="10">
        <v>0</v>
      </c>
      <c r="N104" s="10" t="s">
        <v>180</v>
      </c>
      <c r="O104" s="11">
        <v>1</v>
      </c>
      <c r="P104" s="11">
        <v>0</v>
      </c>
      <c r="Q104" s="11"/>
      <c r="R104" s="11"/>
      <c r="S104" s="12" t="s">
        <v>45</v>
      </c>
      <c r="T104" s="12" t="s">
        <v>46</v>
      </c>
      <c r="U104" s="12" t="s">
        <v>47</v>
      </c>
      <c r="V104" s="12" t="s">
        <v>48</v>
      </c>
      <c r="W104" s="12" t="s">
        <v>49</v>
      </c>
      <c r="X104" s="12" t="s">
        <v>50</v>
      </c>
      <c r="Y104" s="12" t="s">
        <v>50</v>
      </c>
      <c r="Z104" s="12" t="s">
        <v>50</v>
      </c>
      <c r="AA104" s="12" t="s">
        <v>50</v>
      </c>
      <c r="AB104" s="12" t="s">
        <v>51</v>
      </c>
      <c r="AC104" s="12" t="s">
        <v>50</v>
      </c>
      <c r="AD104" s="12" t="s">
        <v>50</v>
      </c>
      <c r="AE104" s="12" t="s">
        <v>52</v>
      </c>
      <c r="AF104" s="12" t="s">
        <v>53</v>
      </c>
      <c r="AG104" s="12" t="s">
        <v>50</v>
      </c>
      <c r="AH104" s="19" t="s">
        <v>54</v>
      </c>
    </row>
    <row r="105" spans="2:34" ht="22.5" customHeight="1" x14ac:dyDescent="0.25">
      <c r="B105" s="18" t="s">
        <v>368</v>
      </c>
      <c r="C105" s="9" t="s">
        <v>379</v>
      </c>
      <c r="D105" s="10" t="s">
        <v>380</v>
      </c>
      <c r="E105" s="10"/>
      <c r="F105" s="10" t="s">
        <v>38</v>
      </c>
      <c r="G105" s="10" t="s">
        <v>39</v>
      </c>
      <c r="H105" s="10"/>
      <c r="I105" s="16" t="s">
        <v>381</v>
      </c>
      <c r="J105" s="10" t="s">
        <v>38</v>
      </c>
      <c r="K105" s="10" t="s">
        <v>168</v>
      </c>
      <c r="L105" s="10" t="s">
        <v>179</v>
      </c>
      <c r="M105" s="10">
        <v>0</v>
      </c>
      <c r="N105" s="10" t="s">
        <v>180</v>
      </c>
      <c r="O105" s="11">
        <v>1</v>
      </c>
      <c r="P105" s="11">
        <v>0</v>
      </c>
      <c r="Q105" s="11"/>
      <c r="R105" s="11"/>
      <c r="S105" s="12" t="s">
        <v>45</v>
      </c>
      <c r="T105" s="12" t="s">
        <v>46</v>
      </c>
      <c r="U105" s="12" t="s">
        <v>47</v>
      </c>
      <c r="V105" s="12" t="s">
        <v>48</v>
      </c>
      <c r="W105" s="12" t="s">
        <v>49</v>
      </c>
      <c r="X105" s="12" t="s">
        <v>50</v>
      </c>
      <c r="Y105" s="12" t="s">
        <v>50</v>
      </c>
      <c r="Z105" s="12" t="s">
        <v>50</v>
      </c>
      <c r="AA105" s="12" t="s">
        <v>50</v>
      </c>
      <c r="AB105" s="12" t="s">
        <v>51</v>
      </c>
      <c r="AC105" s="12" t="s">
        <v>50</v>
      </c>
      <c r="AD105" s="12" t="s">
        <v>50</v>
      </c>
      <c r="AE105" s="12" t="s">
        <v>52</v>
      </c>
      <c r="AF105" s="12" t="s">
        <v>53</v>
      </c>
      <c r="AG105" s="12" t="s">
        <v>50</v>
      </c>
      <c r="AH105" s="19" t="s">
        <v>54</v>
      </c>
    </row>
    <row r="106" spans="2:34" ht="22.5" customHeight="1" x14ac:dyDescent="0.25">
      <c r="B106" s="18" t="s">
        <v>368</v>
      </c>
      <c r="C106" s="9" t="s">
        <v>382</v>
      </c>
      <c r="D106" s="10" t="s">
        <v>383</v>
      </c>
      <c r="E106" s="10"/>
      <c r="F106" s="10" t="s">
        <v>38</v>
      </c>
      <c r="G106" s="10" t="s">
        <v>39</v>
      </c>
      <c r="H106" s="10"/>
      <c r="I106" s="16" t="s">
        <v>384</v>
      </c>
      <c r="J106" s="10" t="s">
        <v>38</v>
      </c>
      <c r="K106" s="10" t="s">
        <v>168</v>
      </c>
      <c r="L106" s="10" t="s">
        <v>179</v>
      </c>
      <c r="M106" s="10">
        <v>0</v>
      </c>
      <c r="N106" s="10" t="s">
        <v>180</v>
      </c>
      <c r="O106" s="11">
        <v>1</v>
      </c>
      <c r="P106" s="11">
        <v>0</v>
      </c>
      <c r="Q106" s="11"/>
      <c r="R106" s="11"/>
      <c r="S106" s="12" t="s">
        <v>45</v>
      </c>
      <c r="T106" s="12" t="s">
        <v>46</v>
      </c>
      <c r="U106" s="12" t="s">
        <v>47</v>
      </c>
      <c r="V106" s="12" t="s">
        <v>48</v>
      </c>
      <c r="W106" s="12" t="s">
        <v>49</v>
      </c>
      <c r="X106" s="12" t="s">
        <v>50</v>
      </c>
      <c r="Y106" s="12" t="s">
        <v>50</v>
      </c>
      <c r="Z106" s="12" t="s">
        <v>50</v>
      </c>
      <c r="AA106" s="12" t="s">
        <v>50</v>
      </c>
      <c r="AB106" s="12" t="s">
        <v>51</v>
      </c>
      <c r="AC106" s="12" t="s">
        <v>50</v>
      </c>
      <c r="AD106" s="12" t="s">
        <v>50</v>
      </c>
      <c r="AE106" s="12" t="s">
        <v>52</v>
      </c>
      <c r="AF106" s="12" t="s">
        <v>53</v>
      </c>
      <c r="AG106" s="12" t="s">
        <v>50</v>
      </c>
      <c r="AH106" s="19" t="s">
        <v>54</v>
      </c>
    </row>
    <row r="107" spans="2:34" ht="22.5" customHeight="1" x14ac:dyDescent="0.25">
      <c r="B107" s="18" t="s">
        <v>368</v>
      </c>
      <c r="C107" s="9" t="s">
        <v>382</v>
      </c>
      <c r="D107" s="10" t="s">
        <v>385</v>
      </c>
      <c r="E107" s="10"/>
      <c r="F107" s="10" t="s">
        <v>38</v>
      </c>
      <c r="G107" s="10" t="s">
        <v>39</v>
      </c>
      <c r="H107" s="10"/>
      <c r="I107" s="16" t="s">
        <v>386</v>
      </c>
      <c r="J107" s="10" t="s">
        <v>38</v>
      </c>
      <c r="K107" s="10" t="s">
        <v>168</v>
      </c>
      <c r="L107" s="10" t="s">
        <v>179</v>
      </c>
      <c r="M107" s="10">
        <v>0</v>
      </c>
      <c r="N107" s="10" t="s">
        <v>180</v>
      </c>
      <c r="O107" s="11">
        <v>1</v>
      </c>
      <c r="P107" s="11">
        <v>0</v>
      </c>
      <c r="Q107" s="11"/>
      <c r="R107" s="11"/>
      <c r="S107" s="12" t="s">
        <v>45</v>
      </c>
      <c r="T107" s="12" t="s">
        <v>46</v>
      </c>
      <c r="U107" s="12" t="s">
        <v>47</v>
      </c>
      <c r="V107" s="12" t="s">
        <v>48</v>
      </c>
      <c r="W107" s="12" t="s">
        <v>49</v>
      </c>
      <c r="X107" s="12" t="s">
        <v>50</v>
      </c>
      <c r="Y107" s="12" t="s">
        <v>50</v>
      </c>
      <c r="Z107" s="12" t="s">
        <v>50</v>
      </c>
      <c r="AA107" s="12" t="s">
        <v>50</v>
      </c>
      <c r="AB107" s="12" t="s">
        <v>51</v>
      </c>
      <c r="AC107" s="12" t="s">
        <v>50</v>
      </c>
      <c r="AD107" s="12" t="s">
        <v>50</v>
      </c>
      <c r="AE107" s="12" t="s">
        <v>52</v>
      </c>
      <c r="AF107" s="12" t="s">
        <v>53</v>
      </c>
      <c r="AG107" s="12" t="s">
        <v>50</v>
      </c>
      <c r="AH107" s="19" t="s">
        <v>54</v>
      </c>
    </row>
    <row r="108" spans="2:34" ht="22.5" customHeight="1" x14ac:dyDescent="0.25">
      <c r="B108" s="18" t="s">
        <v>368</v>
      </c>
      <c r="C108" s="9" t="s">
        <v>387</v>
      </c>
      <c r="D108" s="10" t="s">
        <v>388</v>
      </c>
      <c r="E108" s="10"/>
      <c r="F108" s="10" t="s">
        <v>38</v>
      </c>
      <c r="G108" s="10" t="s">
        <v>39</v>
      </c>
      <c r="H108" s="10"/>
      <c r="I108" s="16" t="s">
        <v>389</v>
      </c>
      <c r="J108" s="10" t="s">
        <v>38</v>
      </c>
      <c r="K108" s="10" t="s">
        <v>168</v>
      </c>
      <c r="L108" s="10" t="s">
        <v>179</v>
      </c>
      <c r="M108" s="10">
        <v>0</v>
      </c>
      <c r="N108" s="10" t="s">
        <v>180</v>
      </c>
      <c r="O108" s="11">
        <v>1</v>
      </c>
      <c r="P108" s="11">
        <v>0</v>
      </c>
      <c r="Q108" s="11"/>
      <c r="R108" s="11"/>
      <c r="S108" s="12" t="s">
        <v>45</v>
      </c>
      <c r="T108" s="12" t="s">
        <v>46</v>
      </c>
      <c r="U108" s="12" t="s">
        <v>47</v>
      </c>
      <c r="V108" s="12" t="s">
        <v>48</v>
      </c>
      <c r="W108" s="12" t="s">
        <v>49</v>
      </c>
      <c r="X108" s="12" t="s">
        <v>50</v>
      </c>
      <c r="Y108" s="12" t="s">
        <v>50</v>
      </c>
      <c r="Z108" s="12" t="s">
        <v>50</v>
      </c>
      <c r="AA108" s="12" t="s">
        <v>50</v>
      </c>
      <c r="AB108" s="12" t="s">
        <v>51</v>
      </c>
      <c r="AC108" s="12" t="s">
        <v>50</v>
      </c>
      <c r="AD108" s="12" t="s">
        <v>50</v>
      </c>
      <c r="AE108" s="12" t="s">
        <v>52</v>
      </c>
      <c r="AF108" s="12" t="s">
        <v>53</v>
      </c>
      <c r="AG108" s="12" t="s">
        <v>50</v>
      </c>
      <c r="AH108" s="19" t="s">
        <v>54</v>
      </c>
    </row>
    <row r="109" spans="2:34" ht="22.5" customHeight="1" x14ac:dyDescent="0.25">
      <c r="B109" s="18" t="s">
        <v>368</v>
      </c>
      <c r="C109" s="9" t="s">
        <v>390</v>
      </c>
      <c r="D109" s="10" t="s">
        <v>391</v>
      </c>
      <c r="E109" s="10"/>
      <c r="F109" s="10" t="s">
        <v>38</v>
      </c>
      <c r="G109" s="10" t="s">
        <v>39</v>
      </c>
      <c r="H109" s="10"/>
      <c r="I109" s="16" t="s">
        <v>392</v>
      </c>
      <c r="J109" s="10" t="s">
        <v>38</v>
      </c>
      <c r="K109" s="10" t="s">
        <v>168</v>
      </c>
      <c r="L109" s="10" t="s">
        <v>179</v>
      </c>
      <c r="M109" s="10">
        <v>0</v>
      </c>
      <c r="N109" s="10" t="s">
        <v>180</v>
      </c>
      <c r="O109" s="11">
        <v>1</v>
      </c>
      <c r="P109" s="11">
        <v>0</v>
      </c>
      <c r="Q109" s="11"/>
      <c r="R109" s="11"/>
      <c r="S109" s="12" t="s">
        <v>45</v>
      </c>
      <c r="T109" s="12" t="s">
        <v>46</v>
      </c>
      <c r="U109" s="12" t="s">
        <v>47</v>
      </c>
      <c r="V109" s="12" t="s">
        <v>48</v>
      </c>
      <c r="W109" s="12" t="s">
        <v>49</v>
      </c>
      <c r="X109" s="12" t="s">
        <v>50</v>
      </c>
      <c r="Y109" s="12" t="s">
        <v>50</v>
      </c>
      <c r="Z109" s="12" t="s">
        <v>50</v>
      </c>
      <c r="AA109" s="12" t="s">
        <v>50</v>
      </c>
      <c r="AB109" s="12" t="s">
        <v>51</v>
      </c>
      <c r="AC109" s="12" t="s">
        <v>50</v>
      </c>
      <c r="AD109" s="12" t="s">
        <v>50</v>
      </c>
      <c r="AE109" s="12" t="s">
        <v>52</v>
      </c>
      <c r="AF109" s="12" t="s">
        <v>53</v>
      </c>
      <c r="AG109" s="12" t="s">
        <v>50</v>
      </c>
      <c r="AH109" s="19" t="s">
        <v>54</v>
      </c>
    </row>
    <row r="110" spans="2:34" ht="22.5" customHeight="1" x14ac:dyDescent="0.25">
      <c r="B110" s="18" t="s">
        <v>368</v>
      </c>
      <c r="C110" s="9" t="s">
        <v>393</v>
      </c>
      <c r="D110" s="10" t="s">
        <v>394</v>
      </c>
      <c r="E110" s="10"/>
      <c r="F110" s="10" t="s">
        <v>38</v>
      </c>
      <c r="G110" s="10" t="s">
        <v>39</v>
      </c>
      <c r="H110" s="10"/>
      <c r="I110" s="16" t="s">
        <v>395</v>
      </c>
      <c r="J110" s="10" t="s">
        <v>38</v>
      </c>
      <c r="K110" s="10" t="s">
        <v>168</v>
      </c>
      <c r="L110" s="10" t="s">
        <v>188</v>
      </c>
      <c r="M110" s="10" t="s">
        <v>396</v>
      </c>
      <c r="N110" s="10" t="s">
        <v>224</v>
      </c>
      <c r="O110" s="11">
        <v>1</v>
      </c>
      <c r="P110" s="11">
        <v>0</v>
      </c>
      <c r="Q110" s="11"/>
      <c r="R110" s="11"/>
      <c r="S110" s="12" t="s">
        <v>45</v>
      </c>
      <c r="T110" s="12" t="s">
        <v>46</v>
      </c>
      <c r="U110" s="12" t="s">
        <v>47</v>
      </c>
      <c r="V110" s="12" t="s">
        <v>48</v>
      </c>
      <c r="W110" s="12" t="s">
        <v>49</v>
      </c>
      <c r="X110" s="12" t="s">
        <v>50</v>
      </c>
      <c r="Y110" s="12" t="s">
        <v>50</v>
      </c>
      <c r="Z110" s="12" t="s">
        <v>50</v>
      </c>
      <c r="AA110" s="12" t="s">
        <v>50</v>
      </c>
      <c r="AB110" s="12" t="s">
        <v>51</v>
      </c>
      <c r="AC110" s="12" t="s">
        <v>50</v>
      </c>
      <c r="AD110" s="12" t="s">
        <v>50</v>
      </c>
      <c r="AE110" s="12" t="s">
        <v>52</v>
      </c>
      <c r="AF110" s="12" t="s">
        <v>53</v>
      </c>
      <c r="AG110" s="12" t="s">
        <v>50</v>
      </c>
      <c r="AH110" s="19" t="s">
        <v>54</v>
      </c>
    </row>
    <row r="111" spans="2:34" ht="22.5" customHeight="1" x14ac:dyDescent="0.25">
      <c r="B111" s="18" t="s">
        <v>368</v>
      </c>
      <c r="C111" s="9" t="s">
        <v>397</v>
      </c>
      <c r="D111" s="10" t="s">
        <v>398</v>
      </c>
      <c r="E111" s="10"/>
      <c r="F111" s="10" t="s">
        <v>38</v>
      </c>
      <c r="G111" s="10" t="s">
        <v>39</v>
      </c>
      <c r="H111" s="10"/>
      <c r="I111" s="16" t="s">
        <v>399</v>
      </c>
      <c r="J111" s="10" t="s">
        <v>38</v>
      </c>
      <c r="K111" s="10" t="s">
        <v>168</v>
      </c>
      <c r="L111" s="10" t="s">
        <v>188</v>
      </c>
      <c r="M111" s="10" t="s">
        <v>400</v>
      </c>
      <c r="N111" s="10" t="s">
        <v>190</v>
      </c>
      <c r="O111" s="11">
        <v>1</v>
      </c>
      <c r="P111" s="11">
        <v>0</v>
      </c>
      <c r="Q111" s="11"/>
      <c r="R111" s="11"/>
      <c r="S111" s="12" t="s">
        <v>45</v>
      </c>
      <c r="T111" s="12" t="s">
        <v>46</v>
      </c>
      <c r="U111" s="12" t="s">
        <v>47</v>
      </c>
      <c r="V111" s="12" t="s">
        <v>48</v>
      </c>
      <c r="W111" s="12" t="s">
        <v>49</v>
      </c>
      <c r="X111" s="12" t="s">
        <v>50</v>
      </c>
      <c r="Y111" s="12" t="s">
        <v>50</v>
      </c>
      <c r="Z111" s="12" t="s">
        <v>50</v>
      </c>
      <c r="AA111" s="12" t="s">
        <v>50</v>
      </c>
      <c r="AB111" s="12" t="s">
        <v>51</v>
      </c>
      <c r="AC111" s="12" t="s">
        <v>50</v>
      </c>
      <c r="AD111" s="12" t="s">
        <v>50</v>
      </c>
      <c r="AE111" s="12" t="s">
        <v>52</v>
      </c>
      <c r="AF111" s="12" t="s">
        <v>53</v>
      </c>
      <c r="AG111" s="12" t="s">
        <v>50</v>
      </c>
      <c r="AH111" s="19" t="s">
        <v>54</v>
      </c>
    </row>
    <row r="112" spans="2:34" ht="22.5" customHeight="1" x14ac:dyDescent="0.25">
      <c r="B112" s="18" t="s">
        <v>368</v>
      </c>
      <c r="C112" s="9" t="s">
        <v>401</v>
      </c>
      <c r="D112" s="10" t="s">
        <v>402</v>
      </c>
      <c r="E112" s="10"/>
      <c r="F112" s="10" t="s">
        <v>38</v>
      </c>
      <c r="G112" s="10" t="s">
        <v>39</v>
      </c>
      <c r="H112" s="10"/>
      <c r="I112" s="16" t="s">
        <v>403</v>
      </c>
      <c r="J112" s="10" t="s">
        <v>38</v>
      </c>
      <c r="K112" s="10" t="s">
        <v>168</v>
      </c>
      <c r="L112" s="10" t="s">
        <v>188</v>
      </c>
      <c r="M112" s="10" t="s">
        <v>404</v>
      </c>
      <c r="N112" s="10" t="s">
        <v>190</v>
      </c>
      <c r="O112" s="11">
        <v>1</v>
      </c>
      <c r="P112" s="11">
        <v>0</v>
      </c>
      <c r="Q112" s="11"/>
      <c r="R112" s="11"/>
      <c r="S112" s="12" t="s">
        <v>45</v>
      </c>
      <c r="T112" s="12" t="s">
        <v>46</v>
      </c>
      <c r="U112" s="12" t="s">
        <v>47</v>
      </c>
      <c r="V112" s="12" t="s">
        <v>48</v>
      </c>
      <c r="W112" s="12" t="s">
        <v>49</v>
      </c>
      <c r="X112" s="12" t="s">
        <v>50</v>
      </c>
      <c r="Y112" s="12" t="s">
        <v>50</v>
      </c>
      <c r="Z112" s="12" t="s">
        <v>50</v>
      </c>
      <c r="AA112" s="12" t="s">
        <v>50</v>
      </c>
      <c r="AB112" s="12" t="s">
        <v>51</v>
      </c>
      <c r="AC112" s="12" t="s">
        <v>50</v>
      </c>
      <c r="AD112" s="12" t="s">
        <v>50</v>
      </c>
      <c r="AE112" s="12" t="s">
        <v>52</v>
      </c>
      <c r="AF112" s="12" t="s">
        <v>53</v>
      </c>
      <c r="AG112" s="12" t="s">
        <v>50</v>
      </c>
      <c r="AH112" s="19" t="s">
        <v>54</v>
      </c>
    </row>
    <row r="113" spans="2:34" ht="22.5" customHeight="1" x14ac:dyDescent="0.25">
      <c r="B113" s="18" t="s">
        <v>368</v>
      </c>
      <c r="C113" s="9" t="s">
        <v>405</v>
      </c>
      <c r="D113" s="10" t="s">
        <v>406</v>
      </c>
      <c r="E113" s="10"/>
      <c r="F113" s="10" t="s">
        <v>38</v>
      </c>
      <c r="G113" s="10" t="s">
        <v>39</v>
      </c>
      <c r="H113" s="10"/>
      <c r="I113" s="16" t="s">
        <v>407</v>
      </c>
      <c r="J113" s="10" t="s">
        <v>38</v>
      </c>
      <c r="K113" s="10" t="s">
        <v>168</v>
      </c>
      <c r="L113" s="10" t="s">
        <v>188</v>
      </c>
      <c r="M113" s="10" t="s">
        <v>408</v>
      </c>
      <c r="N113" s="10" t="s">
        <v>409</v>
      </c>
      <c r="O113" s="11">
        <v>1</v>
      </c>
      <c r="P113" s="11">
        <v>0</v>
      </c>
      <c r="Q113" s="11"/>
      <c r="R113" s="11"/>
      <c r="S113" s="12" t="s">
        <v>45</v>
      </c>
      <c r="T113" s="12" t="s">
        <v>46</v>
      </c>
      <c r="U113" s="12" t="s">
        <v>47</v>
      </c>
      <c r="V113" s="12" t="s">
        <v>48</v>
      </c>
      <c r="W113" s="12" t="s">
        <v>49</v>
      </c>
      <c r="X113" s="12" t="s">
        <v>50</v>
      </c>
      <c r="Y113" s="12" t="s">
        <v>50</v>
      </c>
      <c r="Z113" s="12" t="s">
        <v>50</v>
      </c>
      <c r="AA113" s="12" t="s">
        <v>50</v>
      </c>
      <c r="AB113" s="12" t="s">
        <v>51</v>
      </c>
      <c r="AC113" s="12" t="s">
        <v>50</v>
      </c>
      <c r="AD113" s="12" t="s">
        <v>50</v>
      </c>
      <c r="AE113" s="12" t="s">
        <v>52</v>
      </c>
      <c r="AF113" s="12" t="s">
        <v>53</v>
      </c>
      <c r="AG113" s="12" t="s">
        <v>50</v>
      </c>
      <c r="AH113" s="19" t="s">
        <v>54</v>
      </c>
    </row>
    <row r="114" spans="2:34" ht="22.5" customHeight="1" x14ac:dyDescent="0.25">
      <c r="B114" s="18" t="s">
        <v>368</v>
      </c>
      <c r="C114" s="9" t="s">
        <v>410</v>
      </c>
      <c r="D114" s="10" t="s">
        <v>411</v>
      </c>
      <c r="E114" s="10"/>
      <c r="F114" s="10" t="s">
        <v>38</v>
      </c>
      <c r="G114" s="10" t="s">
        <v>39</v>
      </c>
      <c r="H114" s="10"/>
      <c r="I114" s="16" t="s">
        <v>412</v>
      </c>
      <c r="J114" s="10" t="s">
        <v>38</v>
      </c>
      <c r="K114" s="10" t="s">
        <v>168</v>
      </c>
      <c r="L114" s="10" t="s">
        <v>413</v>
      </c>
      <c r="M114" s="10" t="s">
        <v>414</v>
      </c>
      <c r="N114" s="10" t="s">
        <v>415</v>
      </c>
      <c r="O114" s="11">
        <v>1</v>
      </c>
      <c r="P114" s="11">
        <v>0</v>
      </c>
      <c r="Q114" s="11"/>
      <c r="R114" s="11"/>
      <c r="S114" s="12" t="s">
        <v>45</v>
      </c>
      <c r="T114" s="12" t="s">
        <v>46</v>
      </c>
      <c r="U114" s="12" t="s">
        <v>47</v>
      </c>
      <c r="V114" s="12" t="s">
        <v>48</v>
      </c>
      <c r="W114" s="12" t="s">
        <v>49</v>
      </c>
      <c r="X114" s="12" t="s">
        <v>50</v>
      </c>
      <c r="Y114" s="12" t="s">
        <v>50</v>
      </c>
      <c r="Z114" s="12" t="s">
        <v>50</v>
      </c>
      <c r="AA114" s="12" t="s">
        <v>50</v>
      </c>
      <c r="AB114" s="12" t="s">
        <v>51</v>
      </c>
      <c r="AC114" s="12" t="s">
        <v>50</v>
      </c>
      <c r="AD114" s="12" t="s">
        <v>50</v>
      </c>
      <c r="AE114" s="12" t="s">
        <v>52</v>
      </c>
      <c r="AF114" s="12" t="s">
        <v>53</v>
      </c>
      <c r="AG114" s="12" t="s">
        <v>50</v>
      </c>
      <c r="AH114" s="19" t="s">
        <v>54</v>
      </c>
    </row>
    <row r="115" spans="2:34" ht="22.5" customHeight="1" x14ac:dyDescent="0.25">
      <c r="B115" s="18" t="s">
        <v>161</v>
      </c>
      <c r="C115" s="9" t="s">
        <v>185</v>
      </c>
      <c r="D115" s="10" t="s">
        <v>186</v>
      </c>
      <c r="E115" s="10"/>
      <c r="F115" s="10" t="s">
        <v>164</v>
      </c>
      <c r="G115" s="10" t="s">
        <v>165</v>
      </c>
      <c r="H115" s="10"/>
      <c r="I115" s="16" t="s">
        <v>416</v>
      </c>
      <c r="J115" s="10" t="s">
        <v>167</v>
      </c>
      <c r="K115" s="10" t="s">
        <v>168</v>
      </c>
      <c r="L115" s="10" t="s">
        <v>169</v>
      </c>
      <c r="M115" s="10" t="s">
        <v>417</v>
      </c>
      <c r="N115" s="10" t="s">
        <v>171</v>
      </c>
      <c r="O115" s="39">
        <v>1</v>
      </c>
      <c r="P115" s="11">
        <v>1</v>
      </c>
      <c r="Q115" s="11"/>
      <c r="R115" s="11"/>
      <c r="S115" s="12" t="s">
        <v>172</v>
      </c>
      <c r="T115" s="12" t="s">
        <v>173</v>
      </c>
      <c r="U115" s="12" t="s">
        <v>50</v>
      </c>
      <c r="V115" s="12" t="s">
        <v>48</v>
      </c>
      <c r="W115" s="12" t="s">
        <v>49</v>
      </c>
      <c r="X115" s="12" t="s">
        <v>50</v>
      </c>
      <c r="Y115" s="12" t="s">
        <v>50</v>
      </c>
      <c r="Z115" s="12" t="s">
        <v>50</v>
      </c>
      <c r="AA115" s="12" t="s">
        <v>50</v>
      </c>
      <c r="AB115" s="12" t="s">
        <v>50</v>
      </c>
      <c r="AC115" s="12" t="s">
        <v>50</v>
      </c>
      <c r="AD115" s="12" t="s">
        <v>50</v>
      </c>
      <c r="AE115" s="12" t="s">
        <v>50</v>
      </c>
      <c r="AF115" s="12" t="s">
        <v>50</v>
      </c>
      <c r="AG115" s="12" t="s">
        <v>50</v>
      </c>
      <c r="AH115" s="19" t="s">
        <v>54</v>
      </c>
    </row>
    <row r="116" spans="2:34" ht="22.5" customHeight="1" x14ac:dyDescent="0.25">
      <c r="B116" s="18" t="s">
        <v>161</v>
      </c>
      <c r="C116" s="9" t="s">
        <v>198</v>
      </c>
      <c r="D116" s="10" t="s">
        <v>199</v>
      </c>
      <c r="E116" s="10"/>
      <c r="F116" s="10" t="s">
        <v>164</v>
      </c>
      <c r="G116" s="10" t="s">
        <v>165</v>
      </c>
      <c r="H116" s="10"/>
      <c r="I116" s="16" t="s">
        <v>418</v>
      </c>
      <c r="J116" s="10" t="s">
        <v>167</v>
      </c>
      <c r="K116" s="10" t="s">
        <v>168</v>
      </c>
      <c r="L116" s="10" t="s">
        <v>169</v>
      </c>
      <c r="M116" s="10" t="s">
        <v>419</v>
      </c>
      <c r="N116" s="10" t="s">
        <v>171</v>
      </c>
      <c r="O116" s="39">
        <v>1</v>
      </c>
      <c r="P116" s="11">
        <v>1</v>
      </c>
      <c r="Q116" s="11"/>
      <c r="R116" s="11"/>
      <c r="S116" s="12" t="s">
        <v>172</v>
      </c>
      <c r="T116" s="12" t="s">
        <v>173</v>
      </c>
      <c r="U116" s="12" t="s">
        <v>50</v>
      </c>
      <c r="V116" s="12" t="s">
        <v>48</v>
      </c>
      <c r="W116" s="12" t="s">
        <v>49</v>
      </c>
      <c r="X116" s="12" t="s">
        <v>50</v>
      </c>
      <c r="Y116" s="12" t="s">
        <v>50</v>
      </c>
      <c r="Z116" s="12" t="s">
        <v>50</v>
      </c>
      <c r="AA116" s="12" t="s">
        <v>50</v>
      </c>
      <c r="AB116" s="12" t="s">
        <v>50</v>
      </c>
      <c r="AC116" s="12" t="s">
        <v>50</v>
      </c>
      <c r="AD116" s="12" t="s">
        <v>50</v>
      </c>
      <c r="AE116" s="12" t="s">
        <v>50</v>
      </c>
      <c r="AF116" s="12" t="s">
        <v>50</v>
      </c>
      <c r="AG116" s="12" t="s">
        <v>50</v>
      </c>
      <c r="AH116" s="19" t="s">
        <v>54</v>
      </c>
    </row>
    <row r="117" spans="2:34" ht="22.5" customHeight="1" x14ac:dyDescent="0.25">
      <c r="B117" s="18" t="s">
        <v>161</v>
      </c>
      <c r="C117" s="9" t="s">
        <v>198</v>
      </c>
      <c r="D117" s="10" t="s">
        <v>200</v>
      </c>
      <c r="E117" s="10"/>
      <c r="F117" s="10" t="s">
        <v>164</v>
      </c>
      <c r="G117" s="10" t="s">
        <v>165</v>
      </c>
      <c r="H117" s="10"/>
      <c r="I117" s="16" t="s">
        <v>420</v>
      </c>
      <c r="J117" s="10" t="s">
        <v>167</v>
      </c>
      <c r="K117" s="10" t="s">
        <v>168</v>
      </c>
      <c r="L117" s="10" t="s">
        <v>169</v>
      </c>
      <c r="M117" s="10" t="s">
        <v>421</v>
      </c>
      <c r="N117" s="10" t="s">
        <v>171</v>
      </c>
      <c r="O117" s="39">
        <v>1</v>
      </c>
      <c r="P117" s="11">
        <v>1</v>
      </c>
      <c r="Q117" s="11"/>
      <c r="R117" s="11"/>
      <c r="S117" s="12" t="s">
        <v>172</v>
      </c>
      <c r="T117" s="12" t="s">
        <v>173</v>
      </c>
      <c r="U117" s="12" t="s">
        <v>50</v>
      </c>
      <c r="V117" s="12" t="s">
        <v>48</v>
      </c>
      <c r="W117" s="12" t="s">
        <v>49</v>
      </c>
      <c r="X117" s="12" t="s">
        <v>50</v>
      </c>
      <c r="Y117" s="12" t="s">
        <v>50</v>
      </c>
      <c r="Z117" s="12" t="s">
        <v>50</v>
      </c>
      <c r="AA117" s="12" t="s">
        <v>50</v>
      </c>
      <c r="AB117" s="12" t="s">
        <v>50</v>
      </c>
      <c r="AC117" s="12" t="s">
        <v>50</v>
      </c>
      <c r="AD117" s="12" t="s">
        <v>50</v>
      </c>
      <c r="AE117" s="12" t="s">
        <v>50</v>
      </c>
      <c r="AF117" s="12" t="s">
        <v>50</v>
      </c>
      <c r="AG117" s="12" t="s">
        <v>50</v>
      </c>
      <c r="AH117" s="19" t="s">
        <v>54</v>
      </c>
    </row>
    <row r="118" spans="2:34" ht="22.5" customHeight="1" x14ac:dyDescent="0.25">
      <c r="B118" s="18" t="s">
        <v>161</v>
      </c>
      <c r="C118" s="9" t="s">
        <v>198</v>
      </c>
      <c r="D118" s="10" t="s">
        <v>212</v>
      </c>
      <c r="E118" s="10"/>
      <c r="F118" s="10" t="s">
        <v>164</v>
      </c>
      <c r="G118" s="10" t="s">
        <v>165</v>
      </c>
      <c r="H118" s="10"/>
      <c r="I118" s="16" t="s">
        <v>422</v>
      </c>
      <c r="J118" s="10" t="s">
        <v>167</v>
      </c>
      <c r="K118" s="10" t="s">
        <v>168</v>
      </c>
      <c r="L118" s="10" t="s">
        <v>169</v>
      </c>
      <c r="M118" s="10" t="s">
        <v>423</v>
      </c>
      <c r="N118" s="10" t="s">
        <v>171</v>
      </c>
      <c r="O118" s="39">
        <v>1</v>
      </c>
      <c r="P118" s="11">
        <v>1</v>
      </c>
      <c r="Q118" s="11"/>
      <c r="R118" s="11"/>
      <c r="S118" s="12" t="s">
        <v>172</v>
      </c>
      <c r="T118" s="12" t="s">
        <v>173</v>
      </c>
      <c r="U118" s="12" t="s">
        <v>50</v>
      </c>
      <c r="V118" s="12" t="s">
        <v>48</v>
      </c>
      <c r="W118" s="12" t="s">
        <v>49</v>
      </c>
      <c r="X118" s="12" t="s">
        <v>50</v>
      </c>
      <c r="Y118" s="12" t="s">
        <v>50</v>
      </c>
      <c r="Z118" s="12" t="s">
        <v>50</v>
      </c>
      <c r="AA118" s="12" t="s">
        <v>50</v>
      </c>
      <c r="AB118" s="12" t="s">
        <v>50</v>
      </c>
      <c r="AC118" s="12" t="s">
        <v>50</v>
      </c>
      <c r="AD118" s="12" t="s">
        <v>50</v>
      </c>
      <c r="AE118" s="12" t="s">
        <v>50</v>
      </c>
      <c r="AF118" s="12" t="s">
        <v>50</v>
      </c>
      <c r="AG118" s="12" t="s">
        <v>50</v>
      </c>
      <c r="AH118" s="19" t="s">
        <v>54</v>
      </c>
    </row>
    <row r="119" spans="2:34" ht="22.5" customHeight="1" x14ac:dyDescent="0.25">
      <c r="B119" s="18" t="s">
        <v>161</v>
      </c>
      <c r="C119" s="9" t="s">
        <v>198</v>
      </c>
      <c r="D119" s="10" t="s">
        <v>213</v>
      </c>
      <c r="E119" s="10"/>
      <c r="F119" s="10" t="s">
        <v>164</v>
      </c>
      <c r="G119" s="10" t="s">
        <v>165</v>
      </c>
      <c r="H119" s="10"/>
      <c r="I119" s="16" t="s">
        <v>424</v>
      </c>
      <c r="J119" s="10" t="s">
        <v>167</v>
      </c>
      <c r="K119" s="10" t="s">
        <v>168</v>
      </c>
      <c r="L119" s="10" t="s">
        <v>169</v>
      </c>
      <c r="M119" s="10" t="s">
        <v>425</v>
      </c>
      <c r="N119" s="10" t="s">
        <v>171</v>
      </c>
      <c r="O119" s="39">
        <v>1</v>
      </c>
      <c r="P119" s="11">
        <v>1</v>
      </c>
      <c r="Q119" s="11"/>
      <c r="R119" s="11"/>
      <c r="S119" s="12" t="s">
        <v>172</v>
      </c>
      <c r="T119" s="12" t="s">
        <v>173</v>
      </c>
      <c r="U119" s="12" t="s">
        <v>50</v>
      </c>
      <c r="V119" s="12" t="s">
        <v>48</v>
      </c>
      <c r="W119" s="12" t="s">
        <v>49</v>
      </c>
      <c r="X119" s="12" t="s">
        <v>50</v>
      </c>
      <c r="Y119" s="12" t="s">
        <v>50</v>
      </c>
      <c r="Z119" s="12" t="s">
        <v>50</v>
      </c>
      <c r="AA119" s="12" t="s">
        <v>50</v>
      </c>
      <c r="AB119" s="12" t="s">
        <v>50</v>
      </c>
      <c r="AC119" s="12" t="s">
        <v>50</v>
      </c>
      <c r="AD119" s="12" t="s">
        <v>50</v>
      </c>
      <c r="AE119" s="12" t="s">
        <v>50</v>
      </c>
      <c r="AF119" s="12" t="s">
        <v>50</v>
      </c>
      <c r="AG119" s="12" t="s">
        <v>50</v>
      </c>
      <c r="AH119" s="19" t="s">
        <v>54</v>
      </c>
    </row>
    <row r="120" spans="2:34" ht="22.5" customHeight="1" x14ac:dyDescent="0.25">
      <c r="B120" s="18" t="s">
        <v>161</v>
      </c>
      <c r="C120" s="9" t="s">
        <v>162</v>
      </c>
      <c r="D120" s="10" t="s">
        <v>182</v>
      </c>
      <c r="E120" s="10"/>
      <c r="F120" s="10" t="s">
        <v>164</v>
      </c>
      <c r="G120" s="10" t="s">
        <v>165</v>
      </c>
      <c r="H120" s="10"/>
      <c r="I120" s="16" t="s">
        <v>426</v>
      </c>
      <c r="J120" s="10" t="s">
        <v>167</v>
      </c>
      <c r="K120" s="10" t="s">
        <v>168</v>
      </c>
      <c r="L120" s="10" t="s">
        <v>169</v>
      </c>
      <c r="M120" s="10" t="s">
        <v>427</v>
      </c>
      <c r="N120" s="10" t="s">
        <v>171</v>
      </c>
      <c r="O120" s="39">
        <v>1</v>
      </c>
      <c r="P120" s="11">
        <v>1</v>
      </c>
      <c r="Q120" s="11"/>
      <c r="R120" s="11"/>
      <c r="S120" s="12" t="s">
        <v>172</v>
      </c>
      <c r="T120" s="12" t="s">
        <v>173</v>
      </c>
      <c r="U120" s="12" t="s">
        <v>50</v>
      </c>
      <c r="V120" s="12" t="s">
        <v>48</v>
      </c>
      <c r="W120" s="12" t="s">
        <v>49</v>
      </c>
      <c r="X120" s="12" t="s">
        <v>50</v>
      </c>
      <c r="Y120" s="12" t="s">
        <v>50</v>
      </c>
      <c r="Z120" s="12" t="s">
        <v>50</v>
      </c>
      <c r="AA120" s="12" t="s">
        <v>50</v>
      </c>
      <c r="AB120" s="12" t="s">
        <v>50</v>
      </c>
      <c r="AC120" s="12" t="s">
        <v>50</v>
      </c>
      <c r="AD120" s="12" t="s">
        <v>50</v>
      </c>
      <c r="AE120" s="12" t="s">
        <v>50</v>
      </c>
      <c r="AF120" s="12" t="s">
        <v>50</v>
      </c>
      <c r="AG120" s="12" t="s">
        <v>50</v>
      </c>
      <c r="AH120" s="19" t="s">
        <v>54</v>
      </c>
    </row>
    <row r="121" spans="2:34" ht="22.5" customHeight="1" x14ac:dyDescent="0.25">
      <c r="B121" s="18" t="s">
        <v>161</v>
      </c>
      <c r="C121" s="9" t="s">
        <v>162</v>
      </c>
      <c r="D121" s="10" t="s">
        <v>220</v>
      </c>
      <c r="E121" s="10"/>
      <c r="F121" s="10" t="s">
        <v>164</v>
      </c>
      <c r="G121" s="10" t="s">
        <v>165</v>
      </c>
      <c r="H121" s="10"/>
      <c r="I121" s="16" t="s">
        <v>428</v>
      </c>
      <c r="J121" s="10" t="s">
        <v>167</v>
      </c>
      <c r="K121" s="10" t="s">
        <v>168</v>
      </c>
      <c r="L121" s="10" t="s">
        <v>169</v>
      </c>
      <c r="M121" s="10" t="s">
        <v>429</v>
      </c>
      <c r="N121" s="10" t="s">
        <v>171</v>
      </c>
      <c r="O121" s="39">
        <v>1</v>
      </c>
      <c r="P121" s="11">
        <v>1</v>
      </c>
      <c r="Q121" s="11"/>
      <c r="R121" s="11"/>
      <c r="S121" s="12" t="s">
        <v>172</v>
      </c>
      <c r="T121" s="12" t="s">
        <v>173</v>
      </c>
      <c r="U121" s="12" t="s">
        <v>50</v>
      </c>
      <c r="V121" s="12" t="s">
        <v>48</v>
      </c>
      <c r="W121" s="12" t="s">
        <v>49</v>
      </c>
      <c r="X121" s="12" t="s">
        <v>50</v>
      </c>
      <c r="Y121" s="12" t="s">
        <v>50</v>
      </c>
      <c r="Z121" s="12" t="s">
        <v>50</v>
      </c>
      <c r="AA121" s="12" t="s">
        <v>50</v>
      </c>
      <c r="AB121" s="12" t="s">
        <v>50</v>
      </c>
      <c r="AC121" s="12" t="s">
        <v>50</v>
      </c>
      <c r="AD121" s="12" t="s">
        <v>50</v>
      </c>
      <c r="AE121" s="12" t="s">
        <v>50</v>
      </c>
      <c r="AF121" s="12" t="s">
        <v>50</v>
      </c>
      <c r="AG121" s="12" t="s">
        <v>50</v>
      </c>
      <c r="AH121" s="19" t="s">
        <v>54</v>
      </c>
    </row>
    <row r="122" spans="2:34" ht="22.5" customHeight="1" x14ac:dyDescent="0.25">
      <c r="B122" s="18" t="s">
        <v>161</v>
      </c>
      <c r="C122" s="9" t="s">
        <v>191</v>
      </c>
      <c r="D122" s="10" t="s">
        <v>192</v>
      </c>
      <c r="E122" s="10"/>
      <c r="F122" s="10" t="s">
        <v>164</v>
      </c>
      <c r="G122" s="10" t="s">
        <v>165</v>
      </c>
      <c r="H122" s="10"/>
      <c r="I122" s="16" t="s">
        <v>430</v>
      </c>
      <c r="J122" s="10" t="s">
        <v>167</v>
      </c>
      <c r="K122" s="10" t="s">
        <v>168</v>
      </c>
      <c r="L122" s="10" t="s">
        <v>169</v>
      </c>
      <c r="M122" s="10" t="s">
        <v>431</v>
      </c>
      <c r="N122" s="10" t="s">
        <v>171</v>
      </c>
      <c r="O122" s="39">
        <v>1</v>
      </c>
      <c r="P122" s="11">
        <v>1</v>
      </c>
      <c r="Q122" s="11"/>
      <c r="R122" s="11"/>
      <c r="S122" s="12" t="s">
        <v>172</v>
      </c>
      <c r="T122" s="12" t="s">
        <v>173</v>
      </c>
      <c r="U122" s="12" t="s">
        <v>50</v>
      </c>
      <c r="V122" s="12" t="s">
        <v>48</v>
      </c>
      <c r="W122" s="12" t="s">
        <v>49</v>
      </c>
      <c r="X122" s="12" t="s">
        <v>50</v>
      </c>
      <c r="Y122" s="12" t="s">
        <v>50</v>
      </c>
      <c r="Z122" s="12" t="s">
        <v>50</v>
      </c>
      <c r="AA122" s="12" t="s">
        <v>50</v>
      </c>
      <c r="AB122" s="12" t="s">
        <v>50</v>
      </c>
      <c r="AC122" s="12" t="s">
        <v>50</v>
      </c>
      <c r="AD122" s="12" t="s">
        <v>50</v>
      </c>
      <c r="AE122" s="12" t="s">
        <v>50</v>
      </c>
      <c r="AF122" s="12" t="s">
        <v>50</v>
      </c>
      <c r="AG122" s="12" t="s">
        <v>50</v>
      </c>
      <c r="AH122" s="19" t="s">
        <v>54</v>
      </c>
    </row>
    <row r="123" spans="2:34" ht="22.5" customHeight="1" x14ac:dyDescent="0.25">
      <c r="B123" s="18" t="s">
        <v>161</v>
      </c>
      <c r="C123" s="9" t="s">
        <v>191</v>
      </c>
      <c r="D123" s="10" t="s">
        <v>192</v>
      </c>
      <c r="E123" s="10"/>
      <c r="F123" s="10" t="s">
        <v>164</v>
      </c>
      <c r="G123" s="10" t="s">
        <v>165</v>
      </c>
      <c r="H123" s="10"/>
      <c r="I123" s="16" t="s">
        <v>432</v>
      </c>
      <c r="J123" s="10" t="s">
        <v>167</v>
      </c>
      <c r="K123" s="10" t="s">
        <v>168</v>
      </c>
      <c r="L123" s="10" t="s">
        <v>169</v>
      </c>
      <c r="M123" s="10" t="s">
        <v>433</v>
      </c>
      <c r="N123" s="10" t="s">
        <v>171</v>
      </c>
      <c r="O123" s="39">
        <v>1</v>
      </c>
      <c r="P123" s="11">
        <v>1</v>
      </c>
      <c r="Q123" s="11"/>
      <c r="R123" s="11"/>
      <c r="S123" s="12" t="s">
        <v>172</v>
      </c>
      <c r="T123" s="12" t="s">
        <v>173</v>
      </c>
      <c r="U123" s="12" t="s">
        <v>50</v>
      </c>
      <c r="V123" s="12" t="s">
        <v>48</v>
      </c>
      <c r="W123" s="12" t="s">
        <v>49</v>
      </c>
      <c r="X123" s="12" t="s">
        <v>50</v>
      </c>
      <c r="Y123" s="12" t="s">
        <v>50</v>
      </c>
      <c r="Z123" s="12" t="s">
        <v>50</v>
      </c>
      <c r="AA123" s="12" t="s">
        <v>50</v>
      </c>
      <c r="AB123" s="12" t="s">
        <v>50</v>
      </c>
      <c r="AC123" s="12" t="s">
        <v>50</v>
      </c>
      <c r="AD123" s="12" t="s">
        <v>50</v>
      </c>
      <c r="AE123" s="12" t="s">
        <v>50</v>
      </c>
      <c r="AF123" s="12" t="s">
        <v>50</v>
      </c>
      <c r="AG123" s="12" t="s">
        <v>50</v>
      </c>
      <c r="AH123" s="19" t="s">
        <v>54</v>
      </c>
    </row>
    <row r="124" spans="2:34" ht="22.5" customHeight="1" x14ac:dyDescent="0.25">
      <c r="B124" s="18" t="s">
        <v>161</v>
      </c>
      <c r="C124" s="9" t="s">
        <v>191</v>
      </c>
      <c r="D124" s="10" t="s">
        <v>201</v>
      </c>
      <c r="E124" s="10"/>
      <c r="F124" s="10" t="s">
        <v>164</v>
      </c>
      <c r="G124" s="10" t="s">
        <v>165</v>
      </c>
      <c r="H124" s="10"/>
      <c r="I124" s="16" t="s">
        <v>434</v>
      </c>
      <c r="J124" s="10" t="s">
        <v>167</v>
      </c>
      <c r="K124" s="10" t="s">
        <v>168</v>
      </c>
      <c r="L124" s="10" t="s">
        <v>169</v>
      </c>
      <c r="M124" s="10" t="s">
        <v>435</v>
      </c>
      <c r="N124" s="10" t="s">
        <v>171</v>
      </c>
      <c r="O124" s="39">
        <v>1</v>
      </c>
      <c r="P124" s="11">
        <v>1</v>
      </c>
      <c r="Q124" s="11"/>
      <c r="R124" s="11"/>
      <c r="S124" s="12" t="s">
        <v>172</v>
      </c>
      <c r="T124" s="12" t="s">
        <v>173</v>
      </c>
      <c r="U124" s="12" t="s">
        <v>50</v>
      </c>
      <c r="V124" s="12" t="s">
        <v>48</v>
      </c>
      <c r="W124" s="12" t="s">
        <v>49</v>
      </c>
      <c r="X124" s="12" t="s">
        <v>50</v>
      </c>
      <c r="Y124" s="12" t="s">
        <v>50</v>
      </c>
      <c r="Z124" s="12" t="s">
        <v>50</v>
      </c>
      <c r="AA124" s="12" t="s">
        <v>50</v>
      </c>
      <c r="AB124" s="12" t="s">
        <v>50</v>
      </c>
      <c r="AC124" s="12" t="s">
        <v>50</v>
      </c>
      <c r="AD124" s="12" t="s">
        <v>50</v>
      </c>
      <c r="AE124" s="12" t="s">
        <v>50</v>
      </c>
      <c r="AF124" s="12" t="s">
        <v>50</v>
      </c>
      <c r="AG124" s="12" t="s">
        <v>50</v>
      </c>
      <c r="AH124" s="19" t="s">
        <v>54</v>
      </c>
    </row>
    <row r="125" spans="2:34" ht="22.5" customHeight="1" x14ac:dyDescent="0.25">
      <c r="B125" s="18" t="s">
        <v>161</v>
      </c>
      <c r="C125" s="9" t="s">
        <v>191</v>
      </c>
      <c r="D125" s="10" t="s">
        <v>201</v>
      </c>
      <c r="E125" s="10"/>
      <c r="F125" s="10" t="s">
        <v>164</v>
      </c>
      <c r="G125" s="10" t="s">
        <v>165</v>
      </c>
      <c r="H125" s="10"/>
      <c r="I125" s="16" t="s">
        <v>436</v>
      </c>
      <c r="J125" s="10" t="s">
        <v>167</v>
      </c>
      <c r="K125" s="10" t="s">
        <v>168</v>
      </c>
      <c r="L125" s="10" t="s">
        <v>169</v>
      </c>
      <c r="M125" s="10" t="s">
        <v>437</v>
      </c>
      <c r="N125" s="10" t="s">
        <v>171</v>
      </c>
      <c r="O125" s="39">
        <v>1</v>
      </c>
      <c r="P125" s="11">
        <v>1</v>
      </c>
      <c r="Q125" s="11"/>
      <c r="R125" s="11"/>
      <c r="S125" s="12" t="s">
        <v>172</v>
      </c>
      <c r="T125" s="12" t="s">
        <v>173</v>
      </c>
      <c r="U125" s="12" t="s">
        <v>50</v>
      </c>
      <c r="V125" s="12" t="s">
        <v>48</v>
      </c>
      <c r="W125" s="12" t="s">
        <v>49</v>
      </c>
      <c r="X125" s="12" t="s">
        <v>50</v>
      </c>
      <c r="Y125" s="12" t="s">
        <v>50</v>
      </c>
      <c r="Z125" s="12" t="s">
        <v>50</v>
      </c>
      <c r="AA125" s="12" t="s">
        <v>50</v>
      </c>
      <c r="AB125" s="12" t="s">
        <v>50</v>
      </c>
      <c r="AC125" s="12" t="s">
        <v>50</v>
      </c>
      <c r="AD125" s="12" t="s">
        <v>50</v>
      </c>
      <c r="AE125" s="12" t="s">
        <v>50</v>
      </c>
      <c r="AF125" s="12" t="s">
        <v>50</v>
      </c>
      <c r="AG125" s="12" t="s">
        <v>50</v>
      </c>
      <c r="AH125" s="19" t="s">
        <v>54</v>
      </c>
    </row>
    <row r="126" spans="2:34" ht="22.5" customHeight="1" x14ac:dyDescent="0.25">
      <c r="B126" s="18" t="s">
        <v>161</v>
      </c>
      <c r="C126" s="9" t="s">
        <v>191</v>
      </c>
      <c r="D126" s="10" t="s">
        <v>207</v>
      </c>
      <c r="E126" s="10"/>
      <c r="F126" s="10" t="s">
        <v>164</v>
      </c>
      <c r="G126" s="10" t="s">
        <v>165</v>
      </c>
      <c r="H126" s="10"/>
      <c r="I126" s="16" t="s">
        <v>438</v>
      </c>
      <c r="J126" s="10" t="s">
        <v>167</v>
      </c>
      <c r="K126" s="10" t="s">
        <v>168</v>
      </c>
      <c r="L126" s="10" t="s">
        <v>169</v>
      </c>
      <c r="M126" s="10" t="s">
        <v>439</v>
      </c>
      <c r="N126" s="10" t="s">
        <v>171</v>
      </c>
      <c r="O126" s="39">
        <v>1</v>
      </c>
      <c r="P126" s="11">
        <v>1</v>
      </c>
      <c r="Q126" s="11"/>
      <c r="R126" s="11"/>
      <c r="S126" s="12" t="s">
        <v>172</v>
      </c>
      <c r="T126" s="12" t="s">
        <v>173</v>
      </c>
      <c r="U126" s="12" t="s">
        <v>50</v>
      </c>
      <c r="V126" s="12" t="s">
        <v>48</v>
      </c>
      <c r="W126" s="12" t="s">
        <v>49</v>
      </c>
      <c r="X126" s="12" t="s">
        <v>50</v>
      </c>
      <c r="Y126" s="12" t="s">
        <v>50</v>
      </c>
      <c r="Z126" s="12" t="s">
        <v>50</v>
      </c>
      <c r="AA126" s="12" t="s">
        <v>50</v>
      </c>
      <c r="AB126" s="12" t="s">
        <v>50</v>
      </c>
      <c r="AC126" s="12" t="s">
        <v>50</v>
      </c>
      <c r="AD126" s="12" t="s">
        <v>50</v>
      </c>
      <c r="AE126" s="12" t="s">
        <v>50</v>
      </c>
      <c r="AF126" s="12" t="s">
        <v>50</v>
      </c>
      <c r="AG126" s="12" t="s">
        <v>50</v>
      </c>
      <c r="AH126" s="19" t="s">
        <v>54</v>
      </c>
    </row>
    <row r="127" spans="2:34" ht="22.5" customHeight="1" x14ac:dyDescent="0.25">
      <c r="B127" s="18" t="s">
        <v>161</v>
      </c>
      <c r="C127" s="9" t="s">
        <v>191</v>
      </c>
      <c r="D127" s="10" t="s">
        <v>207</v>
      </c>
      <c r="E127" s="10"/>
      <c r="F127" s="10" t="s">
        <v>164</v>
      </c>
      <c r="G127" s="10" t="s">
        <v>165</v>
      </c>
      <c r="H127" s="10"/>
      <c r="I127" s="16" t="s">
        <v>440</v>
      </c>
      <c r="J127" s="10" t="s">
        <v>167</v>
      </c>
      <c r="K127" s="10" t="s">
        <v>168</v>
      </c>
      <c r="L127" s="10" t="s">
        <v>169</v>
      </c>
      <c r="M127" s="10" t="s">
        <v>441</v>
      </c>
      <c r="N127" s="10" t="s">
        <v>171</v>
      </c>
      <c r="O127" s="39">
        <v>1</v>
      </c>
      <c r="P127" s="11">
        <v>1</v>
      </c>
      <c r="Q127" s="11"/>
      <c r="R127" s="11"/>
      <c r="S127" s="12" t="s">
        <v>172</v>
      </c>
      <c r="T127" s="12" t="s">
        <v>173</v>
      </c>
      <c r="U127" s="12" t="s">
        <v>50</v>
      </c>
      <c r="V127" s="12" t="s">
        <v>48</v>
      </c>
      <c r="W127" s="12" t="s">
        <v>49</v>
      </c>
      <c r="X127" s="12" t="s">
        <v>50</v>
      </c>
      <c r="Y127" s="12" t="s">
        <v>50</v>
      </c>
      <c r="Z127" s="12" t="s">
        <v>50</v>
      </c>
      <c r="AA127" s="12" t="s">
        <v>50</v>
      </c>
      <c r="AB127" s="12" t="s">
        <v>50</v>
      </c>
      <c r="AC127" s="12" t="s">
        <v>50</v>
      </c>
      <c r="AD127" s="12" t="s">
        <v>50</v>
      </c>
      <c r="AE127" s="12" t="s">
        <v>50</v>
      </c>
      <c r="AF127" s="12" t="s">
        <v>50</v>
      </c>
      <c r="AG127" s="12" t="s">
        <v>50</v>
      </c>
      <c r="AH127" s="19" t="s">
        <v>54</v>
      </c>
    </row>
    <row r="128" spans="2:34" ht="22.5" customHeight="1" x14ac:dyDescent="0.25">
      <c r="B128" s="18" t="s">
        <v>161</v>
      </c>
      <c r="C128" s="9" t="s">
        <v>191</v>
      </c>
      <c r="D128" s="10" t="s">
        <v>214</v>
      </c>
      <c r="E128" s="10"/>
      <c r="F128" s="10" t="s">
        <v>164</v>
      </c>
      <c r="G128" s="10" t="s">
        <v>165</v>
      </c>
      <c r="H128" s="10"/>
      <c r="I128" s="16" t="s">
        <v>442</v>
      </c>
      <c r="J128" s="10" t="s">
        <v>167</v>
      </c>
      <c r="K128" s="10" t="s">
        <v>168</v>
      </c>
      <c r="L128" s="10" t="s">
        <v>169</v>
      </c>
      <c r="M128" s="10" t="s">
        <v>443</v>
      </c>
      <c r="N128" s="10" t="s">
        <v>171</v>
      </c>
      <c r="O128" s="39">
        <v>1</v>
      </c>
      <c r="P128" s="11">
        <v>1</v>
      </c>
      <c r="Q128" s="11"/>
      <c r="R128" s="11"/>
      <c r="S128" s="12" t="s">
        <v>172</v>
      </c>
      <c r="T128" s="12" t="s">
        <v>173</v>
      </c>
      <c r="U128" s="12" t="s">
        <v>50</v>
      </c>
      <c r="V128" s="12" t="s">
        <v>48</v>
      </c>
      <c r="W128" s="12" t="s">
        <v>49</v>
      </c>
      <c r="X128" s="12" t="s">
        <v>50</v>
      </c>
      <c r="Y128" s="12" t="s">
        <v>50</v>
      </c>
      <c r="Z128" s="12" t="s">
        <v>50</v>
      </c>
      <c r="AA128" s="12" t="s">
        <v>50</v>
      </c>
      <c r="AB128" s="12" t="s">
        <v>50</v>
      </c>
      <c r="AC128" s="12" t="s">
        <v>50</v>
      </c>
      <c r="AD128" s="12" t="s">
        <v>50</v>
      </c>
      <c r="AE128" s="12" t="s">
        <v>50</v>
      </c>
      <c r="AF128" s="12" t="s">
        <v>50</v>
      </c>
      <c r="AG128" s="12" t="s">
        <v>50</v>
      </c>
      <c r="AH128" s="19" t="s">
        <v>54</v>
      </c>
    </row>
    <row r="129" spans="2:34" ht="22.5" customHeight="1" x14ac:dyDescent="0.25">
      <c r="B129" s="18" t="s">
        <v>161</v>
      </c>
      <c r="C129" s="9" t="s">
        <v>191</v>
      </c>
      <c r="D129" s="10" t="s">
        <v>214</v>
      </c>
      <c r="E129" s="10"/>
      <c r="F129" s="10" t="s">
        <v>164</v>
      </c>
      <c r="G129" s="10" t="s">
        <v>165</v>
      </c>
      <c r="H129" s="10"/>
      <c r="I129" s="16" t="s">
        <v>444</v>
      </c>
      <c r="J129" s="10" t="s">
        <v>167</v>
      </c>
      <c r="K129" s="10" t="s">
        <v>168</v>
      </c>
      <c r="L129" s="10" t="s">
        <v>169</v>
      </c>
      <c r="M129" s="10" t="s">
        <v>445</v>
      </c>
      <c r="N129" s="10" t="s">
        <v>171</v>
      </c>
      <c r="O129" s="39">
        <v>1</v>
      </c>
      <c r="P129" s="11">
        <v>1</v>
      </c>
      <c r="Q129" s="11"/>
      <c r="R129" s="11"/>
      <c r="S129" s="12" t="s">
        <v>172</v>
      </c>
      <c r="T129" s="12" t="s">
        <v>173</v>
      </c>
      <c r="U129" s="12" t="s">
        <v>50</v>
      </c>
      <c r="V129" s="12" t="s">
        <v>48</v>
      </c>
      <c r="W129" s="12" t="s">
        <v>49</v>
      </c>
      <c r="X129" s="12" t="s">
        <v>50</v>
      </c>
      <c r="Y129" s="12" t="s">
        <v>50</v>
      </c>
      <c r="Z129" s="12" t="s">
        <v>50</v>
      </c>
      <c r="AA129" s="12" t="s">
        <v>50</v>
      </c>
      <c r="AB129" s="12" t="s">
        <v>50</v>
      </c>
      <c r="AC129" s="12" t="s">
        <v>50</v>
      </c>
      <c r="AD129" s="12" t="s">
        <v>50</v>
      </c>
      <c r="AE129" s="12" t="s">
        <v>50</v>
      </c>
      <c r="AF129" s="12" t="s">
        <v>50</v>
      </c>
      <c r="AG129" s="12" t="s">
        <v>50</v>
      </c>
      <c r="AH129" s="19" t="s">
        <v>54</v>
      </c>
    </row>
    <row r="130" spans="2:34" ht="22.5" customHeight="1" x14ac:dyDescent="0.25">
      <c r="B130" s="18" t="s">
        <v>446</v>
      </c>
      <c r="C130" s="9" t="s">
        <v>174</v>
      </c>
      <c r="D130" s="10" t="s">
        <v>447</v>
      </c>
      <c r="E130" s="10"/>
      <c r="F130" s="10" t="s">
        <v>448</v>
      </c>
      <c r="G130" s="10" t="s">
        <v>449</v>
      </c>
      <c r="H130" s="10"/>
      <c r="I130" s="16" t="s">
        <v>450</v>
      </c>
      <c r="J130" s="10" t="s">
        <v>448</v>
      </c>
      <c r="K130" s="10" t="s">
        <v>451</v>
      </c>
      <c r="L130" s="10" t="s">
        <v>452</v>
      </c>
      <c r="M130" s="10">
        <v>201406750</v>
      </c>
      <c r="N130" s="10" t="s">
        <v>44</v>
      </c>
      <c r="O130" s="11">
        <v>1</v>
      </c>
      <c r="P130" s="11">
        <v>0</v>
      </c>
      <c r="Q130" s="11"/>
      <c r="R130" s="11"/>
      <c r="S130" s="12" t="s">
        <v>453</v>
      </c>
      <c r="T130" s="12" t="s">
        <v>50</v>
      </c>
      <c r="U130" s="12" t="s">
        <v>47</v>
      </c>
      <c r="V130" s="12" t="s">
        <v>48</v>
      </c>
      <c r="W130" s="12" t="s">
        <v>49</v>
      </c>
      <c r="X130" s="12" t="s">
        <v>50</v>
      </c>
      <c r="Y130" s="12" t="s">
        <v>50</v>
      </c>
      <c r="Z130" s="12" t="s">
        <v>50</v>
      </c>
      <c r="AA130" s="12" t="s">
        <v>50</v>
      </c>
      <c r="AB130" s="12" t="s">
        <v>50</v>
      </c>
      <c r="AC130" s="12" t="s">
        <v>50</v>
      </c>
      <c r="AD130" s="12" t="s">
        <v>50</v>
      </c>
      <c r="AE130" s="12" t="s">
        <v>50</v>
      </c>
      <c r="AF130" s="12" t="s">
        <v>50</v>
      </c>
      <c r="AG130" s="12" t="s">
        <v>50</v>
      </c>
      <c r="AH130" s="19" t="s">
        <v>50</v>
      </c>
    </row>
    <row r="131" spans="2:34" ht="22.5" customHeight="1" x14ac:dyDescent="0.25">
      <c r="B131" s="18" t="s">
        <v>446</v>
      </c>
      <c r="C131" s="9" t="s">
        <v>174</v>
      </c>
      <c r="D131" s="10" t="s">
        <v>447</v>
      </c>
      <c r="E131" s="10"/>
      <c r="F131" s="10" t="s">
        <v>448</v>
      </c>
      <c r="G131" s="10" t="s">
        <v>449</v>
      </c>
      <c r="H131" s="10"/>
      <c r="I131" s="16" t="s">
        <v>454</v>
      </c>
      <c r="J131" s="10" t="s">
        <v>448</v>
      </c>
      <c r="K131" s="10" t="s">
        <v>451</v>
      </c>
      <c r="L131" s="10" t="s">
        <v>452</v>
      </c>
      <c r="M131" s="10">
        <v>201311656</v>
      </c>
      <c r="N131" s="10" t="s">
        <v>44</v>
      </c>
      <c r="O131" s="11">
        <v>1</v>
      </c>
      <c r="P131" s="11">
        <v>0</v>
      </c>
      <c r="Q131" s="11"/>
      <c r="R131" s="11"/>
      <c r="S131" s="12" t="s">
        <v>453</v>
      </c>
      <c r="T131" s="12" t="s">
        <v>50</v>
      </c>
      <c r="U131" s="12" t="s">
        <v>47</v>
      </c>
      <c r="V131" s="12" t="s">
        <v>48</v>
      </c>
      <c r="W131" s="12" t="s">
        <v>49</v>
      </c>
      <c r="X131" s="12" t="s">
        <v>50</v>
      </c>
      <c r="Y131" s="12" t="s">
        <v>50</v>
      </c>
      <c r="Z131" s="12" t="s">
        <v>50</v>
      </c>
      <c r="AA131" s="12" t="s">
        <v>50</v>
      </c>
      <c r="AB131" s="12" t="s">
        <v>50</v>
      </c>
      <c r="AC131" s="12" t="s">
        <v>50</v>
      </c>
      <c r="AD131" s="12" t="s">
        <v>50</v>
      </c>
      <c r="AE131" s="12" t="s">
        <v>50</v>
      </c>
      <c r="AF131" s="12" t="s">
        <v>50</v>
      </c>
      <c r="AG131" s="12" t="s">
        <v>50</v>
      </c>
      <c r="AH131" s="19" t="s">
        <v>50</v>
      </c>
    </row>
    <row r="132" spans="2:34" ht="22.5" customHeight="1" x14ac:dyDescent="0.25">
      <c r="B132" s="18" t="s">
        <v>446</v>
      </c>
      <c r="C132" s="9" t="s">
        <v>174</v>
      </c>
      <c r="D132" s="10" t="s">
        <v>447</v>
      </c>
      <c r="E132" s="10"/>
      <c r="F132" s="10" t="s">
        <v>448</v>
      </c>
      <c r="G132" s="10" t="s">
        <v>449</v>
      </c>
      <c r="H132" s="10"/>
      <c r="I132" s="16" t="s">
        <v>455</v>
      </c>
      <c r="J132" s="10" t="s">
        <v>448</v>
      </c>
      <c r="K132" s="10" t="s">
        <v>451</v>
      </c>
      <c r="L132" s="10" t="s">
        <v>452</v>
      </c>
      <c r="M132" s="10">
        <v>201300465</v>
      </c>
      <c r="N132" s="10" t="s">
        <v>44</v>
      </c>
      <c r="O132" s="11">
        <v>1</v>
      </c>
      <c r="P132" s="11">
        <v>0</v>
      </c>
      <c r="Q132" s="11"/>
      <c r="R132" s="11"/>
      <c r="S132" s="12" t="s">
        <v>453</v>
      </c>
      <c r="T132" s="12" t="s">
        <v>50</v>
      </c>
      <c r="U132" s="12" t="s">
        <v>47</v>
      </c>
      <c r="V132" s="12" t="s">
        <v>48</v>
      </c>
      <c r="W132" s="12" t="s">
        <v>49</v>
      </c>
      <c r="X132" s="12" t="s">
        <v>50</v>
      </c>
      <c r="Y132" s="12" t="s">
        <v>50</v>
      </c>
      <c r="Z132" s="12" t="s">
        <v>50</v>
      </c>
      <c r="AA132" s="12" t="s">
        <v>50</v>
      </c>
      <c r="AB132" s="12" t="s">
        <v>50</v>
      </c>
      <c r="AC132" s="12" t="s">
        <v>50</v>
      </c>
      <c r="AD132" s="12" t="s">
        <v>50</v>
      </c>
      <c r="AE132" s="12" t="s">
        <v>50</v>
      </c>
      <c r="AF132" s="12" t="s">
        <v>50</v>
      </c>
      <c r="AG132" s="12" t="s">
        <v>50</v>
      </c>
      <c r="AH132" s="19" t="s">
        <v>50</v>
      </c>
    </row>
    <row r="133" spans="2:34" ht="22.5" customHeight="1" x14ac:dyDescent="0.25">
      <c r="B133" s="18" t="s">
        <v>446</v>
      </c>
      <c r="C133" s="9" t="s">
        <v>174</v>
      </c>
      <c r="D133" s="10" t="s">
        <v>447</v>
      </c>
      <c r="E133" s="10"/>
      <c r="F133" s="10" t="s">
        <v>448</v>
      </c>
      <c r="G133" s="10" t="s">
        <v>449</v>
      </c>
      <c r="H133" s="10"/>
      <c r="I133" s="16" t="s">
        <v>456</v>
      </c>
      <c r="J133" s="10" t="s">
        <v>448</v>
      </c>
      <c r="K133" s="10" t="s">
        <v>451</v>
      </c>
      <c r="L133" s="10" t="s">
        <v>452</v>
      </c>
      <c r="M133" s="10">
        <v>201214306</v>
      </c>
      <c r="N133" s="10" t="s">
        <v>44</v>
      </c>
      <c r="O133" s="11">
        <v>1</v>
      </c>
      <c r="P133" s="11">
        <v>0</v>
      </c>
      <c r="Q133" s="11"/>
      <c r="R133" s="11"/>
      <c r="S133" s="12" t="s">
        <v>453</v>
      </c>
      <c r="T133" s="12" t="s">
        <v>50</v>
      </c>
      <c r="U133" s="12" t="s">
        <v>47</v>
      </c>
      <c r="V133" s="12" t="s">
        <v>48</v>
      </c>
      <c r="W133" s="12" t="s">
        <v>49</v>
      </c>
      <c r="X133" s="12" t="s">
        <v>50</v>
      </c>
      <c r="Y133" s="12" t="s">
        <v>50</v>
      </c>
      <c r="Z133" s="12" t="s">
        <v>50</v>
      </c>
      <c r="AA133" s="12" t="s">
        <v>50</v>
      </c>
      <c r="AB133" s="12" t="s">
        <v>50</v>
      </c>
      <c r="AC133" s="12" t="s">
        <v>50</v>
      </c>
      <c r="AD133" s="12" t="s">
        <v>50</v>
      </c>
      <c r="AE133" s="12" t="s">
        <v>50</v>
      </c>
      <c r="AF133" s="12" t="s">
        <v>50</v>
      </c>
      <c r="AG133" s="12" t="s">
        <v>50</v>
      </c>
      <c r="AH133" s="19" t="s">
        <v>50</v>
      </c>
    </row>
    <row r="134" spans="2:34" ht="22.5" customHeight="1" x14ac:dyDescent="0.25">
      <c r="B134" s="18" t="s">
        <v>446</v>
      </c>
      <c r="C134" s="9" t="s">
        <v>174</v>
      </c>
      <c r="D134" s="10" t="s">
        <v>447</v>
      </c>
      <c r="E134" s="10"/>
      <c r="F134" s="10" t="s">
        <v>448</v>
      </c>
      <c r="G134" s="10" t="s">
        <v>449</v>
      </c>
      <c r="H134" s="10"/>
      <c r="I134" s="16" t="s">
        <v>457</v>
      </c>
      <c r="J134" s="10" t="s">
        <v>448</v>
      </c>
      <c r="K134" s="10" t="s">
        <v>451</v>
      </c>
      <c r="L134" s="10" t="s">
        <v>452</v>
      </c>
      <c r="M134" s="10">
        <v>201302217</v>
      </c>
      <c r="N134" s="10" t="s">
        <v>44</v>
      </c>
      <c r="O134" s="11">
        <v>1</v>
      </c>
      <c r="P134" s="11">
        <v>0</v>
      </c>
      <c r="Q134" s="11"/>
      <c r="R134" s="11"/>
      <c r="S134" s="12" t="s">
        <v>453</v>
      </c>
      <c r="T134" s="12" t="s">
        <v>50</v>
      </c>
      <c r="U134" s="12" t="s">
        <v>47</v>
      </c>
      <c r="V134" s="12" t="s">
        <v>48</v>
      </c>
      <c r="W134" s="12" t="s">
        <v>49</v>
      </c>
      <c r="X134" s="12" t="s">
        <v>50</v>
      </c>
      <c r="Y134" s="12" t="s">
        <v>50</v>
      </c>
      <c r="Z134" s="12" t="s">
        <v>50</v>
      </c>
      <c r="AA134" s="12" t="s">
        <v>50</v>
      </c>
      <c r="AB134" s="12" t="s">
        <v>50</v>
      </c>
      <c r="AC134" s="12" t="s">
        <v>50</v>
      </c>
      <c r="AD134" s="12" t="s">
        <v>50</v>
      </c>
      <c r="AE134" s="12" t="s">
        <v>50</v>
      </c>
      <c r="AF134" s="12" t="s">
        <v>50</v>
      </c>
      <c r="AG134" s="12" t="s">
        <v>50</v>
      </c>
      <c r="AH134" s="19" t="s">
        <v>50</v>
      </c>
    </row>
    <row r="135" spans="2:34" ht="22.5" customHeight="1" x14ac:dyDescent="0.25">
      <c r="B135" s="18" t="s">
        <v>446</v>
      </c>
      <c r="C135" s="9" t="s">
        <v>174</v>
      </c>
      <c r="D135" s="10" t="s">
        <v>447</v>
      </c>
      <c r="E135" s="10"/>
      <c r="F135" s="10" t="s">
        <v>448</v>
      </c>
      <c r="G135" s="10" t="s">
        <v>449</v>
      </c>
      <c r="H135" s="10"/>
      <c r="I135" s="16" t="s">
        <v>458</v>
      </c>
      <c r="J135" s="10" t="s">
        <v>448</v>
      </c>
      <c r="K135" s="10" t="s">
        <v>451</v>
      </c>
      <c r="L135" s="10" t="s">
        <v>452</v>
      </c>
      <c r="M135" s="10">
        <v>201214305</v>
      </c>
      <c r="N135" s="10" t="s">
        <v>44</v>
      </c>
      <c r="O135" s="11">
        <v>1</v>
      </c>
      <c r="P135" s="11">
        <v>0</v>
      </c>
      <c r="Q135" s="11"/>
      <c r="R135" s="11"/>
      <c r="S135" s="12" t="s">
        <v>453</v>
      </c>
      <c r="T135" s="12" t="s">
        <v>50</v>
      </c>
      <c r="U135" s="12" t="s">
        <v>47</v>
      </c>
      <c r="V135" s="12" t="s">
        <v>48</v>
      </c>
      <c r="W135" s="12" t="s">
        <v>49</v>
      </c>
      <c r="X135" s="12" t="s">
        <v>50</v>
      </c>
      <c r="Y135" s="12" t="s">
        <v>50</v>
      </c>
      <c r="Z135" s="12" t="s">
        <v>50</v>
      </c>
      <c r="AA135" s="12" t="s">
        <v>50</v>
      </c>
      <c r="AB135" s="12" t="s">
        <v>50</v>
      </c>
      <c r="AC135" s="12" t="s">
        <v>50</v>
      </c>
      <c r="AD135" s="12" t="s">
        <v>50</v>
      </c>
      <c r="AE135" s="12" t="s">
        <v>50</v>
      </c>
      <c r="AF135" s="12" t="s">
        <v>50</v>
      </c>
      <c r="AG135" s="12" t="s">
        <v>50</v>
      </c>
      <c r="AH135" s="19" t="s">
        <v>50</v>
      </c>
    </row>
    <row r="136" spans="2:34" ht="22.5" customHeight="1" x14ac:dyDescent="0.25">
      <c r="B136" s="18" t="s">
        <v>446</v>
      </c>
      <c r="C136" s="9" t="s">
        <v>174</v>
      </c>
      <c r="D136" s="10" t="s">
        <v>447</v>
      </c>
      <c r="E136" s="10"/>
      <c r="F136" s="10" t="s">
        <v>448</v>
      </c>
      <c r="G136" s="10" t="s">
        <v>449</v>
      </c>
      <c r="H136" s="10"/>
      <c r="I136" s="16" t="s">
        <v>459</v>
      </c>
      <c r="J136" s="10" t="s">
        <v>448</v>
      </c>
      <c r="K136" s="10" t="s">
        <v>451</v>
      </c>
      <c r="L136" s="10" t="s">
        <v>452</v>
      </c>
      <c r="M136" s="10">
        <v>201214316</v>
      </c>
      <c r="N136" s="10" t="s">
        <v>44</v>
      </c>
      <c r="O136" s="11">
        <v>1</v>
      </c>
      <c r="P136" s="11">
        <v>0</v>
      </c>
      <c r="Q136" s="11"/>
      <c r="R136" s="11"/>
      <c r="S136" s="12" t="s">
        <v>453</v>
      </c>
      <c r="T136" s="12" t="s">
        <v>50</v>
      </c>
      <c r="U136" s="12" t="s">
        <v>47</v>
      </c>
      <c r="V136" s="12" t="s">
        <v>48</v>
      </c>
      <c r="W136" s="12" t="s">
        <v>49</v>
      </c>
      <c r="X136" s="12" t="s">
        <v>50</v>
      </c>
      <c r="Y136" s="12" t="s">
        <v>50</v>
      </c>
      <c r="Z136" s="12" t="s">
        <v>50</v>
      </c>
      <c r="AA136" s="12" t="s">
        <v>50</v>
      </c>
      <c r="AB136" s="12" t="s">
        <v>50</v>
      </c>
      <c r="AC136" s="12" t="s">
        <v>50</v>
      </c>
      <c r="AD136" s="12" t="s">
        <v>50</v>
      </c>
      <c r="AE136" s="12" t="s">
        <v>50</v>
      </c>
      <c r="AF136" s="12" t="s">
        <v>50</v>
      </c>
      <c r="AG136" s="12" t="s">
        <v>50</v>
      </c>
      <c r="AH136" s="19" t="s">
        <v>50</v>
      </c>
    </row>
    <row r="137" spans="2:34" ht="22.5" customHeight="1" x14ac:dyDescent="0.25">
      <c r="B137" s="18" t="s">
        <v>446</v>
      </c>
      <c r="C137" s="9" t="s">
        <v>174</v>
      </c>
      <c r="D137" s="10" t="s">
        <v>447</v>
      </c>
      <c r="E137" s="10"/>
      <c r="F137" s="10" t="s">
        <v>448</v>
      </c>
      <c r="G137" s="10" t="s">
        <v>449</v>
      </c>
      <c r="H137" s="10"/>
      <c r="I137" s="16" t="s">
        <v>460</v>
      </c>
      <c r="J137" s="10" t="s">
        <v>448</v>
      </c>
      <c r="K137" s="10" t="s">
        <v>451</v>
      </c>
      <c r="L137" s="10" t="s">
        <v>452</v>
      </c>
      <c r="M137" s="10">
        <v>201006696</v>
      </c>
      <c r="N137" s="10" t="s">
        <v>44</v>
      </c>
      <c r="O137" s="11">
        <v>1</v>
      </c>
      <c r="P137" s="11">
        <v>0</v>
      </c>
      <c r="Q137" s="11"/>
      <c r="R137" s="11"/>
      <c r="S137" s="12" t="s">
        <v>453</v>
      </c>
      <c r="T137" s="12" t="s">
        <v>50</v>
      </c>
      <c r="U137" s="12" t="s">
        <v>47</v>
      </c>
      <c r="V137" s="12" t="s">
        <v>48</v>
      </c>
      <c r="W137" s="12" t="s">
        <v>49</v>
      </c>
      <c r="X137" s="12" t="s">
        <v>50</v>
      </c>
      <c r="Y137" s="12" t="s">
        <v>50</v>
      </c>
      <c r="Z137" s="12" t="s">
        <v>50</v>
      </c>
      <c r="AA137" s="12" t="s">
        <v>50</v>
      </c>
      <c r="AB137" s="12" t="s">
        <v>50</v>
      </c>
      <c r="AC137" s="12" t="s">
        <v>50</v>
      </c>
      <c r="AD137" s="12" t="s">
        <v>50</v>
      </c>
      <c r="AE137" s="12" t="s">
        <v>50</v>
      </c>
      <c r="AF137" s="12" t="s">
        <v>50</v>
      </c>
      <c r="AG137" s="12" t="s">
        <v>50</v>
      </c>
      <c r="AH137" s="19" t="s">
        <v>50</v>
      </c>
    </row>
    <row r="138" spans="2:34" ht="22.5" customHeight="1" x14ac:dyDescent="0.25">
      <c r="B138" s="18" t="s">
        <v>461</v>
      </c>
      <c r="C138" s="9" t="s">
        <v>462</v>
      </c>
      <c r="D138" s="10" t="s">
        <v>463</v>
      </c>
      <c r="E138" s="10"/>
      <c r="F138" s="10" t="s">
        <v>448</v>
      </c>
      <c r="G138" s="10" t="s">
        <v>449</v>
      </c>
      <c r="H138" s="10"/>
      <c r="I138" s="16" t="s">
        <v>464</v>
      </c>
      <c r="J138" s="10" t="s">
        <v>448</v>
      </c>
      <c r="K138" s="10" t="s">
        <v>451</v>
      </c>
      <c r="L138" s="10" t="s">
        <v>465</v>
      </c>
      <c r="M138" s="10">
        <v>100083261517</v>
      </c>
      <c r="N138" s="10" t="s">
        <v>466</v>
      </c>
      <c r="O138" s="11">
        <v>1</v>
      </c>
      <c r="P138" s="11">
        <v>0</v>
      </c>
      <c r="Q138" s="11"/>
      <c r="R138" s="11"/>
      <c r="S138" s="12" t="s">
        <v>453</v>
      </c>
      <c r="T138" s="12" t="s">
        <v>50</v>
      </c>
      <c r="U138" s="12" t="s">
        <v>47</v>
      </c>
      <c r="V138" s="12" t="s">
        <v>48</v>
      </c>
      <c r="W138" s="12" t="s">
        <v>49</v>
      </c>
      <c r="X138" s="12" t="s">
        <v>50</v>
      </c>
      <c r="Y138" s="12" t="s">
        <v>50</v>
      </c>
      <c r="Z138" s="12" t="s">
        <v>50</v>
      </c>
      <c r="AA138" s="12" t="s">
        <v>50</v>
      </c>
      <c r="AB138" s="12" t="s">
        <v>50</v>
      </c>
      <c r="AC138" s="12" t="s">
        <v>50</v>
      </c>
      <c r="AD138" s="12" t="s">
        <v>50</v>
      </c>
      <c r="AE138" s="12" t="s">
        <v>50</v>
      </c>
      <c r="AF138" s="12" t="s">
        <v>50</v>
      </c>
      <c r="AG138" s="12" t="s">
        <v>50</v>
      </c>
      <c r="AH138" s="19" t="s">
        <v>50</v>
      </c>
    </row>
    <row r="139" spans="2:34" ht="22.5" customHeight="1" x14ac:dyDescent="0.25">
      <c r="B139" s="18" t="s">
        <v>461</v>
      </c>
      <c r="C139" s="9" t="s">
        <v>462</v>
      </c>
      <c r="D139" s="10" t="s">
        <v>463</v>
      </c>
      <c r="E139" s="10"/>
      <c r="F139" s="10" t="s">
        <v>448</v>
      </c>
      <c r="G139" s="10" t="s">
        <v>449</v>
      </c>
      <c r="H139" s="10"/>
      <c r="I139" s="16" t="s">
        <v>467</v>
      </c>
      <c r="J139" s="10" t="s">
        <v>448</v>
      </c>
      <c r="K139" s="10" t="s">
        <v>451</v>
      </c>
      <c r="L139" s="10" t="s">
        <v>465</v>
      </c>
      <c r="M139" s="10">
        <v>100080071517</v>
      </c>
      <c r="N139" s="10" t="s">
        <v>466</v>
      </c>
      <c r="O139" s="11">
        <v>1</v>
      </c>
      <c r="P139" s="11">
        <v>0</v>
      </c>
      <c r="Q139" s="11"/>
      <c r="R139" s="11"/>
      <c r="S139" s="12" t="s">
        <v>453</v>
      </c>
      <c r="T139" s="12" t="s">
        <v>50</v>
      </c>
      <c r="U139" s="12" t="s">
        <v>47</v>
      </c>
      <c r="V139" s="12" t="s">
        <v>48</v>
      </c>
      <c r="W139" s="12" t="s">
        <v>49</v>
      </c>
      <c r="X139" s="12" t="s">
        <v>50</v>
      </c>
      <c r="Y139" s="12" t="s">
        <v>50</v>
      </c>
      <c r="Z139" s="12" t="s">
        <v>50</v>
      </c>
      <c r="AA139" s="12" t="s">
        <v>50</v>
      </c>
      <c r="AB139" s="12" t="s">
        <v>50</v>
      </c>
      <c r="AC139" s="12" t="s">
        <v>50</v>
      </c>
      <c r="AD139" s="12" t="s">
        <v>50</v>
      </c>
      <c r="AE139" s="12" t="s">
        <v>50</v>
      </c>
      <c r="AF139" s="12" t="s">
        <v>50</v>
      </c>
      <c r="AG139" s="12" t="s">
        <v>50</v>
      </c>
      <c r="AH139" s="19" t="s">
        <v>50</v>
      </c>
    </row>
    <row r="140" spans="2:34" ht="22.5" customHeight="1" x14ac:dyDescent="0.25">
      <c r="B140" s="18" t="s">
        <v>461</v>
      </c>
      <c r="C140" s="9" t="s">
        <v>462</v>
      </c>
      <c r="D140" s="10" t="s">
        <v>463</v>
      </c>
      <c r="E140" s="10"/>
      <c r="F140" s="10" t="s">
        <v>448</v>
      </c>
      <c r="G140" s="10" t="s">
        <v>449</v>
      </c>
      <c r="H140" s="10"/>
      <c r="I140" s="16" t="s">
        <v>468</v>
      </c>
      <c r="J140" s="10" t="s">
        <v>448</v>
      </c>
      <c r="K140" s="10" t="s">
        <v>451</v>
      </c>
      <c r="L140" s="10" t="s">
        <v>465</v>
      </c>
      <c r="M140" s="10">
        <v>0</v>
      </c>
      <c r="N140" s="10" t="s">
        <v>469</v>
      </c>
      <c r="O140" s="11">
        <v>1</v>
      </c>
      <c r="P140" s="11">
        <v>0</v>
      </c>
      <c r="Q140" s="11"/>
      <c r="R140" s="11"/>
      <c r="S140" s="12" t="s">
        <v>453</v>
      </c>
      <c r="T140" s="12" t="s">
        <v>50</v>
      </c>
      <c r="U140" s="12" t="s">
        <v>47</v>
      </c>
      <c r="V140" s="12" t="s">
        <v>48</v>
      </c>
      <c r="W140" s="12" t="s">
        <v>49</v>
      </c>
      <c r="X140" s="12" t="s">
        <v>50</v>
      </c>
      <c r="Y140" s="12" t="s">
        <v>50</v>
      </c>
      <c r="Z140" s="12" t="s">
        <v>50</v>
      </c>
      <c r="AA140" s="12" t="s">
        <v>50</v>
      </c>
      <c r="AB140" s="12" t="s">
        <v>50</v>
      </c>
      <c r="AC140" s="12" t="s">
        <v>50</v>
      </c>
      <c r="AD140" s="12" t="s">
        <v>50</v>
      </c>
      <c r="AE140" s="12" t="s">
        <v>50</v>
      </c>
      <c r="AF140" s="12" t="s">
        <v>50</v>
      </c>
      <c r="AG140" s="12" t="s">
        <v>50</v>
      </c>
      <c r="AH140" s="19" t="s">
        <v>50</v>
      </c>
    </row>
    <row r="141" spans="2:34" ht="22.5" customHeight="1" x14ac:dyDescent="0.25">
      <c r="B141" s="18" t="s">
        <v>470</v>
      </c>
      <c r="C141" s="9" t="s">
        <v>471</v>
      </c>
      <c r="D141" s="10" t="s">
        <v>472</v>
      </c>
      <c r="E141" s="10"/>
      <c r="F141" s="10" t="s">
        <v>448</v>
      </c>
      <c r="G141" s="10" t="s">
        <v>449</v>
      </c>
      <c r="H141" s="10"/>
      <c r="I141" s="16" t="s">
        <v>473</v>
      </c>
      <c r="J141" s="10" t="s">
        <v>448</v>
      </c>
      <c r="K141" s="10" t="s">
        <v>451</v>
      </c>
      <c r="L141" s="10" t="s">
        <v>452</v>
      </c>
      <c r="M141" s="10">
        <v>201112022</v>
      </c>
      <c r="N141" s="10" t="s">
        <v>474</v>
      </c>
      <c r="O141" s="11">
        <v>1</v>
      </c>
      <c r="P141" s="11">
        <v>0</v>
      </c>
      <c r="Q141" s="11"/>
      <c r="R141" s="11"/>
      <c r="S141" s="12" t="s">
        <v>453</v>
      </c>
      <c r="T141" s="12" t="s">
        <v>50</v>
      </c>
      <c r="U141" s="12" t="s">
        <v>47</v>
      </c>
      <c r="V141" s="12" t="s">
        <v>48</v>
      </c>
      <c r="W141" s="12" t="s">
        <v>49</v>
      </c>
      <c r="X141" s="12" t="s">
        <v>50</v>
      </c>
      <c r="Y141" s="12" t="s">
        <v>50</v>
      </c>
      <c r="Z141" s="12" t="s">
        <v>50</v>
      </c>
      <c r="AA141" s="12" t="s">
        <v>50</v>
      </c>
      <c r="AB141" s="12" t="s">
        <v>50</v>
      </c>
      <c r="AC141" s="12" t="s">
        <v>50</v>
      </c>
      <c r="AD141" s="12" t="s">
        <v>50</v>
      </c>
      <c r="AE141" s="12" t="s">
        <v>50</v>
      </c>
      <c r="AF141" s="12" t="s">
        <v>50</v>
      </c>
      <c r="AG141" s="12" t="s">
        <v>50</v>
      </c>
      <c r="AH141" s="19" t="s">
        <v>50</v>
      </c>
    </row>
    <row r="142" spans="2:34" ht="22.5" customHeight="1" x14ac:dyDescent="0.25">
      <c r="B142" s="18" t="s">
        <v>470</v>
      </c>
      <c r="C142" s="9" t="s">
        <v>471</v>
      </c>
      <c r="D142" s="10" t="s">
        <v>475</v>
      </c>
      <c r="E142" s="10"/>
      <c r="F142" s="10" t="s">
        <v>448</v>
      </c>
      <c r="G142" s="10" t="s">
        <v>449</v>
      </c>
      <c r="H142" s="10"/>
      <c r="I142" s="16" t="s">
        <v>476</v>
      </c>
      <c r="J142" s="10" t="s">
        <v>448</v>
      </c>
      <c r="K142" s="10" t="s">
        <v>451</v>
      </c>
      <c r="L142" s="10" t="s">
        <v>452</v>
      </c>
      <c r="M142" s="10">
        <v>201213163</v>
      </c>
      <c r="N142" s="10" t="s">
        <v>477</v>
      </c>
      <c r="O142" s="11">
        <v>1</v>
      </c>
      <c r="P142" s="11">
        <v>0</v>
      </c>
      <c r="Q142" s="11"/>
      <c r="R142" s="11"/>
      <c r="S142" s="12" t="s">
        <v>453</v>
      </c>
      <c r="T142" s="12" t="s">
        <v>50</v>
      </c>
      <c r="U142" s="12" t="s">
        <v>47</v>
      </c>
      <c r="V142" s="12" t="s">
        <v>48</v>
      </c>
      <c r="W142" s="12" t="s">
        <v>49</v>
      </c>
      <c r="X142" s="12" t="s">
        <v>50</v>
      </c>
      <c r="Y142" s="12" t="s">
        <v>50</v>
      </c>
      <c r="Z142" s="12" t="s">
        <v>50</v>
      </c>
      <c r="AA142" s="12" t="s">
        <v>50</v>
      </c>
      <c r="AB142" s="12" t="s">
        <v>50</v>
      </c>
      <c r="AC142" s="12" t="s">
        <v>50</v>
      </c>
      <c r="AD142" s="12" t="s">
        <v>50</v>
      </c>
      <c r="AE142" s="12" t="s">
        <v>50</v>
      </c>
      <c r="AF142" s="12" t="s">
        <v>50</v>
      </c>
      <c r="AG142" s="12" t="s">
        <v>50</v>
      </c>
      <c r="AH142" s="19" t="s">
        <v>50</v>
      </c>
    </row>
    <row r="143" spans="2:34" ht="22.5" customHeight="1" x14ac:dyDescent="0.25">
      <c r="B143" s="18" t="s">
        <v>470</v>
      </c>
      <c r="C143" s="9" t="s">
        <v>471</v>
      </c>
      <c r="D143" s="10" t="s">
        <v>478</v>
      </c>
      <c r="E143" s="10"/>
      <c r="F143" s="10" t="s">
        <v>448</v>
      </c>
      <c r="G143" s="10" t="s">
        <v>449</v>
      </c>
      <c r="H143" s="10"/>
      <c r="I143" s="16" t="s">
        <v>479</v>
      </c>
      <c r="J143" s="10" t="s">
        <v>448</v>
      </c>
      <c r="K143" s="10" t="s">
        <v>451</v>
      </c>
      <c r="L143" s="10" t="s">
        <v>452</v>
      </c>
      <c r="M143" s="10">
        <v>201213163</v>
      </c>
      <c r="N143" s="10" t="s">
        <v>477</v>
      </c>
      <c r="O143" s="11">
        <v>1</v>
      </c>
      <c r="P143" s="11">
        <v>0</v>
      </c>
      <c r="Q143" s="11"/>
      <c r="R143" s="11"/>
      <c r="S143" s="12" t="s">
        <v>453</v>
      </c>
      <c r="T143" s="12" t="s">
        <v>50</v>
      </c>
      <c r="U143" s="12" t="s">
        <v>47</v>
      </c>
      <c r="V143" s="12" t="s">
        <v>48</v>
      </c>
      <c r="W143" s="12" t="s">
        <v>49</v>
      </c>
      <c r="X143" s="12" t="s">
        <v>50</v>
      </c>
      <c r="Y143" s="12" t="s">
        <v>50</v>
      </c>
      <c r="Z143" s="12" t="s">
        <v>50</v>
      </c>
      <c r="AA143" s="12" t="s">
        <v>50</v>
      </c>
      <c r="AB143" s="12" t="s">
        <v>50</v>
      </c>
      <c r="AC143" s="12" t="s">
        <v>50</v>
      </c>
      <c r="AD143" s="12" t="s">
        <v>50</v>
      </c>
      <c r="AE143" s="12" t="s">
        <v>50</v>
      </c>
      <c r="AF143" s="12" t="s">
        <v>50</v>
      </c>
      <c r="AG143" s="12" t="s">
        <v>50</v>
      </c>
      <c r="AH143" s="19" t="s">
        <v>50</v>
      </c>
    </row>
    <row r="144" spans="2:34" ht="22.5" customHeight="1" x14ac:dyDescent="0.25">
      <c r="B144" s="18" t="s">
        <v>470</v>
      </c>
      <c r="C144" s="9" t="s">
        <v>480</v>
      </c>
      <c r="D144" s="10" t="s">
        <v>481</v>
      </c>
      <c r="E144" s="10"/>
      <c r="F144" s="10" t="s">
        <v>448</v>
      </c>
      <c r="G144" s="10" t="s">
        <v>449</v>
      </c>
      <c r="H144" s="10"/>
      <c r="I144" s="16" t="s">
        <v>482</v>
      </c>
      <c r="J144" s="10" t="s">
        <v>448</v>
      </c>
      <c r="K144" s="10" t="s">
        <v>451</v>
      </c>
      <c r="L144" s="10" t="s">
        <v>483</v>
      </c>
      <c r="M144" s="10" t="s">
        <v>484</v>
      </c>
      <c r="N144" s="10" t="s">
        <v>477</v>
      </c>
      <c r="O144" s="11">
        <v>1</v>
      </c>
      <c r="P144" s="11">
        <v>0</v>
      </c>
      <c r="Q144" s="11"/>
      <c r="R144" s="11"/>
      <c r="S144" s="12" t="s">
        <v>453</v>
      </c>
      <c r="T144" s="12" t="s">
        <v>50</v>
      </c>
      <c r="U144" s="12" t="s">
        <v>47</v>
      </c>
      <c r="V144" s="12" t="s">
        <v>48</v>
      </c>
      <c r="W144" s="12" t="s">
        <v>49</v>
      </c>
      <c r="X144" s="12" t="s">
        <v>50</v>
      </c>
      <c r="Y144" s="12" t="s">
        <v>50</v>
      </c>
      <c r="Z144" s="12" t="s">
        <v>50</v>
      </c>
      <c r="AA144" s="12" t="s">
        <v>50</v>
      </c>
      <c r="AB144" s="12" t="s">
        <v>50</v>
      </c>
      <c r="AC144" s="12" t="s">
        <v>50</v>
      </c>
      <c r="AD144" s="12" t="s">
        <v>50</v>
      </c>
      <c r="AE144" s="12" t="s">
        <v>50</v>
      </c>
      <c r="AF144" s="12" t="s">
        <v>50</v>
      </c>
      <c r="AG144" s="12" t="s">
        <v>50</v>
      </c>
      <c r="AH144" s="19" t="s">
        <v>50</v>
      </c>
    </row>
    <row r="145" spans="2:34" ht="22.5" customHeight="1" x14ac:dyDescent="0.25">
      <c r="B145" s="18" t="s">
        <v>470</v>
      </c>
      <c r="C145" s="9" t="s">
        <v>485</v>
      </c>
      <c r="D145" s="10" t="s">
        <v>486</v>
      </c>
      <c r="E145" s="10"/>
      <c r="F145" s="10" t="s">
        <v>448</v>
      </c>
      <c r="G145" s="10" t="s">
        <v>449</v>
      </c>
      <c r="H145" s="10"/>
      <c r="I145" s="16" t="s">
        <v>487</v>
      </c>
      <c r="J145" s="10" t="s">
        <v>448</v>
      </c>
      <c r="K145" s="10" t="s">
        <v>451</v>
      </c>
      <c r="L145" s="10" t="s">
        <v>452</v>
      </c>
      <c r="M145" s="10">
        <v>201112027</v>
      </c>
      <c r="N145" s="10" t="s">
        <v>474</v>
      </c>
      <c r="O145" s="11">
        <v>1</v>
      </c>
      <c r="P145" s="11">
        <v>0</v>
      </c>
      <c r="Q145" s="11"/>
      <c r="R145" s="11"/>
      <c r="S145" s="12" t="s">
        <v>453</v>
      </c>
      <c r="T145" s="12" t="s">
        <v>50</v>
      </c>
      <c r="U145" s="12" t="s">
        <v>47</v>
      </c>
      <c r="V145" s="12" t="s">
        <v>48</v>
      </c>
      <c r="W145" s="12" t="s">
        <v>49</v>
      </c>
      <c r="X145" s="12" t="s">
        <v>50</v>
      </c>
      <c r="Y145" s="12" t="s">
        <v>50</v>
      </c>
      <c r="Z145" s="12" t="s">
        <v>50</v>
      </c>
      <c r="AA145" s="12" t="s">
        <v>50</v>
      </c>
      <c r="AB145" s="12" t="s">
        <v>50</v>
      </c>
      <c r="AC145" s="12" t="s">
        <v>50</v>
      </c>
      <c r="AD145" s="12" t="s">
        <v>50</v>
      </c>
      <c r="AE145" s="12" t="s">
        <v>50</v>
      </c>
      <c r="AF145" s="12" t="s">
        <v>50</v>
      </c>
      <c r="AG145" s="12" t="s">
        <v>50</v>
      </c>
      <c r="AH145" s="19" t="s">
        <v>50</v>
      </c>
    </row>
    <row r="146" spans="2:34" ht="22.5" customHeight="1" x14ac:dyDescent="0.25">
      <c r="B146" s="18" t="s">
        <v>488</v>
      </c>
      <c r="C146" s="9" t="s">
        <v>471</v>
      </c>
      <c r="D146" s="10" t="s">
        <v>489</v>
      </c>
      <c r="E146" s="10"/>
      <c r="F146" s="10" t="s">
        <v>448</v>
      </c>
      <c r="G146" s="10" t="s">
        <v>449</v>
      </c>
      <c r="H146" s="10"/>
      <c r="I146" s="16" t="s">
        <v>490</v>
      </c>
      <c r="J146" s="10" t="s">
        <v>448</v>
      </c>
      <c r="K146" s="10" t="s">
        <v>451</v>
      </c>
      <c r="L146" s="10" t="s">
        <v>452</v>
      </c>
      <c r="M146" s="10">
        <v>201214310</v>
      </c>
      <c r="N146" s="10" t="s">
        <v>190</v>
      </c>
      <c r="O146" s="11">
        <v>1</v>
      </c>
      <c r="P146" s="11">
        <v>0</v>
      </c>
      <c r="Q146" s="11"/>
      <c r="R146" s="11"/>
      <c r="S146" s="12" t="s">
        <v>453</v>
      </c>
      <c r="T146" s="12" t="s">
        <v>50</v>
      </c>
      <c r="U146" s="12" t="s">
        <v>47</v>
      </c>
      <c r="V146" s="12" t="s">
        <v>48</v>
      </c>
      <c r="W146" s="12" t="s">
        <v>49</v>
      </c>
      <c r="X146" s="12" t="s">
        <v>50</v>
      </c>
      <c r="Y146" s="12" t="s">
        <v>50</v>
      </c>
      <c r="Z146" s="12" t="s">
        <v>50</v>
      </c>
      <c r="AA146" s="12" t="s">
        <v>50</v>
      </c>
      <c r="AB146" s="12" t="s">
        <v>50</v>
      </c>
      <c r="AC146" s="12" t="s">
        <v>50</v>
      </c>
      <c r="AD146" s="12" t="s">
        <v>50</v>
      </c>
      <c r="AE146" s="12" t="s">
        <v>50</v>
      </c>
      <c r="AF146" s="12" t="s">
        <v>50</v>
      </c>
      <c r="AG146" s="12" t="s">
        <v>50</v>
      </c>
      <c r="AH146" s="19" t="s">
        <v>50</v>
      </c>
    </row>
    <row r="147" spans="2:34" ht="22.5" customHeight="1" x14ac:dyDescent="0.25">
      <c r="B147" s="18" t="s">
        <v>491</v>
      </c>
      <c r="C147" s="9" t="s">
        <v>492</v>
      </c>
      <c r="D147" s="10" t="s">
        <v>493</v>
      </c>
      <c r="E147" s="10"/>
      <c r="F147" s="10" t="s">
        <v>448</v>
      </c>
      <c r="G147" s="10" t="s">
        <v>449</v>
      </c>
      <c r="H147" s="10"/>
      <c r="I147" s="16" t="s">
        <v>494</v>
      </c>
      <c r="J147" s="10" t="s">
        <v>448</v>
      </c>
      <c r="K147" s="10" t="s">
        <v>451</v>
      </c>
      <c r="L147" s="10" t="s">
        <v>452</v>
      </c>
      <c r="M147" s="10">
        <v>201214320</v>
      </c>
      <c r="N147" s="10" t="s">
        <v>190</v>
      </c>
      <c r="O147" s="11">
        <v>1</v>
      </c>
      <c r="P147" s="11">
        <v>0</v>
      </c>
      <c r="Q147" s="11"/>
      <c r="R147" s="11"/>
      <c r="S147" s="12" t="s">
        <v>453</v>
      </c>
      <c r="T147" s="12" t="s">
        <v>50</v>
      </c>
      <c r="U147" s="12" t="s">
        <v>47</v>
      </c>
      <c r="V147" s="12" t="s">
        <v>48</v>
      </c>
      <c r="W147" s="12" t="s">
        <v>49</v>
      </c>
      <c r="X147" s="12" t="s">
        <v>50</v>
      </c>
      <c r="Y147" s="12" t="s">
        <v>50</v>
      </c>
      <c r="Z147" s="12" t="s">
        <v>50</v>
      </c>
      <c r="AA147" s="12" t="s">
        <v>50</v>
      </c>
      <c r="AB147" s="12" t="s">
        <v>50</v>
      </c>
      <c r="AC147" s="12" t="s">
        <v>50</v>
      </c>
      <c r="AD147" s="12" t="s">
        <v>50</v>
      </c>
      <c r="AE147" s="12" t="s">
        <v>50</v>
      </c>
      <c r="AF147" s="12" t="s">
        <v>50</v>
      </c>
      <c r="AG147" s="12" t="s">
        <v>50</v>
      </c>
      <c r="AH147" s="19" t="s">
        <v>50</v>
      </c>
    </row>
    <row r="148" spans="2:34" ht="22.5" customHeight="1" x14ac:dyDescent="0.25">
      <c r="B148" s="18" t="s">
        <v>275</v>
      </c>
      <c r="C148" s="9" t="s">
        <v>462</v>
      </c>
      <c r="D148" s="10" t="s">
        <v>495</v>
      </c>
      <c r="E148" s="10"/>
      <c r="F148" s="10" t="s">
        <v>448</v>
      </c>
      <c r="G148" s="10" t="s">
        <v>449</v>
      </c>
      <c r="H148" s="10"/>
      <c r="I148" s="16" t="s">
        <v>496</v>
      </c>
      <c r="J148" s="10" t="s">
        <v>448</v>
      </c>
      <c r="K148" s="10" t="s">
        <v>451</v>
      </c>
      <c r="L148" s="10" t="s">
        <v>465</v>
      </c>
      <c r="M148" s="10">
        <v>100080161517</v>
      </c>
      <c r="N148" s="10" t="s">
        <v>466</v>
      </c>
      <c r="O148" s="11">
        <v>1</v>
      </c>
      <c r="P148" s="11">
        <v>0</v>
      </c>
      <c r="Q148" s="11"/>
      <c r="R148" s="11"/>
      <c r="S148" s="12" t="s">
        <v>453</v>
      </c>
      <c r="T148" s="12" t="s">
        <v>50</v>
      </c>
      <c r="U148" s="12" t="s">
        <v>47</v>
      </c>
      <c r="V148" s="12" t="s">
        <v>48</v>
      </c>
      <c r="W148" s="12" t="s">
        <v>49</v>
      </c>
      <c r="X148" s="12" t="s">
        <v>50</v>
      </c>
      <c r="Y148" s="12" t="s">
        <v>50</v>
      </c>
      <c r="Z148" s="12" t="s">
        <v>50</v>
      </c>
      <c r="AA148" s="12" t="s">
        <v>50</v>
      </c>
      <c r="AB148" s="12" t="s">
        <v>50</v>
      </c>
      <c r="AC148" s="12" t="s">
        <v>50</v>
      </c>
      <c r="AD148" s="12" t="s">
        <v>50</v>
      </c>
      <c r="AE148" s="12" t="s">
        <v>50</v>
      </c>
      <c r="AF148" s="12" t="s">
        <v>50</v>
      </c>
      <c r="AG148" s="12" t="s">
        <v>50</v>
      </c>
      <c r="AH148" s="19" t="s">
        <v>50</v>
      </c>
    </row>
    <row r="149" spans="2:34" ht="22.5" customHeight="1" x14ac:dyDescent="0.25">
      <c r="B149" s="18" t="s">
        <v>275</v>
      </c>
      <c r="C149" s="9" t="s">
        <v>497</v>
      </c>
      <c r="D149" s="10" t="s">
        <v>498</v>
      </c>
      <c r="E149" s="10"/>
      <c r="F149" s="10" t="s">
        <v>448</v>
      </c>
      <c r="G149" s="10" t="s">
        <v>449</v>
      </c>
      <c r="H149" s="10"/>
      <c r="I149" s="16" t="s">
        <v>499</v>
      </c>
      <c r="J149" s="10" t="s">
        <v>448</v>
      </c>
      <c r="K149" s="10" t="s">
        <v>451</v>
      </c>
      <c r="L149" s="10" t="s">
        <v>500</v>
      </c>
      <c r="M149" s="10">
        <v>21100083301019</v>
      </c>
      <c r="N149" s="10" t="s">
        <v>190</v>
      </c>
      <c r="O149" s="11">
        <v>1</v>
      </c>
      <c r="P149" s="11">
        <v>0</v>
      </c>
      <c r="Q149" s="11"/>
      <c r="R149" s="11"/>
      <c r="S149" s="12" t="s">
        <v>453</v>
      </c>
      <c r="T149" s="12" t="s">
        <v>50</v>
      </c>
      <c r="U149" s="12" t="s">
        <v>47</v>
      </c>
      <c r="V149" s="12" t="s">
        <v>48</v>
      </c>
      <c r="W149" s="12" t="s">
        <v>49</v>
      </c>
      <c r="X149" s="12" t="s">
        <v>50</v>
      </c>
      <c r="Y149" s="12" t="s">
        <v>50</v>
      </c>
      <c r="Z149" s="12" t="s">
        <v>50</v>
      </c>
      <c r="AA149" s="12" t="s">
        <v>50</v>
      </c>
      <c r="AB149" s="12" t="s">
        <v>50</v>
      </c>
      <c r="AC149" s="12" t="s">
        <v>50</v>
      </c>
      <c r="AD149" s="12" t="s">
        <v>50</v>
      </c>
      <c r="AE149" s="12" t="s">
        <v>50</v>
      </c>
      <c r="AF149" s="12" t="s">
        <v>50</v>
      </c>
      <c r="AG149" s="12" t="s">
        <v>50</v>
      </c>
      <c r="AH149" s="19" t="s">
        <v>50</v>
      </c>
    </row>
    <row r="150" spans="2:34" ht="22.5" customHeight="1" x14ac:dyDescent="0.25">
      <c r="B150" s="18" t="s">
        <v>501</v>
      </c>
      <c r="C150" s="9" t="s">
        <v>174</v>
      </c>
      <c r="D150" s="10" t="s">
        <v>502</v>
      </c>
      <c r="E150" s="10"/>
      <c r="F150" s="10" t="s">
        <v>448</v>
      </c>
      <c r="G150" s="10" t="s">
        <v>449</v>
      </c>
      <c r="H150" s="10"/>
      <c r="I150" s="16" t="s">
        <v>503</v>
      </c>
      <c r="J150" s="10" t="s">
        <v>448</v>
      </c>
      <c r="K150" s="10" t="s">
        <v>451</v>
      </c>
      <c r="L150" s="10" t="s">
        <v>452</v>
      </c>
      <c r="M150" s="10">
        <v>201216029</v>
      </c>
      <c r="N150" s="10" t="s">
        <v>477</v>
      </c>
      <c r="O150" s="11">
        <v>1</v>
      </c>
      <c r="P150" s="11">
        <v>0</v>
      </c>
      <c r="Q150" s="11"/>
      <c r="R150" s="11"/>
      <c r="S150" s="12" t="s">
        <v>453</v>
      </c>
      <c r="T150" s="12" t="s">
        <v>50</v>
      </c>
      <c r="U150" s="12" t="s">
        <v>47</v>
      </c>
      <c r="V150" s="12" t="s">
        <v>48</v>
      </c>
      <c r="W150" s="12" t="s">
        <v>49</v>
      </c>
      <c r="X150" s="12" t="s">
        <v>50</v>
      </c>
      <c r="Y150" s="12" t="s">
        <v>50</v>
      </c>
      <c r="Z150" s="12" t="s">
        <v>50</v>
      </c>
      <c r="AA150" s="12" t="s">
        <v>50</v>
      </c>
      <c r="AB150" s="12" t="s">
        <v>50</v>
      </c>
      <c r="AC150" s="12" t="s">
        <v>50</v>
      </c>
      <c r="AD150" s="12" t="s">
        <v>50</v>
      </c>
      <c r="AE150" s="12" t="s">
        <v>50</v>
      </c>
      <c r="AF150" s="12" t="s">
        <v>50</v>
      </c>
      <c r="AG150" s="12" t="s">
        <v>50</v>
      </c>
      <c r="AH150" s="19" t="s">
        <v>50</v>
      </c>
    </row>
    <row r="151" spans="2:34" ht="22.5" customHeight="1" x14ac:dyDescent="0.25">
      <c r="B151" s="18" t="s">
        <v>501</v>
      </c>
      <c r="C151" s="9" t="s">
        <v>174</v>
      </c>
      <c r="D151" s="10" t="s">
        <v>502</v>
      </c>
      <c r="E151" s="10"/>
      <c r="F151" s="10" t="s">
        <v>448</v>
      </c>
      <c r="G151" s="10" t="s">
        <v>449</v>
      </c>
      <c r="H151" s="10"/>
      <c r="I151" s="16" t="s">
        <v>504</v>
      </c>
      <c r="J151" s="10" t="s">
        <v>448</v>
      </c>
      <c r="K151" s="10" t="s">
        <v>451</v>
      </c>
      <c r="L151" s="10" t="s">
        <v>465</v>
      </c>
      <c r="M151" s="10">
        <v>0</v>
      </c>
      <c r="N151" s="10" t="s">
        <v>505</v>
      </c>
      <c r="O151" s="11">
        <v>1</v>
      </c>
      <c r="P151" s="11">
        <v>0</v>
      </c>
      <c r="Q151" s="11"/>
      <c r="R151" s="11"/>
      <c r="S151" s="12" t="s">
        <v>453</v>
      </c>
      <c r="T151" s="12" t="s">
        <v>50</v>
      </c>
      <c r="U151" s="12" t="s">
        <v>47</v>
      </c>
      <c r="V151" s="12" t="s">
        <v>48</v>
      </c>
      <c r="W151" s="12" t="s">
        <v>49</v>
      </c>
      <c r="X151" s="12" t="s">
        <v>50</v>
      </c>
      <c r="Y151" s="12" t="s">
        <v>50</v>
      </c>
      <c r="Z151" s="12" t="s">
        <v>50</v>
      </c>
      <c r="AA151" s="12" t="s">
        <v>50</v>
      </c>
      <c r="AB151" s="12" t="s">
        <v>50</v>
      </c>
      <c r="AC151" s="12" t="s">
        <v>50</v>
      </c>
      <c r="AD151" s="12" t="s">
        <v>50</v>
      </c>
      <c r="AE151" s="12" t="s">
        <v>50</v>
      </c>
      <c r="AF151" s="12" t="s">
        <v>50</v>
      </c>
      <c r="AG151" s="12" t="s">
        <v>50</v>
      </c>
      <c r="AH151" s="19" t="s">
        <v>50</v>
      </c>
    </row>
    <row r="152" spans="2:34" ht="22.5" customHeight="1" x14ac:dyDescent="0.25">
      <c r="B152" s="18" t="s">
        <v>501</v>
      </c>
      <c r="C152" s="9" t="s">
        <v>174</v>
      </c>
      <c r="D152" s="10" t="s">
        <v>502</v>
      </c>
      <c r="E152" s="10"/>
      <c r="F152" s="10" t="s">
        <v>448</v>
      </c>
      <c r="G152" s="10" t="s">
        <v>449</v>
      </c>
      <c r="H152" s="10"/>
      <c r="I152" s="16" t="s">
        <v>506</v>
      </c>
      <c r="J152" s="10" t="s">
        <v>448</v>
      </c>
      <c r="K152" s="10" t="s">
        <v>451</v>
      </c>
      <c r="L152" s="10" t="s">
        <v>465</v>
      </c>
      <c r="M152" s="10">
        <v>0</v>
      </c>
      <c r="N152" s="10" t="s">
        <v>505</v>
      </c>
      <c r="O152" s="11">
        <v>1</v>
      </c>
      <c r="P152" s="11">
        <v>0</v>
      </c>
      <c r="Q152" s="11"/>
      <c r="R152" s="11"/>
      <c r="S152" s="12" t="s">
        <v>453</v>
      </c>
      <c r="T152" s="12" t="s">
        <v>50</v>
      </c>
      <c r="U152" s="12" t="s">
        <v>47</v>
      </c>
      <c r="V152" s="12" t="s">
        <v>48</v>
      </c>
      <c r="W152" s="12" t="s">
        <v>49</v>
      </c>
      <c r="X152" s="12" t="s">
        <v>50</v>
      </c>
      <c r="Y152" s="12" t="s">
        <v>50</v>
      </c>
      <c r="Z152" s="12" t="s">
        <v>50</v>
      </c>
      <c r="AA152" s="12" t="s">
        <v>50</v>
      </c>
      <c r="AB152" s="12" t="s">
        <v>50</v>
      </c>
      <c r="AC152" s="12" t="s">
        <v>50</v>
      </c>
      <c r="AD152" s="12" t="s">
        <v>50</v>
      </c>
      <c r="AE152" s="12" t="s">
        <v>50</v>
      </c>
      <c r="AF152" s="12" t="s">
        <v>50</v>
      </c>
      <c r="AG152" s="12" t="s">
        <v>50</v>
      </c>
      <c r="AH152" s="19" t="s">
        <v>50</v>
      </c>
    </row>
    <row r="153" spans="2:34" ht="22.5" customHeight="1" x14ac:dyDescent="0.25">
      <c r="B153" s="18" t="s">
        <v>501</v>
      </c>
      <c r="C153" s="9" t="s">
        <v>174</v>
      </c>
      <c r="D153" s="10" t="s">
        <v>502</v>
      </c>
      <c r="E153" s="10"/>
      <c r="F153" s="10" t="s">
        <v>448</v>
      </c>
      <c r="G153" s="10" t="s">
        <v>449</v>
      </c>
      <c r="H153" s="10"/>
      <c r="I153" s="16" t="s">
        <v>507</v>
      </c>
      <c r="J153" s="10" t="s">
        <v>448</v>
      </c>
      <c r="K153" s="10" t="s">
        <v>451</v>
      </c>
      <c r="L153" s="10" t="s">
        <v>465</v>
      </c>
      <c r="M153" s="10">
        <v>0</v>
      </c>
      <c r="N153" s="10" t="s">
        <v>505</v>
      </c>
      <c r="O153" s="11">
        <v>1</v>
      </c>
      <c r="P153" s="11">
        <v>0</v>
      </c>
      <c r="Q153" s="11"/>
      <c r="R153" s="11"/>
      <c r="S153" s="12" t="s">
        <v>453</v>
      </c>
      <c r="T153" s="12" t="s">
        <v>50</v>
      </c>
      <c r="U153" s="12" t="s">
        <v>47</v>
      </c>
      <c r="V153" s="12" t="s">
        <v>48</v>
      </c>
      <c r="W153" s="12" t="s">
        <v>49</v>
      </c>
      <c r="X153" s="12" t="s">
        <v>50</v>
      </c>
      <c r="Y153" s="12" t="s">
        <v>50</v>
      </c>
      <c r="Z153" s="12" t="s">
        <v>50</v>
      </c>
      <c r="AA153" s="12" t="s">
        <v>50</v>
      </c>
      <c r="AB153" s="12" t="s">
        <v>50</v>
      </c>
      <c r="AC153" s="12" t="s">
        <v>50</v>
      </c>
      <c r="AD153" s="12" t="s">
        <v>50</v>
      </c>
      <c r="AE153" s="12" t="s">
        <v>50</v>
      </c>
      <c r="AF153" s="12" t="s">
        <v>50</v>
      </c>
      <c r="AG153" s="12" t="s">
        <v>50</v>
      </c>
      <c r="AH153" s="19" t="s">
        <v>50</v>
      </c>
    </row>
    <row r="154" spans="2:34" ht="22.5" customHeight="1" x14ac:dyDescent="0.25">
      <c r="B154" s="18" t="s">
        <v>501</v>
      </c>
      <c r="C154" s="9" t="s">
        <v>174</v>
      </c>
      <c r="D154" s="10" t="s">
        <v>502</v>
      </c>
      <c r="E154" s="10"/>
      <c r="F154" s="10" t="s">
        <v>448</v>
      </c>
      <c r="G154" s="10" t="s">
        <v>449</v>
      </c>
      <c r="H154" s="10"/>
      <c r="I154" s="16" t="s">
        <v>508</v>
      </c>
      <c r="J154" s="10" t="s">
        <v>448</v>
      </c>
      <c r="K154" s="10" t="s">
        <v>451</v>
      </c>
      <c r="L154" s="10" t="s">
        <v>465</v>
      </c>
      <c r="M154" s="10">
        <v>0</v>
      </c>
      <c r="N154" s="10" t="s">
        <v>505</v>
      </c>
      <c r="O154" s="11">
        <v>1</v>
      </c>
      <c r="P154" s="11">
        <v>0</v>
      </c>
      <c r="Q154" s="11"/>
      <c r="R154" s="11"/>
      <c r="S154" s="12" t="s">
        <v>453</v>
      </c>
      <c r="T154" s="12" t="s">
        <v>50</v>
      </c>
      <c r="U154" s="12" t="s">
        <v>47</v>
      </c>
      <c r="V154" s="12" t="s">
        <v>48</v>
      </c>
      <c r="W154" s="12" t="s">
        <v>49</v>
      </c>
      <c r="X154" s="12" t="s">
        <v>50</v>
      </c>
      <c r="Y154" s="12" t="s">
        <v>50</v>
      </c>
      <c r="Z154" s="12" t="s">
        <v>50</v>
      </c>
      <c r="AA154" s="12" t="s">
        <v>50</v>
      </c>
      <c r="AB154" s="12" t="s">
        <v>50</v>
      </c>
      <c r="AC154" s="12" t="s">
        <v>50</v>
      </c>
      <c r="AD154" s="12" t="s">
        <v>50</v>
      </c>
      <c r="AE154" s="12" t="s">
        <v>50</v>
      </c>
      <c r="AF154" s="12" t="s">
        <v>50</v>
      </c>
      <c r="AG154" s="12" t="s">
        <v>50</v>
      </c>
      <c r="AH154" s="19" t="s">
        <v>50</v>
      </c>
    </row>
    <row r="155" spans="2:34" ht="22.5" customHeight="1" x14ac:dyDescent="0.25">
      <c r="B155" s="18" t="s">
        <v>501</v>
      </c>
      <c r="C155" s="9" t="s">
        <v>174</v>
      </c>
      <c r="D155" s="10" t="s">
        <v>509</v>
      </c>
      <c r="E155" s="10"/>
      <c r="F155" s="10" t="s">
        <v>448</v>
      </c>
      <c r="G155" s="10" t="s">
        <v>449</v>
      </c>
      <c r="H155" s="10"/>
      <c r="I155" s="16" t="s">
        <v>510</v>
      </c>
      <c r="J155" s="10" t="s">
        <v>448</v>
      </c>
      <c r="K155" s="10" t="s">
        <v>451</v>
      </c>
      <c r="L155" s="10" t="s">
        <v>465</v>
      </c>
      <c r="M155" s="10">
        <v>0</v>
      </c>
      <c r="N155" s="10" t="s">
        <v>505</v>
      </c>
      <c r="O155" s="11">
        <v>1</v>
      </c>
      <c r="P155" s="11">
        <v>0</v>
      </c>
      <c r="Q155" s="11"/>
      <c r="R155" s="11"/>
      <c r="S155" s="12" t="s">
        <v>453</v>
      </c>
      <c r="T155" s="12" t="s">
        <v>50</v>
      </c>
      <c r="U155" s="12" t="s">
        <v>47</v>
      </c>
      <c r="V155" s="12" t="s">
        <v>48</v>
      </c>
      <c r="W155" s="12" t="s">
        <v>49</v>
      </c>
      <c r="X155" s="12" t="s">
        <v>50</v>
      </c>
      <c r="Y155" s="12" t="s">
        <v>50</v>
      </c>
      <c r="Z155" s="12" t="s">
        <v>50</v>
      </c>
      <c r="AA155" s="12" t="s">
        <v>50</v>
      </c>
      <c r="AB155" s="12" t="s">
        <v>50</v>
      </c>
      <c r="AC155" s="12" t="s">
        <v>50</v>
      </c>
      <c r="AD155" s="12" t="s">
        <v>50</v>
      </c>
      <c r="AE155" s="12" t="s">
        <v>50</v>
      </c>
      <c r="AF155" s="12" t="s">
        <v>50</v>
      </c>
      <c r="AG155" s="12" t="s">
        <v>50</v>
      </c>
      <c r="AH155" s="19" t="s">
        <v>50</v>
      </c>
    </row>
    <row r="156" spans="2:34" ht="22.5" customHeight="1" x14ac:dyDescent="0.25">
      <c r="B156" s="18" t="s">
        <v>501</v>
      </c>
      <c r="C156" s="9" t="s">
        <v>174</v>
      </c>
      <c r="D156" s="10" t="s">
        <v>511</v>
      </c>
      <c r="E156" s="10"/>
      <c r="F156" s="10" t="s">
        <v>448</v>
      </c>
      <c r="G156" s="10" t="s">
        <v>449</v>
      </c>
      <c r="H156" s="10"/>
      <c r="I156" s="16">
        <v>4865</v>
      </c>
      <c r="J156" s="10" t="s">
        <v>448</v>
      </c>
      <c r="K156" s="10" t="s">
        <v>451</v>
      </c>
      <c r="L156" s="10" t="s">
        <v>465</v>
      </c>
      <c r="M156" s="10">
        <v>0</v>
      </c>
      <c r="N156" s="10" t="s">
        <v>505</v>
      </c>
      <c r="O156" s="11">
        <v>1</v>
      </c>
      <c r="P156" s="11">
        <v>0</v>
      </c>
      <c r="Q156" s="11"/>
      <c r="R156" s="11"/>
      <c r="S156" s="12" t="s">
        <v>453</v>
      </c>
      <c r="T156" s="12" t="s">
        <v>50</v>
      </c>
      <c r="U156" s="12" t="s">
        <v>47</v>
      </c>
      <c r="V156" s="12" t="s">
        <v>48</v>
      </c>
      <c r="W156" s="12" t="s">
        <v>49</v>
      </c>
      <c r="X156" s="12" t="s">
        <v>50</v>
      </c>
      <c r="Y156" s="12" t="s">
        <v>50</v>
      </c>
      <c r="Z156" s="12" t="s">
        <v>50</v>
      </c>
      <c r="AA156" s="12" t="s">
        <v>50</v>
      </c>
      <c r="AB156" s="12" t="s">
        <v>50</v>
      </c>
      <c r="AC156" s="12" t="s">
        <v>50</v>
      </c>
      <c r="AD156" s="12" t="s">
        <v>50</v>
      </c>
      <c r="AE156" s="12" t="s">
        <v>50</v>
      </c>
      <c r="AF156" s="12" t="s">
        <v>50</v>
      </c>
      <c r="AG156" s="12" t="s">
        <v>50</v>
      </c>
      <c r="AH156" s="19" t="s">
        <v>50</v>
      </c>
    </row>
    <row r="157" spans="2:34" ht="22.5" customHeight="1" x14ac:dyDescent="0.25">
      <c r="B157" s="18" t="s">
        <v>501</v>
      </c>
      <c r="C157" s="9" t="s">
        <v>174</v>
      </c>
      <c r="D157" s="10" t="s">
        <v>512</v>
      </c>
      <c r="E157" s="10"/>
      <c r="F157" s="10" t="s">
        <v>448</v>
      </c>
      <c r="G157" s="10" t="s">
        <v>449</v>
      </c>
      <c r="H157" s="10"/>
      <c r="I157" s="16" t="s">
        <v>513</v>
      </c>
      <c r="J157" s="10" t="s">
        <v>448</v>
      </c>
      <c r="K157" s="10" t="s">
        <v>451</v>
      </c>
      <c r="L157" s="10" t="s">
        <v>465</v>
      </c>
      <c r="M157" s="10">
        <v>0</v>
      </c>
      <c r="N157" s="10" t="s">
        <v>514</v>
      </c>
      <c r="O157" s="11">
        <v>1</v>
      </c>
      <c r="P157" s="11">
        <v>0</v>
      </c>
      <c r="Q157" s="11"/>
      <c r="R157" s="11"/>
      <c r="S157" s="12" t="s">
        <v>453</v>
      </c>
      <c r="T157" s="12" t="s">
        <v>50</v>
      </c>
      <c r="U157" s="12" t="s">
        <v>47</v>
      </c>
      <c r="V157" s="12" t="s">
        <v>48</v>
      </c>
      <c r="W157" s="12" t="s">
        <v>49</v>
      </c>
      <c r="X157" s="12" t="s">
        <v>50</v>
      </c>
      <c r="Y157" s="12" t="s">
        <v>50</v>
      </c>
      <c r="Z157" s="12" t="s">
        <v>50</v>
      </c>
      <c r="AA157" s="12" t="s">
        <v>50</v>
      </c>
      <c r="AB157" s="12" t="s">
        <v>50</v>
      </c>
      <c r="AC157" s="12" t="s">
        <v>50</v>
      </c>
      <c r="AD157" s="12" t="s">
        <v>50</v>
      </c>
      <c r="AE157" s="12" t="s">
        <v>50</v>
      </c>
      <c r="AF157" s="12" t="s">
        <v>50</v>
      </c>
      <c r="AG157" s="12" t="s">
        <v>50</v>
      </c>
      <c r="AH157" s="19" t="s">
        <v>50</v>
      </c>
    </row>
    <row r="158" spans="2:34" ht="22.5" customHeight="1" x14ac:dyDescent="0.25">
      <c r="B158" s="18" t="s">
        <v>501</v>
      </c>
      <c r="C158" s="9" t="s">
        <v>174</v>
      </c>
      <c r="D158" s="10" t="s">
        <v>515</v>
      </c>
      <c r="E158" s="10"/>
      <c r="F158" s="10" t="s">
        <v>448</v>
      </c>
      <c r="G158" s="10" t="s">
        <v>449</v>
      </c>
      <c r="H158" s="10"/>
      <c r="I158" s="16" t="s">
        <v>516</v>
      </c>
      <c r="J158" s="10" t="s">
        <v>448</v>
      </c>
      <c r="K158" s="10" t="s">
        <v>451</v>
      </c>
      <c r="L158" s="10" t="s">
        <v>465</v>
      </c>
      <c r="M158" s="10">
        <v>0</v>
      </c>
      <c r="N158" s="10" t="s">
        <v>514</v>
      </c>
      <c r="O158" s="11">
        <v>1</v>
      </c>
      <c r="P158" s="11">
        <v>0</v>
      </c>
      <c r="Q158" s="11"/>
      <c r="R158" s="11"/>
      <c r="S158" s="12" t="s">
        <v>453</v>
      </c>
      <c r="T158" s="12" t="s">
        <v>50</v>
      </c>
      <c r="U158" s="12" t="s">
        <v>47</v>
      </c>
      <c r="V158" s="12" t="s">
        <v>48</v>
      </c>
      <c r="W158" s="12" t="s">
        <v>49</v>
      </c>
      <c r="X158" s="12" t="s">
        <v>50</v>
      </c>
      <c r="Y158" s="12" t="s">
        <v>50</v>
      </c>
      <c r="Z158" s="12" t="s">
        <v>50</v>
      </c>
      <c r="AA158" s="12" t="s">
        <v>50</v>
      </c>
      <c r="AB158" s="12" t="s">
        <v>50</v>
      </c>
      <c r="AC158" s="12" t="s">
        <v>50</v>
      </c>
      <c r="AD158" s="12" t="s">
        <v>50</v>
      </c>
      <c r="AE158" s="12" t="s">
        <v>50</v>
      </c>
      <c r="AF158" s="12" t="s">
        <v>50</v>
      </c>
      <c r="AG158" s="12" t="s">
        <v>50</v>
      </c>
      <c r="AH158" s="19" t="s">
        <v>50</v>
      </c>
    </row>
    <row r="159" spans="2:34" ht="22.5" customHeight="1" x14ac:dyDescent="0.25">
      <c r="B159" s="18" t="s">
        <v>517</v>
      </c>
      <c r="C159" s="9" t="s">
        <v>518</v>
      </c>
      <c r="D159" s="10" t="s">
        <v>519</v>
      </c>
      <c r="E159" s="10"/>
      <c r="F159" s="10" t="s">
        <v>448</v>
      </c>
      <c r="G159" s="10" t="s">
        <v>449</v>
      </c>
      <c r="H159" s="10"/>
      <c r="I159" s="16" t="s">
        <v>520</v>
      </c>
      <c r="J159" s="10" t="s">
        <v>448</v>
      </c>
      <c r="K159" s="10" t="s">
        <v>451</v>
      </c>
      <c r="L159" s="10" t="s">
        <v>452</v>
      </c>
      <c r="M159" s="10">
        <v>201408224</v>
      </c>
      <c r="N159" s="10" t="s">
        <v>474</v>
      </c>
      <c r="O159" s="11">
        <v>1</v>
      </c>
      <c r="P159" s="11">
        <v>0</v>
      </c>
      <c r="Q159" s="11"/>
      <c r="R159" s="11"/>
      <c r="S159" s="12" t="s">
        <v>453</v>
      </c>
      <c r="T159" s="12" t="s">
        <v>50</v>
      </c>
      <c r="U159" s="12" t="s">
        <v>47</v>
      </c>
      <c r="V159" s="12" t="s">
        <v>48</v>
      </c>
      <c r="W159" s="12" t="s">
        <v>49</v>
      </c>
      <c r="X159" s="12" t="s">
        <v>50</v>
      </c>
      <c r="Y159" s="12" t="s">
        <v>50</v>
      </c>
      <c r="Z159" s="12" t="s">
        <v>50</v>
      </c>
      <c r="AA159" s="12" t="s">
        <v>50</v>
      </c>
      <c r="AB159" s="12" t="s">
        <v>50</v>
      </c>
      <c r="AC159" s="12" t="s">
        <v>50</v>
      </c>
      <c r="AD159" s="12" t="s">
        <v>50</v>
      </c>
      <c r="AE159" s="12" t="s">
        <v>50</v>
      </c>
      <c r="AF159" s="12" t="s">
        <v>50</v>
      </c>
      <c r="AG159" s="12" t="s">
        <v>50</v>
      </c>
      <c r="AH159" s="19" t="s">
        <v>50</v>
      </c>
    </row>
    <row r="160" spans="2:34" ht="22.5" customHeight="1" x14ac:dyDescent="0.25">
      <c r="B160" s="18" t="s">
        <v>517</v>
      </c>
      <c r="C160" s="9" t="s">
        <v>518</v>
      </c>
      <c r="D160" s="10" t="s">
        <v>521</v>
      </c>
      <c r="E160" s="10"/>
      <c r="F160" s="10" t="s">
        <v>448</v>
      </c>
      <c r="G160" s="10" t="s">
        <v>449</v>
      </c>
      <c r="H160" s="10"/>
      <c r="I160" s="16" t="s">
        <v>522</v>
      </c>
      <c r="J160" s="10" t="s">
        <v>448</v>
      </c>
      <c r="K160" s="10" t="s">
        <v>451</v>
      </c>
      <c r="L160" s="10" t="s">
        <v>452</v>
      </c>
      <c r="M160" s="10">
        <v>201501307</v>
      </c>
      <c r="N160" s="10" t="s">
        <v>190</v>
      </c>
      <c r="O160" s="11">
        <v>1</v>
      </c>
      <c r="P160" s="11">
        <v>0</v>
      </c>
      <c r="Q160" s="11"/>
      <c r="R160" s="11"/>
      <c r="S160" s="12" t="s">
        <v>453</v>
      </c>
      <c r="T160" s="12" t="s">
        <v>50</v>
      </c>
      <c r="U160" s="12" t="s">
        <v>47</v>
      </c>
      <c r="V160" s="12" t="s">
        <v>48</v>
      </c>
      <c r="W160" s="12" t="s">
        <v>49</v>
      </c>
      <c r="X160" s="12" t="s">
        <v>50</v>
      </c>
      <c r="Y160" s="12" t="s">
        <v>50</v>
      </c>
      <c r="Z160" s="12" t="s">
        <v>50</v>
      </c>
      <c r="AA160" s="12" t="s">
        <v>50</v>
      </c>
      <c r="AB160" s="12" t="s">
        <v>50</v>
      </c>
      <c r="AC160" s="12" t="s">
        <v>50</v>
      </c>
      <c r="AD160" s="12" t="s">
        <v>50</v>
      </c>
      <c r="AE160" s="12" t="s">
        <v>50</v>
      </c>
      <c r="AF160" s="12" t="s">
        <v>50</v>
      </c>
      <c r="AG160" s="12" t="s">
        <v>50</v>
      </c>
      <c r="AH160" s="19" t="s">
        <v>50</v>
      </c>
    </row>
    <row r="161" spans="2:34" ht="22.5" customHeight="1" x14ac:dyDescent="0.25">
      <c r="B161" s="18" t="s">
        <v>517</v>
      </c>
      <c r="C161" s="9" t="s">
        <v>518</v>
      </c>
      <c r="D161" s="10" t="s">
        <v>523</v>
      </c>
      <c r="E161" s="10"/>
      <c r="F161" s="10" t="s">
        <v>448</v>
      </c>
      <c r="G161" s="10" t="s">
        <v>449</v>
      </c>
      <c r="H161" s="10"/>
      <c r="I161" s="16" t="s">
        <v>524</v>
      </c>
      <c r="J161" s="10" t="s">
        <v>448</v>
      </c>
      <c r="K161" s="10" t="s">
        <v>451</v>
      </c>
      <c r="L161" s="10" t="s">
        <v>525</v>
      </c>
      <c r="M161" s="10">
        <v>201406739</v>
      </c>
      <c r="N161" s="10" t="s">
        <v>474</v>
      </c>
      <c r="O161" s="11">
        <v>1</v>
      </c>
      <c r="P161" s="11">
        <v>0</v>
      </c>
      <c r="Q161" s="11"/>
      <c r="R161" s="11"/>
      <c r="S161" s="12" t="s">
        <v>453</v>
      </c>
      <c r="T161" s="12" t="s">
        <v>50</v>
      </c>
      <c r="U161" s="12" t="s">
        <v>47</v>
      </c>
      <c r="V161" s="12" t="s">
        <v>48</v>
      </c>
      <c r="W161" s="12" t="s">
        <v>49</v>
      </c>
      <c r="X161" s="12" t="s">
        <v>50</v>
      </c>
      <c r="Y161" s="12" t="s">
        <v>50</v>
      </c>
      <c r="Z161" s="12" t="s">
        <v>50</v>
      </c>
      <c r="AA161" s="12" t="s">
        <v>50</v>
      </c>
      <c r="AB161" s="12" t="s">
        <v>50</v>
      </c>
      <c r="AC161" s="12" t="s">
        <v>50</v>
      </c>
      <c r="AD161" s="12" t="s">
        <v>50</v>
      </c>
      <c r="AE161" s="12" t="s">
        <v>50</v>
      </c>
      <c r="AF161" s="12" t="s">
        <v>50</v>
      </c>
      <c r="AG161" s="12" t="s">
        <v>50</v>
      </c>
      <c r="AH161" s="19" t="s">
        <v>50</v>
      </c>
    </row>
    <row r="162" spans="2:34" ht="22.5" customHeight="1" x14ac:dyDescent="0.25">
      <c r="B162" s="18" t="s">
        <v>517</v>
      </c>
      <c r="C162" s="9" t="s">
        <v>471</v>
      </c>
      <c r="D162" s="10" t="s">
        <v>526</v>
      </c>
      <c r="E162" s="10"/>
      <c r="F162" s="10" t="s">
        <v>448</v>
      </c>
      <c r="G162" s="10" t="s">
        <v>449</v>
      </c>
      <c r="H162" s="10"/>
      <c r="I162" s="16" t="s">
        <v>527</v>
      </c>
      <c r="J162" s="10" t="s">
        <v>448</v>
      </c>
      <c r="K162" s="10" t="s">
        <v>451</v>
      </c>
      <c r="L162" s="10" t="s">
        <v>452</v>
      </c>
      <c r="M162" s="10">
        <v>201302221</v>
      </c>
      <c r="N162" s="10" t="s">
        <v>190</v>
      </c>
      <c r="O162" s="11">
        <v>1</v>
      </c>
      <c r="P162" s="11">
        <v>0</v>
      </c>
      <c r="Q162" s="11"/>
      <c r="R162" s="11"/>
      <c r="S162" s="12" t="s">
        <v>453</v>
      </c>
      <c r="T162" s="12" t="s">
        <v>50</v>
      </c>
      <c r="U162" s="12" t="s">
        <v>47</v>
      </c>
      <c r="V162" s="12" t="s">
        <v>48</v>
      </c>
      <c r="W162" s="12" t="s">
        <v>49</v>
      </c>
      <c r="X162" s="12" t="s">
        <v>50</v>
      </c>
      <c r="Y162" s="12" t="s">
        <v>50</v>
      </c>
      <c r="Z162" s="12" t="s">
        <v>50</v>
      </c>
      <c r="AA162" s="12" t="s">
        <v>50</v>
      </c>
      <c r="AB162" s="12" t="s">
        <v>50</v>
      </c>
      <c r="AC162" s="12" t="s">
        <v>50</v>
      </c>
      <c r="AD162" s="12" t="s">
        <v>50</v>
      </c>
      <c r="AE162" s="12" t="s">
        <v>50</v>
      </c>
      <c r="AF162" s="12" t="s">
        <v>50</v>
      </c>
      <c r="AG162" s="12" t="s">
        <v>50</v>
      </c>
      <c r="AH162" s="19" t="s">
        <v>50</v>
      </c>
    </row>
    <row r="163" spans="2:34" ht="22.5" customHeight="1" x14ac:dyDescent="0.25">
      <c r="B163" s="18" t="s">
        <v>528</v>
      </c>
      <c r="C163" s="9" t="s">
        <v>471</v>
      </c>
      <c r="D163" s="10" t="s">
        <v>529</v>
      </c>
      <c r="E163" s="10"/>
      <c r="F163" s="10" t="s">
        <v>448</v>
      </c>
      <c r="G163" s="10" t="s">
        <v>449</v>
      </c>
      <c r="H163" s="10"/>
      <c r="I163" s="16" t="s">
        <v>530</v>
      </c>
      <c r="J163" s="10" t="s">
        <v>448</v>
      </c>
      <c r="K163" s="10" t="s">
        <v>451</v>
      </c>
      <c r="L163" s="10" t="s">
        <v>452</v>
      </c>
      <c r="M163" s="10">
        <v>201503374</v>
      </c>
      <c r="N163" s="10" t="s">
        <v>190</v>
      </c>
      <c r="O163" s="11">
        <v>1</v>
      </c>
      <c r="P163" s="11">
        <v>0</v>
      </c>
      <c r="Q163" s="11"/>
      <c r="R163" s="11"/>
      <c r="S163" s="12" t="s">
        <v>453</v>
      </c>
      <c r="T163" s="12" t="s">
        <v>50</v>
      </c>
      <c r="U163" s="12" t="s">
        <v>47</v>
      </c>
      <c r="V163" s="12" t="s">
        <v>48</v>
      </c>
      <c r="W163" s="12" t="s">
        <v>49</v>
      </c>
      <c r="X163" s="12" t="s">
        <v>50</v>
      </c>
      <c r="Y163" s="12" t="s">
        <v>50</v>
      </c>
      <c r="Z163" s="12" t="s">
        <v>50</v>
      </c>
      <c r="AA163" s="12" t="s">
        <v>50</v>
      </c>
      <c r="AB163" s="12" t="s">
        <v>50</v>
      </c>
      <c r="AC163" s="12" t="s">
        <v>50</v>
      </c>
      <c r="AD163" s="12" t="s">
        <v>50</v>
      </c>
      <c r="AE163" s="12" t="s">
        <v>50</v>
      </c>
      <c r="AF163" s="12" t="s">
        <v>50</v>
      </c>
      <c r="AG163" s="12" t="s">
        <v>50</v>
      </c>
      <c r="AH163" s="19" t="s">
        <v>50</v>
      </c>
    </row>
    <row r="164" spans="2:34" ht="22.5" customHeight="1" x14ac:dyDescent="0.25">
      <c r="B164" s="18" t="s">
        <v>528</v>
      </c>
      <c r="C164" s="9" t="s">
        <v>471</v>
      </c>
      <c r="D164" s="10" t="s">
        <v>531</v>
      </c>
      <c r="E164" s="10"/>
      <c r="F164" s="10" t="s">
        <v>448</v>
      </c>
      <c r="G164" s="10" t="s">
        <v>449</v>
      </c>
      <c r="H164" s="10"/>
      <c r="I164" s="16" t="s">
        <v>532</v>
      </c>
      <c r="J164" s="10" t="s">
        <v>448</v>
      </c>
      <c r="K164" s="10" t="s">
        <v>451</v>
      </c>
      <c r="L164" s="10" t="s">
        <v>452</v>
      </c>
      <c r="M164" s="10">
        <v>201513281</v>
      </c>
      <c r="N164" s="10" t="s">
        <v>190</v>
      </c>
      <c r="O164" s="11">
        <v>1</v>
      </c>
      <c r="P164" s="11">
        <v>0</v>
      </c>
      <c r="Q164" s="11"/>
      <c r="R164" s="11"/>
      <c r="S164" s="12" t="s">
        <v>453</v>
      </c>
      <c r="T164" s="12" t="s">
        <v>50</v>
      </c>
      <c r="U164" s="12" t="s">
        <v>47</v>
      </c>
      <c r="V164" s="12" t="s">
        <v>48</v>
      </c>
      <c r="W164" s="12" t="s">
        <v>49</v>
      </c>
      <c r="X164" s="12" t="s">
        <v>50</v>
      </c>
      <c r="Y164" s="12" t="s">
        <v>50</v>
      </c>
      <c r="Z164" s="12" t="s">
        <v>50</v>
      </c>
      <c r="AA164" s="12" t="s">
        <v>50</v>
      </c>
      <c r="AB164" s="12" t="s">
        <v>50</v>
      </c>
      <c r="AC164" s="12" t="s">
        <v>50</v>
      </c>
      <c r="AD164" s="12" t="s">
        <v>50</v>
      </c>
      <c r="AE164" s="12" t="s">
        <v>50</v>
      </c>
      <c r="AF164" s="12" t="s">
        <v>50</v>
      </c>
      <c r="AG164" s="12" t="s">
        <v>50</v>
      </c>
      <c r="AH164" s="19" t="s">
        <v>50</v>
      </c>
    </row>
    <row r="165" spans="2:34" ht="22.5" customHeight="1" x14ac:dyDescent="0.25">
      <c r="B165" s="18" t="s">
        <v>368</v>
      </c>
      <c r="C165" s="9" t="s">
        <v>533</v>
      </c>
      <c r="D165" s="10" t="s">
        <v>534</v>
      </c>
      <c r="E165" s="10"/>
      <c r="F165" s="10" t="s">
        <v>448</v>
      </c>
      <c r="G165" s="10" t="s">
        <v>449</v>
      </c>
      <c r="H165" s="10"/>
      <c r="I165" s="16" t="s">
        <v>535</v>
      </c>
      <c r="J165" s="10" t="s">
        <v>448</v>
      </c>
      <c r="K165" s="10" t="s">
        <v>451</v>
      </c>
      <c r="L165" s="10" t="s">
        <v>465</v>
      </c>
      <c r="M165" s="10">
        <v>100008112117</v>
      </c>
      <c r="N165" s="10" t="s">
        <v>536</v>
      </c>
      <c r="O165" s="11">
        <v>1</v>
      </c>
      <c r="P165" s="11">
        <v>0</v>
      </c>
      <c r="Q165" s="11"/>
      <c r="R165" s="11"/>
      <c r="S165" s="12" t="s">
        <v>453</v>
      </c>
      <c r="T165" s="12" t="s">
        <v>50</v>
      </c>
      <c r="U165" s="12" t="s">
        <v>47</v>
      </c>
      <c r="V165" s="12" t="s">
        <v>48</v>
      </c>
      <c r="W165" s="12" t="s">
        <v>49</v>
      </c>
      <c r="X165" s="12" t="s">
        <v>50</v>
      </c>
      <c r="Y165" s="12" t="s">
        <v>50</v>
      </c>
      <c r="Z165" s="12" t="s">
        <v>50</v>
      </c>
      <c r="AA165" s="12" t="s">
        <v>50</v>
      </c>
      <c r="AB165" s="12" t="s">
        <v>50</v>
      </c>
      <c r="AC165" s="12" t="s">
        <v>50</v>
      </c>
      <c r="AD165" s="12" t="s">
        <v>50</v>
      </c>
      <c r="AE165" s="12" t="s">
        <v>50</v>
      </c>
      <c r="AF165" s="12" t="s">
        <v>50</v>
      </c>
      <c r="AG165" s="12" t="s">
        <v>50</v>
      </c>
      <c r="AH165" s="19" t="s">
        <v>50</v>
      </c>
    </row>
    <row r="166" spans="2:34" ht="22.5" customHeight="1" x14ac:dyDescent="0.25">
      <c r="B166" s="18" t="s">
        <v>368</v>
      </c>
      <c r="C166" s="9" t="s">
        <v>537</v>
      </c>
      <c r="D166" s="10" t="s">
        <v>538</v>
      </c>
      <c r="E166" s="10"/>
      <c r="F166" s="10" t="s">
        <v>448</v>
      </c>
      <c r="G166" s="10" t="s">
        <v>449</v>
      </c>
      <c r="H166" s="10"/>
      <c r="I166" s="16" t="s">
        <v>539</v>
      </c>
      <c r="J166" s="10" t="s">
        <v>448</v>
      </c>
      <c r="K166" s="10" t="s">
        <v>451</v>
      </c>
      <c r="L166" s="10" t="s">
        <v>465</v>
      </c>
      <c r="M166" s="10">
        <v>100011252117</v>
      </c>
      <c r="N166" s="10" t="s">
        <v>540</v>
      </c>
      <c r="O166" s="11">
        <v>1</v>
      </c>
      <c r="P166" s="11">
        <v>0</v>
      </c>
      <c r="Q166" s="11"/>
      <c r="R166" s="11"/>
      <c r="S166" s="12" t="s">
        <v>453</v>
      </c>
      <c r="T166" s="12" t="s">
        <v>50</v>
      </c>
      <c r="U166" s="12" t="s">
        <v>47</v>
      </c>
      <c r="V166" s="12" t="s">
        <v>48</v>
      </c>
      <c r="W166" s="12" t="s">
        <v>49</v>
      </c>
      <c r="X166" s="12" t="s">
        <v>50</v>
      </c>
      <c r="Y166" s="12" t="s">
        <v>50</v>
      </c>
      <c r="Z166" s="12" t="s">
        <v>50</v>
      </c>
      <c r="AA166" s="12" t="s">
        <v>50</v>
      </c>
      <c r="AB166" s="12" t="s">
        <v>50</v>
      </c>
      <c r="AC166" s="12" t="s">
        <v>50</v>
      </c>
      <c r="AD166" s="12" t="s">
        <v>50</v>
      </c>
      <c r="AE166" s="12" t="s">
        <v>50</v>
      </c>
      <c r="AF166" s="12" t="s">
        <v>50</v>
      </c>
      <c r="AG166" s="12" t="s">
        <v>50</v>
      </c>
      <c r="AH166" s="19" t="s">
        <v>50</v>
      </c>
    </row>
    <row r="167" spans="2:34" ht="22.5" customHeight="1" x14ac:dyDescent="0.25">
      <c r="B167" s="18" t="s">
        <v>368</v>
      </c>
      <c r="C167" s="9" t="s">
        <v>537</v>
      </c>
      <c r="D167" s="10" t="s">
        <v>541</v>
      </c>
      <c r="E167" s="10"/>
      <c r="F167" s="10" t="s">
        <v>448</v>
      </c>
      <c r="G167" s="10" t="s">
        <v>449</v>
      </c>
      <c r="H167" s="10"/>
      <c r="I167" s="16" t="s">
        <v>542</v>
      </c>
      <c r="J167" s="10" t="s">
        <v>448</v>
      </c>
      <c r="K167" s="10" t="s">
        <v>451</v>
      </c>
      <c r="L167" s="10" t="s">
        <v>465</v>
      </c>
      <c r="M167" s="10">
        <v>100014202217</v>
      </c>
      <c r="N167" s="10" t="s">
        <v>540</v>
      </c>
      <c r="O167" s="11">
        <v>1</v>
      </c>
      <c r="P167" s="11">
        <v>0</v>
      </c>
      <c r="Q167" s="11"/>
      <c r="R167" s="11"/>
      <c r="S167" s="12" t="s">
        <v>453</v>
      </c>
      <c r="T167" s="12" t="s">
        <v>50</v>
      </c>
      <c r="U167" s="12" t="s">
        <v>47</v>
      </c>
      <c r="V167" s="12" t="s">
        <v>48</v>
      </c>
      <c r="W167" s="12" t="s">
        <v>49</v>
      </c>
      <c r="X167" s="12" t="s">
        <v>50</v>
      </c>
      <c r="Y167" s="12" t="s">
        <v>50</v>
      </c>
      <c r="Z167" s="12" t="s">
        <v>50</v>
      </c>
      <c r="AA167" s="12" t="s">
        <v>50</v>
      </c>
      <c r="AB167" s="12" t="s">
        <v>50</v>
      </c>
      <c r="AC167" s="12" t="s">
        <v>50</v>
      </c>
      <c r="AD167" s="12" t="s">
        <v>50</v>
      </c>
      <c r="AE167" s="12" t="s">
        <v>50</v>
      </c>
      <c r="AF167" s="12" t="s">
        <v>50</v>
      </c>
      <c r="AG167" s="12" t="s">
        <v>50</v>
      </c>
      <c r="AH167" s="19" t="s">
        <v>50</v>
      </c>
    </row>
    <row r="168" spans="2:34" ht="22.5" customHeight="1" x14ac:dyDescent="0.25">
      <c r="B168" s="18" t="s">
        <v>368</v>
      </c>
      <c r="C168" s="9" t="s">
        <v>537</v>
      </c>
      <c r="D168" s="10" t="s">
        <v>543</v>
      </c>
      <c r="E168" s="10"/>
      <c r="F168" s="10" t="s">
        <v>448</v>
      </c>
      <c r="G168" s="10" t="s">
        <v>449</v>
      </c>
      <c r="H168" s="10"/>
      <c r="I168" s="16" t="s">
        <v>544</v>
      </c>
      <c r="J168" s="10" t="s">
        <v>448</v>
      </c>
      <c r="K168" s="10" t="s">
        <v>451</v>
      </c>
      <c r="L168" s="10" t="s">
        <v>465</v>
      </c>
      <c r="M168" s="10">
        <v>100014222217</v>
      </c>
      <c r="N168" s="10" t="s">
        <v>545</v>
      </c>
      <c r="O168" s="11">
        <v>1</v>
      </c>
      <c r="P168" s="11">
        <v>0</v>
      </c>
      <c r="Q168" s="11"/>
      <c r="R168" s="11"/>
      <c r="S168" s="12" t="s">
        <v>453</v>
      </c>
      <c r="T168" s="12" t="s">
        <v>50</v>
      </c>
      <c r="U168" s="12" t="s">
        <v>47</v>
      </c>
      <c r="V168" s="12" t="s">
        <v>48</v>
      </c>
      <c r="W168" s="12" t="s">
        <v>49</v>
      </c>
      <c r="X168" s="12" t="s">
        <v>50</v>
      </c>
      <c r="Y168" s="12" t="s">
        <v>50</v>
      </c>
      <c r="Z168" s="12" t="s">
        <v>50</v>
      </c>
      <c r="AA168" s="12" t="s">
        <v>50</v>
      </c>
      <c r="AB168" s="12" t="s">
        <v>50</v>
      </c>
      <c r="AC168" s="12" t="s">
        <v>50</v>
      </c>
      <c r="AD168" s="12" t="s">
        <v>50</v>
      </c>
      <c r="AE168" s="12" t="s">
        <v>50</v>
      </c>
      <c r="AF168" s="12" t="s">
        <v>50</v>
      </c>
      <c r="AG168" s="12" t="s">
        <v>50</v>
      </c>
      <c r="AH168" s="19" t="s">
        <v>50</v>
      </c>
    </row>
    <row r="169" spans="2:34" ht="22.5" customHeight="1" x14ac:dyDescent="0.25">
      <c r="B169" s="18" t="s">
        <v>368</v>
      </c>
      <c r="C169" s="9" t="s">
        <v>537</v>
      </c>
      <c r="D169" s="10" t="s">
        <v>546</v>
      </c>
      <c r="E169" s="10"/>
      <c r="F169" s="10" t="s">
        <v>448</v>
      </c>
      <c r="G169" s="10" t="s">
        <v>449</v>
      </c>
      <c r="H169" s="10"/>
      <c r="I169" s="16" t="s">
        <v>547</v>
      </c>
      <c r="J169" s="10" t="s">
        <v>448</v>
      </c>
      <c r="K169" s="10" t="s">
        <v>451</v>
      </c>
      <c r="L169" s="10" t="s">
        <v>465</v>
      </c>
      <c r="M169" s="10">
        <v>100014252217</v>
      </c>
      <c r="N169" s="10" t="s">
        <v>540</v>
      </c>
      <c r="O169" s="11">
        <v>1</v>
      </c>
      <c r="P169" s="11">
        <v>0</v>
      </c>
      <c r="Q169" s="11"/>
      <c r="R169" s="11"/>
      <c r="S169" s="12" t="s">
        <v>453</v>
      </c>
      <c r="T169" s="12" t="s">
        <v>50</v>
      </c>
      <c r="U169" s="12" t="s">
        <v>47</v>
      </c>
      <c r="V169" s="12" t="s">
        <v>48</v>
      </c>
      <c r="W169" s="12" t="s">
        <v>49</v>
      </c>
      <c r="X169" s="12" t="s">
        <v>50</v>
      </c>
      <c r="Y169" s="12" t="s">
        <v>50</v>
      </c>
      <c r="Z169" s="12" t="s">
        <v>50</v>
      </c>
      <c r="AA169" s="12" t="s">
        <v>50</v>
      </c>
      <c r="AB169" s="12" t="s">
        <v>50</v>
      </c>
      <c r="AC169" s="12" t="s">
        <v>50</v>
      </c>
      <c r="AD169" s="12" t="s">
        <v>50</v>
      </c>
      <c r="AE169" s="12" t="s">
        <v>50</v>
      </c>
      <c r="AF169" s="12" t="s">
        <v>50</v>
      </c>
      <c r="AG169" s="12" t="s">
        <v>50</v>
      </c>
      <c r="AH169" s="19" t="s">
        <v>50</v>
      </c>
    </row>
    <row r="170" spans="2:34" ht="22.5" customHeight="1" x14ac:dyDescent="0.25">
      <c r="B170" s="18" t="s">
        <v>368</v>
      </c>
      <c r="C170" s="9" t="s">
        <v>537</v>
      </c>
      <c r="D170" s="10" t="s">
        <v>548</v>
      </c>
      <c r="E170" s="10"/>
      <c r="F170" s="10" t="s">
        <v>448</v>
      </c>
      <c r="G170" s="10" t="s">
        <v>449</v>
      </c>
      <c r="H170" s="10"/>
      <c r="I170" s="16" t="s">
        <v>549</v>
      </c>
      <c r="J170" s="10" t="s">
        <v>448</v>
      </c>
      <c r="K170" s="10" t="s">
        <v>451</v>
      </c>
      <c r="L170" s="10" t="s">
        <v>465</v>
      </c>
      <c r="M170" s="10">
        <v>100014262217</v>
      </c>
      <c r="N170" s="10" t="s">
        <v>545</v>
      </c>
      <c r="O170" s="11">
        <v>1</v>
      </c>
      <c r="P170" s="11">
        <v>0</v>
      </c>
      <c r="Q170" s="11"/>
      <c r="R170" s="11"/>
      <c r="S170" s="12" t="s">
        <v>453</v>
      </c>
      <c r="T170" s="12" t="s">
        <v>50</v>
      </c>
      <c r="U170" s="12" t="s">
        <v>47</v>
      </c>
      <c r="V170" s="12" t="s">
        <v>48</v>
      </c>
      <c r="W170" s="12" t="s">
        <v>49</v>
      </c>
      <c r="X170" s="12" t="s">
        <v>50</v>
      </c>
      <c r="Y170" s="12" t="s">
        <v>50</v>
      </c>
      <c r="Z170" s="12" t="s">
        <v>50</v>
      </c>
      <c r="AA170" s="12" t="s">
        <v>50</v>
      </c>
      <c r="AB170" s="12" t="s">
        <v>50</v>
      </c>
      <c r="AC170" s="12" t="s">
        <v>50</v>
      </c>
      <c r="AD170" s="12" t="s">
        <v>50</v>
      </c>
      <c r="AE170" s="12" t="s">
        <v>50</v>
      </c>
      <c r="AF170" s="12" t="s">
        <v>50</v>
      </c>
      <c r="AG170" s="12" t="s">
        <v>50</v>
      </c>
      <c r="AH170" s="19" t="s">
        <v>50</v>
      </c>
    </row>
    <row r="171" spans="2:34" ht="22.5" customHeight="1" x14ac:dyDescent="0.25">
      <c r="B171" s="18" t="s">
        <v>368</v>
      </c>
      <c r="C171" s="9" t="s">
        <v>537</v>
      </c>
      <c r="D171" s="10" t="s">
        <v>550</v>
      </c>
      <c r="E171" s="10"/>
      <c r="F171" s="10" t="s">
        <v>448</v>
      </c>
      <c r="G171" s="10" t="s">
        <v>449</v>
      </c>
      <c r="H171" s="10"/>
      <c r="I171" s="16" t="s">
        <v>551</v>
      </c>
      <c r="J171" s="10" t="s">
        <v>448</v>
      </c>
      <c r="K171" s="10" t="s">
        <v>451</v>
      </c>
      <c r="L171" s="10" t="s">
        <v>465</v>
      </c>
      <c r="M171" s="10">
        <v>100014272217</v>
      </c>
      <c r="N171" s="10" t="s">
        <v>540</v>
      </c>
      <c r="O171" s="11">
        <v>1</v>
      </c>
      <c r="P171" s="11">
        <v>0</v>
      </c>
      <c r="Q171" s="11"/>
      <c r="R171" s="11"/>
      <c r="S171" s="12" t="s">
        <v>453</v>
      </c>
      <c r="T171" s="12" t="s">
        <v>50</v>
      </c>
      <c r="U171" s="12" t="s">
        <v>47</v>
      </c>
      <c r="V171" s="12" t="s">
        <v>48</v>
      </c>
      <c r="W171" s="12" t="s">
        <v>49</v>
      </c>
      <c r="X171" s="12" t="s">
        <v>50</v>
      </c>
      <c r="Y171" s="12" t="s">
        <v>50</v>
      </c>
      <c r="Z171" s="12" t="s">
        <v>50</v>
      </c>
      <c r="AA171" s="12" t="s">
        <v>50</v>
      </c>
      <c r="AB171" s="12" t="s">
        <v>50</v>
      </c>
      <c r="AC171" s="12" t="s">
        <v>50</v>
      </c>
      <c r="AD171" s="12" t="s">
        <v>50</v>
      </c>
      <c r="AE171" s="12" t="s">
        <v>50</v>
      </c>
      <c r="AF171" s="12" t="s">
        <v>50</v>
      </c>
      <c r="AG171" s="12" t="s">
        <v>50</v>
      </c>
      <c r="AH171" s="19" t="s">
        <v>50</v>
      </c>
    </row>
    <row r="172" spans="2:34" ht="22.5" customHeight="1" x14ac:dyDescent="0.25">
      <c r="B172" s="18" t="s">
        <v>368</v>
      </c>
      <c r="C172" s="9" t="s">
        <v>537</v>
      </c>
      <c r="D172" s="10" t="s">
        <v>552</v>
      </c>
      <c r="E172" s="10"/>
      <c r="F172" s="10" t="s">
        <v>448</v>
      </c>
      <c r="G172" s="10" t="s">
        <v>449</v>
      </c>
      <c r="H172" s="10"/>
      <c r="I172" s="16" t="s">
        <v>553</v>
      </c>
      <c r="J172" s="10" t="s">
        <v>448</v>
      </c>
      <c r="K172" s="10" t="s">
        <v>451</v>
      </c>
      <c r="L172" s="10" t="s">
        <v>465</v>
      </c>
      <c r="M172" s="10">
        <v>100014282217</v>
      </c>
      <c r="N172" s="10" t="s">
        <v>545</v>
      </c>
      <c r="O172" s="11">
        <v>1</v>
      </c>
      <c r="P172" s="11">
        <v>0</v>
      </c>
      <c r="Q172" s="11"/>
      <c r="R172" s="11"/>
      <c r="S172" s="12" t="s">
        <v>453</v>
      </c>
      <c r="T172" s="12" t="s">
        <v>50</v>
      </c>
      <c r="U172" s="12" t="s">
        <v>47</v>
      </c>
      <c r="V172" s="12" t="s">
        <v>48</v>
      </c>
      <c r="W172" s="12" t="s">
        <v>49</v>
      </c>
      <c r="X172" s="12" t="s">
        <v>50</v>
      </c>
      <c r="Y172" s="12" t="s">
        <v>50</v>
      </c>
      <c r="Z172" s="12" t="s">
        <v>50</v>
      </c>
      <c r="AA172" s="12" t="s">
        <v>50</v>
      </c>
      <c r="AB172" s="12" t="s">
        <v>50</v>
      </c>
      <c r="AC172" s="12" t="s">
        <v>50</v>
      </c>
      <c r="AD172" s="12" t="s">
        <v>50</v>
      </c>
      <c r="AE172" s="12" t="s">
        <v>50</v>
      </c>
      <c r="AF172" s="12" t="s">
        <v>50</v>
      </c>
      <c r="AG172" s="12" t="s">
        <v>50</v>
      </c>
      <c r="AH172" s="19" t="s">
        <v>50</v>
      </c>
    </row>
    <row r="173" spans="2:34" ht="22.5" customHeight="1" x14ac:dyDescent="0.25">
      <c r="B173" s="18" t="s">
        <v>368</v>
      </c>
      <c r="C173" s="9" t="s">
        <v>537</v>
      </c>
      <c r="D173" s="10" t="s">
        <v>554</v>
      </c>
      <c r="E173" s="10"/>
      <c r="F173" s="10" t="s">
        <v>448</v>
      </c>
      <c r="G173" s="10" t="s">
        <v>449</v>
      </c>
      <c r="H173" s="10"/>
      <c r="I173" s="16" t="s">
        <v>555</v>
      </c>
      <c r="J173" s="10" t="s">
        <v>448</v>
      </c>
      <c r="K173" s="10" t="s">
        <v>451</v>
      </c>
      <c r="L173" s="10" t="s">
        <v>465</v>
      </c>
      <c r="M173" s="10">
        <v>100016912317</v>
      </c>
      <c r="N173" s="10" t="s">
        <v>545</v>
      </c>
      <c r="O173" s="11">
        <v>1</v>
      </c>
      <c r="P173" s="11">
        <v>0</v>
      </c>
      <c r="Q173" s="11"/>
      <c r="R173" s="11"/>
      <c r="S173" s="12" t="s">
        <v>453</v>
      </c>
      <c r="T173" s="12" t="s">
        <v>50</v>
      </c>
      <c r="U173" s="12" t="s">
        <v>47</v>
      </c>
      <c r="V173" s="12" t="s">
        <v>48</v>
      </c>
      <c r="W173" s="12" t="s">
        <v>49</v>
      </c>
      <c r="X173" s="12" t="s">
        <v>50</v>
      </c>
      <c r="Y173" s="12" t="s">
        <v>50</v>
      </c>
      <c r="Z173" s="12" t="s">
        <v>50</v>
      </c>
      <c r="AA173" s="12" t="s">
        <v>50</v>
      </c>
      <c r="AB173" s="12" t="s">
        <v>50</v>
      </c>
      <c r="AC173" s="12" t="s">
        <v>50</v>
      </c>
      <c r="AD173" s="12" t="s">
        <v>50</v>
      </c>
      <c r="AE173" s="12" t="s">
        <v>50</v>
      </c>
      <c r="AF173" s="12" t="s">
        <v>50</v>
      </c>
      <c r="AG173" s="12" t="s">
        <v>50</v>
      </c>
      <c r="AH173" s="19" t="s">
        <v>50</v>
      </c>
    </row>
    <row r="174" spans="2:34" ht="22.5" customHeight="1" x14ac:dyDescent="0.25">
      <c r="B174" s="18" t="s">
        <v>368</v>
      </c>
      <c r="C174" s="9" t="s">
        <v>537</v>
      </c>
      <c r="D174" s="10" t="s">
        <v>556</v>
      </c>
      <c r="E174" s="10"/>
      <c r="F174" s="10" t="s">
        <v>448</v>
      </c>
      <c r="G174" s="10" t="s">
        <v>449</v>
      </c>
      <c r="H174" s="10"/>
      <c r="I174" s="16" t="s">
        <v>557</v>
      </c>
      <c r="J174" s="10" t="s">
        <v>448</v>
      </c>
      <c r="K174" s="10" t="s">
        <v>451</v>
      </c>
      <c r="L174" s="10" t="s">
        <v>465</v>
      </c>
      <c r="M174" s="10">
        <v>100017012317</v>
      </c>
      <c r="N174" s="10" t="s">
        <v>540</v>
      </c>
      <c r="O174" s="11">
        <v>1</v>
      </c>
      <c r="P174" s="11">
        <v>0</v>
      </c>
      <c r="Q174" s="11"/>
      <c r="R174" s="11"/>
      <c r="S174" s="12" t="s">
        <v>453</v>
      </c>
      <c r="T174" s="12" t="s">
        <v>50</v>
      </c>
      <c r="U174" s="12" t="s">
        <v>47</v>
      </c>
      <c r="V174" s="12" t="s">
        <v>48</v>
      </c>
      <c r="W174" s="12" t="s">
        <v>49</v>
      </c>
      <c r="X174" s="12" t="s">
        <v>50</v>
      </c>
      <c r="Y174" s="12" t="s">
        <v>50</v>
      </c>
      <c r="Z174" s="12" t="s">
        <v>50</v>
      </c>
      <c r="AA174" s="12" t="s">
        <v>50</v>
      </c>
      <c r="AB174" s="12" t="s">
        <v>50</v>
      </c>
      <c r="AC174" s="12" t="s">
        <v>50</v>
      </c>
      <c r="AD174" s="12" t="s">
        <v>50</v>
      </c>
      <c r="AE174" s="12" t="s">
        <v>50</v>
      </c>
      <c r="AF174" s="12" t="s">
        <v>50</v>
      </c>
      <c r="AG174" s="12" t="s">
        <v>50</v>
      </c>
      <c r="AH174" s="19" t="s">
        <v>50</v>
      </c>
    </row>
    <row r="175" spans="2:34" ht="22.5" customHeight="1" x14ac:dyDescent="0.25">
      <c r="B175" s="18" t="s">
        <v>368</v>
      </c>
      <c r="C175" s="9" t="s">
        <v>537</v>
      </c>
      <c r="D175" s="10" t="s">
        <v>558</v>
      </c>
      <c r="E175" s="10"/>
      <c r="F175" s="10" t="s">
        <v>448</v>
      </c>
      <c r="G175" s="10" t="s">
        <v>449</v>
      </c>
      <c r="H175" s="10"/>
      <c r="I175" s="16" t="s">
        <v>559</v>
      </c>
      <c r="J175" s="10" t="s">
        <v>448</v>
      </c>
      <c r="K175" s="10" t="s">
        <v>451</v>
      </c>
      <c r="L175" s="10" t="s">
        <v>465</v>
      </c>
      <c r="M175" s="10">
        <v>100017032317</v>
      </c>
      <c r="N175" s="10" t="s">
        <v>545</v>
      </c>
      <c r="O175" s="11">
        <v>1</v>
      </c>
      <c r="P175" s="11">
        <v>0</v>
      </c>
      <c r="Q175" s="11"/>
      <c r="R175" s="11"/>
      <c r="S175" s="12" t="s">
        <v>453</v>
      </c>
      <c r="T175" s="12" t="s">
        <v>50</v>
      </c>
      <c r="U175" s="12" t="s">
        <v>47</v>
      </c>
      <c r="V175" s="12" t="s">
        <v>48</v>
      </c>
      <c r="W175" s="12" t="s">
        <v>49</v>
      </c>
      <c r="X175" s="12" t="s">
        <v>50</v>
      </c>
      <c r="Y175" s="12" t="s">
        <v>50</v>
      </c>
      <c r="Z175" s="12" t="s">
        <v>50</v>
      </c>
      <c r="AA175" s="12" t="s">
        <v>50</v>
      </c>
      <c r="AB175" s="12" t="s">
        <v>50</v>
      </c>
      <c r="AC175" s="12" t="s">
        <v>50</v>
      </c>
      <c r="AD175" s="12" t="s">
        <v>50</v>
      </c>
      <c r="AE175" s="12" t="s">
        <v>50</v>
      </c>
      <c r="AF175" s="12" t="s">
        <v>50</v>
      </c>
      <c r="AG175" s="12" t="s">
        <v>50</v>
      </c>
      <c r="AH175" s="19" t="s">
        <v>50</v>
      </c>
    </row>
    <row r="176" spans="2:34" ht="22.5" customHeight="1" x14ac:dyDescent="0.25">
      <c r="B176" s="18" t="s">
        <v>368</v>
      </c>
      <c r="C176" s="9" t="s">
        <v>537</v>
      </c>
      <c r="D176" s="10" t="s">
        <v>560</v>
      </c>
      <c r="E176" s="10"/>
      <c r="F176" s="10" t="s">
        <v>448</v>
      </c>
      <c r="G176" s="10" t="s">
        <v>449</v>
      </c>
      <c r="H176" s="10"/>
      <c r="I176" s="16" t="s">
        <v>561</v>
      </c>
      <c r="J176" s="10" t="s">
        <v>448</v>
      </c>
      <c r="K176" s="10" t="s">
        <v>451</v>
      </c>
      <c r="L176" s="10" t="s">
        <v>465</v>
      </c>
      <c r="M176" s="10">
        <v>100017132317</v>
      </c>
      <c r="N176" s="10" t="s">
        <v>536</v>
      </c>
      <c r="O176" s="11">
        <v>1</v>
      </c>
      <c r="P176" s="11">
        <v>0</v>
      </c>
      <c r="Q176" s="11"/>
      <c r="R176" s="11"/>
      <c r="S176" s="12" t="s">
        <v>453</v>
      </c>
      <c r="T176" s="12" t="s">
        <v>50</v>
      </c>
      <c r="U176" s="12" t="s">
        <v>47</v>
      </c>
      <c r="V176" s="12" t="s">
        <v>48</v>
      </c>
      <c r="W176" s="12" t="s">
        <v>49</v>
      </c>
      <c r="X176" s="12" t="s">
        <v>50</v>
      </c>
      <c r="Y176" s="12" t="s">
        <v>50</v>
      </c>
      <c r="Z176" s="12" t="s">
        <v>50</v>
      </c>
      <c r="AA176" s="12" t="s">
        <v>50</v>
      </c>
      <c r="AB176" s="12" t="s">
        <v>50</v>
      </c>
      <c r="AC176" s="12" t="s">
        <v>50</v>
      </c>
      <c r="AD176" s="12" t="s">
        <v>50</v>
      </c>
      <c r="AE176" s="12" t="s">
        <v>50</v>
      </c>
      <c r="AF176" s="12" t="s">
        <v>50</v>
      </c>
      <c r="AG176" s="12" t="s">
        <v>50</v>
      </c>
      <c r="AH176" s="19" t="s">
        <v>50</v>
      </c>
    </row>
    <row r="177" spans="2:34" ht="22.5" customHeight="1" x14ac:dyDescent="0.25">
      <c r="B177" s="18" t="s">
        <v>368</v>
      </c>
      <c r="C177" s="9" t="s">
        <v>537</v>
      </c>
      <c r="D177" s="10" t="s">
        <v>562</v>
      </c>
      <c r="E177" s="10"/>
      <c r="F177" s="10" t="s">
        <v>448</v>
      </c>
      <c r="G177" s="10" t="s">
        <v>449</v>
      </c>
      <c r="H177" s="10"/>
      <c r="I177" s="16" t="s">
        <v>563</v>
      </c>
      <c r="J177" s="10" t="s">
        <v>448</v>
      </c>
      <c r="K177" s="10" t="s">
        <v>451</v>
      </c>
      <c r="L177" s="10" t="s">
        <v>465</v>
      </c>
      <c r="M177" s="10">
        <v>100017142317</v>
      </c>
      <c r="N177" s="10" t="s">
        <v>540</v>
      </c>
      <c r="O177" s="11">
        <v>1</v>
      </c>
      <c r="P177" s="11">
        <v>0</v>
      </c>
      <c r="Q177" s="11"/>
      <c r="R177" s="11"/>
      <c r="S177" s="12" t="s">
        <v>453</v>
      </c>
      <c r="T177" s="12" t="s">
        <v>50</v>
      </c>
      <c r="U177" s="12" t="s">
        <v>47</v>
      </c>
      <c r="V177" s="12" t="s">
        <v>48</v>
      </c>
      <c r="W177" s="12" t="s">
        <v>49</v>
      </c>
      <c r="X177" s="12" t="s">
        <v>50</v>
      </c>
      <c r="Y177" s="12" t="s">
        <v>50</v>
      </c>
      <c r="Z177" s="12" t="s">
        <v>50</v>
      </c>
      <c r="AA177" s="12" t="s">
        <v>50</v>
      </c>
      <c r="AB177" s="12" t="s">
        <v>50</v>
      </c>
      <c r="AC177" s="12" t="s">
        <v>50</v>
      </c>
      <c r="AD177" s="12" t="s">
        <v>50</v>
      </c>
      <c r="AE177" s="12" t="s">
        <v>50</v>
      </c>
      <c r="AF177" s="12" t="s">
        <v>50</v>
      </c>
      <c r="AG177" s="12" t="s">
        <v>50</v>
      </c>
      <c r="AH177" s="19" t="s">
        <v>50</v>
      </c>
    </row>
    <row r="178" spans="2:34" ht="22.5" customHeight="1" x14ac:dyDescent="0.25">
      <c r="B178" s="18" t="s">
        <v>368</v>
      </c>
      <c r="C178" s="9" t="s">
        <v>537</v>
      </c>
      <c r="D178" s="10" t="s">
        <v>564</v>
      </c>
      <c r="E178" s="10"/>
      <c r="F178" s="10" t="s">
        <v>448</v>
      </c>
      <c r="G178" s="10" t="s">
        <v>449</v>
      </c>
      <c r="H178" s="10"/>
      <c r="I178" s="16" t="s">
        <v>565</v>
      </c>
      <c r="J178" s="10" t="s">
        <v>448</v>
      </c>
      <c r="K178" s="10" t="s">
        <v>451</v>
      </c>
      <c r="L178" s="10" t="s">
        <v>465</v>
      </c>
      <c r="M178" s="10">
        <v>100017192317</v>
      </c>
      <c r="N178" s="10" t="s">
        <v>536</v>
      </c>
      <c r="O178" s="11">
        <v>1</v>
      </c>
      <c r="P178" s="11">
        <v>0</v>
      </c>
      <c r="Q178" s="11"/>
      <c r="R178" s="11"/>
      <c r="S178" s="12" t="s">
        <v>453</v>
      </c>
      <c r="T178" s="12" t="s">
        <v>50</v>
      </c>
      <c r="U178" s="12" t="s">
        <v>47</v>
      </c>
      <c r="V178" s="12" t="s">
        <v>48</v>
      </c>
      <c r="W178" s="12" t="s">
        <v>49</v>
      </c>
      <c r="X178" s="12" t="s">
        <v>50</v>
      </c>
      <c r="Y178" s="12" t="s">
        <v>50</v>
      </c>
      <c r="Z178" s="12" t="s">
        <v>50</v>
      </c>
      <c r="AA178" s="12" t="s">
        <v>50</v>
      </c>
      <c r="AB178" s="12" t="s">
        <v>50</v>
      </c>
      <c r="AC178" s="12" t="s">
        <v>50</v>
      </c>
      <c r="AD178" s="12" t="s">
        <v>50</v>
      </c>
      <c r="AE178" s="12" t="s">
        <v>50</v>
      </c>
      <c r="AF178" s="12" t="s">
        <v>50</v>
      </c>
      <c r="AG178" s="12" t="s">
        <v>50</v>
      </c>
      <c r="AH178" s="19" t="s">
        <v>50</v>
      </c>
    </row>
    <row r="179" spans="2:34" ht="22.5" customHeight="1" x14ac:dyDescent="0.25">
      <c r="B179" s="18" t="s">
        <v>368</v>
      </c>
      <c r="C179" s="9" t="s">
        <v>537</v>
      </c>
      <c r="D179" s="10" t="s">
        <v>566</v>
      </c>
      <c r="E179" s="10"/>
      <c r="F179" s="10" t="s">
        <v>448</v>
      </c>
      <c r="G179" s="10" t="s">
        <v>449</v>
      </c>
      <c r="H179" s="10"/>
      <c r="I179" s="16" t="s">
        <v>567</v>
      </c>
      <c r="J179" s="10" t="s">
        <v>448</v>
      </c>
      <c r="K179" s="10" t="s">
        <v>451</v>
      </c>
      <c r="L179" s="10" t="s">
        <v>465</v>
      </c>
      <c r="M179" s="10">
        <v>100017232317</v>
      </c>
      <c r="N179" s="10" t="s">
        <v>536</v>
      </c>
      <c r="O179" s="11">
        <v>1</v>
      </c>
      <c r="P179" s="11">
        <v>0</v>
      </c>
      <c r="Q179" s="11"/>
      <c r="R179" s="11"/>
      <c r="S179" s="12" t="s">
        <v>453</v>
      </c>
      <c r="T179" s="12" t="s">
        <v>50</v>
      </c>
      <c r="U179" s="12" t="s">
        <v>47</v>
      </c>
      <c r="V179" s="12" t="s">
        <v>48</v>
      </c>
      <c r="W179" s="12" t="s">
        <v>49</v>
      </c>
      <c r="X179" s="12" t="s">
        <v>50</v>
      </c>
      <c r="Y179" s="12" t="s">
        <v>50</v>
      </c>
      <c r="Z179" s="12" t="s">
        <v>50</v>
      </c>
      <c r="AA179" s="12" t="s">
        <v>50</v>
      </c>
      <c r="AB179" s="12" t="s">
        <v>50</v>
      </c>
      <c r="AC179" s="12" t="s">
        <v>50</v>
      </c>
      <c r="AD179" s="12" t="s">
        <v>50</v>
      </c>
      <c r="AE179" s="12" t="s">
        <v>50</v>
      </c>
      <c r="AF179" s="12" t="s">
        <v>50</v>
      </c>
      <c r="AG179" s="12" t="s">
        <v>50</v>
      </c>
      <c r="AH179" s="19" t="s">
        <v>50</v>
      </c>
    </row>
    <row r="180" spans="2:34" ht="22.5" customHeight="1" x14ac:dyDescent="0.25">
      <c r="B180" s="18" t="s">
        <v>368</v>
      </c>
      <c r="C180" s="9" t="s">
        <v>568</v>
      </c>
      <c r="D180" s="10" t="s">
        <v>569</v>
      </c>
      <c r="E180" s="10"/>
      <c r="F180" s="10" t="s">
        <v>448</v>
      </c>
      <c r="G180" s="10" t="s">
        <v>449</v>
      </c>
      <c r="H180" s="10"/>
      <c r="I180" s="16" t="s">
        <v>570</v>
      </c>
      <c r="J180" s="10" t="s">
        <v>448</v>
      </c>
      <c r="K180" s="10" t="s">
        <v>451</v>
      </c>
      <c r="L180" s="10" t="s">
        <v>465</v>
      </c>
      <c r="M180" s="10">
        <v>100011242117</v>
      </c>
      <c r="N180" s="10" t="s">
        <v>536</v>
      </c>
      <c r="O180" s="11">
        <v>1</v>
      </c>
      <c r="P180" s="11">
        <v>0</v>
      </c>
      <c r="Q180" s="11"/>
      <c r="R180" s="11"/>
      <c r="S180" s="12" t="s">
        <v>453</v>
      </c>
      <c r="T180" s="12" t="s">
        <v>50</v>
      </c>
      <c r="U180" s="12" t="s">
        <v>47</v>
      </c>
      <c r="V180" s="12" t="s">
        <v>48</v>
      </c>
      <c r="W180" s="12" t="s">
        <v>49</v>
      </c>
      <c r="X180" s="12" t="s">
        <v>50</v>
      </c>
      <c r="Y180" s="12" t="s">
        <v>50</v>
      </c>
      <c r="Z180" s="12" t="s">
        <v>50</v>
      </c>
      <c r="AA180" s="12" t="s">
        <v>50</v>
      </c>
      <c r="AB180" s="12" t="s">
        <v>50</v>
      </c>
      <c r="AC180" s="12" t="s">
        <v>50</v>
      </c>
      <c r="AD180" s="12" t="s">
        <v>50</v>
      </c>
      <c r="AE180" s="12" t="s">
        <v>50</v>
      </c>
      <c r="AF180" s="12" t="s">
        <v>50</v>
      </c>
      <c r="AG180" s="12" t="s">
        <v>50</v>
      </c>
      <c r="AH180" s="19" t="s">
        <v>50</v>
      </c>
    </row>
    <row r="181" spans="2:34" ht="22.5" customHeight="1" x14ac:dyDescent="0.25">
      <c r="B181" s="18" t="s">
        <v>368</v>
      </c>
      <c r="C181" s="9" t="s">
        <v>571</v>
      </c>
      <c r="D181" s="10" t="s">
        <v>572</v>
      </c>
      <c r="E181" s="10"/>
      <c r="F181" s="10" t="s">
        <v>448</v>
      </c>
      <c r="G181" s="10" t="s">
        <v>449</v>
      </c>
      <c r="H181" s="10"/>
      <c r="I181" s="16" t="s">
        <v>573</v>
      </c>
      <c r="J181" s="10" t="s">
        <v>574</v>
      </c>
      <c r="K181" s="10" t="s">
        <v>451</v>
      </c>
      <c r="L181" s="16"/>
      <c r="M181" s="16"/>
      <c r="N181" s="16"/>
      <c r="O181" s="11">
        <v>1</v>
      </c>
      <c r="P181" s="11">
        <v>0</v>
      </c>
      <c r="Q181" s="11"/>
      <c r="R181" s="11"/>
      <c r="S181" s="12" t="s">
        <v>453</v>
      </c>
      <c r="T181" s="12" t="s">
        <v>50</v>
      </c>
      <c r="U181" s="12" t="s">
        <v>47</v>
      </c>
      <c r="V181" s="12" t="s">
        <v>48</v>
      </c>
      <c r="W181" s="12" t="s">
        <v>49</v>
      </c>
      <c r="X181" s="12" t="s">
        <v>50</v>
      </c>
      <c r="Y181" s="12" t="s">
        <v>50</v>
      </c>
      <c r="Z181" s="12" t="s">
        <v>50</v>
      </c>
      <c r="AA181" s="12" t="s">
        <v>50</v>
      </c>
      <c r="AB181" s="12" t="s">
        <v>50</v>
      </c>
      <c r="AC181" s="12" t="s">
        <v>50</v>
      </c>
      <c r="AD181" s="12" t="s">
        <v>50</v>
      </c>
      <c r="AE181" s="12" t="s">
        <v>50</v>
      </c>
      <c r="AF181" s="12" t="s">
        <v>50</v>
      </c>
      <c r="AG181" s="12" t="s">
        <v>50</v>
      </c>
      <c r="AH181" s="19" t="s">
        <v>50</v>
      </c>
    </row>
    <row r="182" spans="2:34" ht="22.5" customHeight="1" x14ac:dyDescent="0.25">
      <c r="B182" s="18" t="s">
        <v>368</v>
      </c>
      <c r="C182" s="9" t="s">
        <v>575</v>
      </c>
      <c r="D182" s="10" t="s">
        <v>576</v>
      </c>
      <c r="E182" s="10"/>
      <c r="F182" s="10" t="s">
        <v>448</v>
      </c>
      <c r="G182" s="10" t="s">
        <v>449</v>
      </c>
      <c r="H182" s="10"/>
      <c r="I182" s="16" t="s">
        <v>577</v>
      </c>
      <c r="J182" s="10" t="s">
        <v>448</v>
      </c>
      <c r="K182" s="10" t="s">
        <v>451</v>
      </c>
      <c r="L182" s="10" t="s">
        <v>465</v>
      </c>
      <c r="M182" s="10">
        <v>100014232217</v>
      </c>
      <c r="N182" s="10" t="s">
        <v>171</v>
      </c>
      <c r="O182" s="11">
        <v>1</v>
      </c>
      <c r="P182" s="11">
        <v>0</v>
      </c>
      <c r="Q182" s="11"/>
      <c r="R182" s="11"/>
      <c r="S182" s="12" t="s">
        <v>453</v>
      </c>
      <c r="T182" s="12" t="s">
        <v>50</v>
      </c>
      <c r="U182" s="12" t="s">
        <v>47</v>
      </c>
      <c r="V182" s="12" t="s">
        <v>48</v>
      </c>
      <c r="W182" s="12" t="s">
        <v>49</v>
      </c>
      <c r="X182" s="12" t="s">
        <v>50</v>
      </c>
      <c r="Y182" s="12" t="s">
        <v>50</v>
      </c>
      <c r="Z182" s="12" t="s">
        <v>50</v>
      </c>
      <c r="AA182" s="12" t="s">
        <v>50</v>
      </c>
      <c r="AB182" s="12" t="s">
        <v>50</v>
      </c>
      <c r="AC182" s="12" t="s">
        <v>50</v>
      </c>
      <c r="AD182" s="12" t="s">
        <v>50</v>
      </c>
      <c r="AE182" s="12" t="s">
        <v>50</v>
      </c>
      <c r="AF182" s="12" t="s">
        <v>50</v>
      </c>
      <c r="AG182" s="12" t="s">
        <v>50</v>
      </c>
      <c r="AH182" s="19" t="s">
        <v>50</v>
      </c>
    </row>
    <row r="183" spans="2:34" ht="22.5" customHeight="1" x14ac:dyDescent="0.25">
      <c r="B183" s="18" t="s">
        <v>368</v>
      </c>
      <c r="C183" s="9" t="s">
        <v>578</v>
      </c>
      <c r="D183" s="10" t="s">
        <v>579</v>
      </c>
      <c r="E183" s="10"/>
      <c r="F183" s="10" t="s">
        <v>448</v>
      </c>
      <c r="G183" s="10" t="s">
        <v>449</v>
      </c>
      <c r="H183" s="10"/>
      <c r="I183" s="16" t="s">
        <v>580</v>
      </c>
      <c r="J183" s="10" t="s">
        <v>448</v>
      </c>
      <c r="K183" s="10" t="s">
        <v>451</v>
      </c>
      <c r="L183" s="10" t="s">
        <v>465</v>
      </c>
      <c r="M183" s="10">
        <v>100017282317</v>
      </c>
      <c r="N183" s="10" t="s">
        <v>171</v>
      </c>
      <c r="O183" s="11">
        <v>1</v>
      </c>
      <c r="P183" s="11">
        <v>0</v>
      </c>
      <c r="Q183" s="11"/>
      <c r="R183" s="11"/>
      <c r="S183" s="12" t="s">
        <v>453</v>
      </c>
      <c r="T183" s="12" t="s">
        <v>50</v>
      </c>
      <c r="U183" s="12" t="s">
        <v>47</v>
      </c>
      <c r="V183" s="12" t="s">
        <v>48</v>
      </c>
      <c r="W183" s="12" t="s">
        <v>49</v>
      </c>
      <c r="X183" s="12" t="s">
        <v>50</v>
      </c>
      <c r="Y183" s="12" t="s">
        <v>50</v>
      </c>
      <c r="Z183" s="12" t="s">
        <v>50</v>
      </c>
      <c r="AA183" s="12" t="s">
        <v>50</v>
      </c>
      <c r="AB183" s="12" t="s">
        <v>50</v>
      </c>
      <c r="AC183" s="12" t="s">
        <v>50</v>
      </c>
      <c r="AD183" s="12" t="s">
        <v>50</v>
      </c>
      <c r="AE183" s="12" t="s">
        <v>50</v>
      </c>
      <c r="AF183" s="12" t="s">
        <v>50</v>
      </c>
      <c r="AG183" s="12" t="s">
        <v>50</v>
      </c>
      <c r="AH183" s="19" t="s">
        <v>50</v>
      </c>
    </row>
    <row r="184" spans="2:34" ht="22.5" customHeight="1" x14ac:dyDescent="0.25">
      <c r="B184" s="18" t="s">
        <v>368</v>
      </c>
      <c r="C184" s="9" t="s">
        <v>533</v>
      </c>
      <c r="D184" s="10" t="s">
        <v>581</v>
      </c>
      <c r="E184" s="10"/>
      <c r="F184" s="10" t="s">
        <v>448</v>
      </c>
      <c r="G184" s="10" t="s">
        <v>449</v>
      </c>
      <c r="H184" s="10"/>
      <c r="I184" s="16" t="s">
        <v>582</v>
      </c>
      <c r="J184" s="10" t="s">
        <v>448</v>
      </c>
      <c r="K184" s="10" t="s">
        <v>451</v>
      </c>
      <c r="L184" s="10" t="s">
        <v>465</v>
      </c>
      <c r="M184" s="10">
        <v>100008062117</v>
      </c>
      <c r="N184" s="10" t="s">
        <v>536</v>
      </c>
      <c r="O184" s="11">
        <v>1</v>
      </c>
      <c r="P184" s="11">
        <v>0</v>
      </c>
      <c r="Q184" s="11"/>
      <c r="R184" s="11"/>
      <c r="S184" s="12" t="s">
        <v>453</v>
      </c>
      <c r="T184" s="12" t="s">
        <v>50</v>
      </c>
      <c r="U184" s="12" t="s">
        <v>47</v>
      </c>
      <c r="V184" s="12" t="s">
        <v>48</v>
      </c>
      <c r="W184" s="12" t="s">
        <v>49</v>
      </c>
      <c r="X184" s="12" t="s">
        <v>50</v>
      </c>
      <c r="Y184" s="12" t="s">
        <v>50</v>
      </c>
      <c r="Z184" s="12" t="s">
        <v>50</v>
      </c>
      <c r="AA184" s="12" t="s">
        <v>50</v>
      </c>
      <c r="AB184" s="12" t="s">
        <v>50</v>
      </c>
      <c r="AC184" s="12" t="s">
        <v>50</v>
      </c>
      <c r="AD184" s="12" t="s">
        <v>50</v>
      </c>
      <c r="AE184" s="12" t="s">
        <v>50</v>
      </c>
      <c r="AF184" s="12" t="s">
        <v>50</v>
      </c>
      <c r="AG184" s="12" t="s">
        <v>50</v>
      </c>
      <c r="AH184" s="19" t="s">
        <v>50</v>
      </c>
    </row>
    <row r="185" spans="2:34" ht="22.5" customHeight="1" x14ac:dyDescent="0.25">
      <c r="B185" s="18" t="s">
        <v>368</v>
      </c>
      <c r="C185" s="9" t="s">
        <v>533</v>
      </c>
      <c r="D185" s="10" t="s">
        <v>583</v>
      </c>
      <c r="E185" s="10"/>
      <c r="F185" s="10" t="s">
        <v>448</v>
      </c>
      <c r="G185" s="10" t="s">
        <v>449</v>
      </c>
      <c r="H185" s="10"/>
      <c r="I185" s="16" t="s">
        <v>584</v>
      </c>
      <c r="J185" s="10" t="s">
        <v>448</v>
      </c>
      <c r="K185" s="10" t="s">
        <v>451</v>
      </c>
      <c r="L185" s="10" t="s">
        <v>465</v>
      </c>
      <c r="M185" s="10">
        <v>100008062117</v>
      </c>
      <c r="N185" s="10" t="s">
        <v>536</v>
      </c>
      <c r="O185" s="11">
        <v>1</v>
      </c>
      <c r="P185" s="11">
        <v>0</v>
      </c>
      <c r="Q185" s="11"/>
      <c r="R185" s="11"/>
      <c r="S185" s="12" t="s">
        <v>453</v>
      </c>
      <c r="T185" s="12" t="s">
        <v>50</v>
      </c>
      <c r="U185" s="12" t="s">
        <v>47</v>
      </c>
      <c r="V185" s="12" t="s">
        <v>48</v>
      </c>
      <c r="W185" s="12" t="s">
        <v>49</v>
      </c>
      <c r="X185" s="12" t="s">
        <v>50</v>
      </c>
      <c r="Y185" s="12" t="s">
        <v>50</v>
      </c>
      <c r="Z185" s="12" t="s">
        <v>50</v>
      </c>
      <c r="AA185" s="12" t="s">
        <v>50</v>
      </c>
      <c r="AB185" s="12" t="s">
        <v>50</v>
      </c>
      <c r="AC185" s="12" t="s">
        <v>50</v>
      </c>
      <c r="AD185" s="12" t="s">
        <v>50</v>
      </c>
      <c r="AE185" s="12" t="s">
        <v>50</v>
      </c>
      <c r="AF185" s="12" t="s">
        <v>50</v>
      </c>
      <c r="AG185" s="12" t="s">
        <v>50</v>
      </c>
      <c r="AH185" s="19" t="s">
        <v>50</v>
      </c>
    </row>
    <row r="186" spans="2:34" ht="22.5" customHeight="1" x14ac:dyDescent="0.25">
      <c r="B186" s="18" t="s">
        <v>368</v>
      </c>
      <c r="C186" s="9" t="s">
        <v>533</v>
      </c>
      <c r="D186" s="10" t="s">
        <v>585</v>
      </c>
      <c r="E186" s="10"/>
      <c r="F186" s="10" t="s">
        <v>448</v>
      </c>
      <c r="G186" s="10" t="s">
        <v>449</v>
      </c>
      <c r="H186" s="10"/>
      <c r="I186" s="16" t="s">
        <v>586</v>
      </c>
      <c r="J186" s="10" t="s">
        <v>448</v>
      </c>
      <c r="K186" s="10" t="s">
        <v>451</v>
      </c>
      <c r="L186" s="10" t="s">
        <v>465</v>
      </c>
      <c r="M186" s="10">
        <v>100008112117</v>
      </c>
      <c r="N186" s="10" t="s">
        <v>536</v>
      </c>
      <c r="O186" s="11">
        <v>1</v>
      </c>
      <c r="P186" s="11">
        <v>0</v>
      </c>
      <c r="Q186" s="11"/>
      <c r="R186" s="11"/>
      <c r="S186" s="12" t="s">
        <v>453</v>
      </c>
      <c r="T186" s="12" t="s">
        <v>50</v>
      </c>
      <c r="U186" s="12" t="s">
        <v>47</v>
      </c>
      <c r="V186" s="12" t="s">
        <v>48</v>
      </c>
      <c r="W186" s="12" t="s">
        <v>49</v>
      </c>
      <c r="X186" s="12" t="s">
        <v>50</v>
      </c>
      <c r="Y186" s="12" t="s">
        <v>50</v>
      </c>
      <c r="Z186" s="12" t="s">
        <v>50</v>
      </c>
      <c r="AA186" s="12" t="s">
        <v>50</v>
      </c>
      <c r="AB186" s="12" t="s">
        <v>50</v>
      </c>
      <c r="AC186" s="12" t="s">
        <v>50</v>
      </c>
      <c r="AD186" s="12" t="s">
        <v>50</v>
      </c>
      <c r="AE186" s="12" t="s">
        <v>50</v>
      </c>
      <c r="AF186" s="12" t="s">
        <v>50</v>
      </c>
      <c r="AG186" s="12" t="s">
        <v>50</v>
      </c>
      <c r="AH186" s="19" t="s">
        <v>50</v>
      </c>
    </row>
    <row r="187" spans="2:34" ht="22.5" customHeight="1" x14ac:dyDescent="0.25">
      <c r="B187" s="18" t="s">
        <v>368</v>
      </c>
      <c r="C187" s="9" t="s">
        <v>533</v>
      </c>
      <c r="D187" s="10" t="s">
        <v>587</v>
      </c>
      <c r="E187" s="10"/>
      <c r="F187" s="10" t="s">
        <v>448</v>
      </c>
      <c r="G187" s="10" t="s">
        <v>449</v>
      </c>
      <c r="H187" s="10"/>
      <c r="I187" s="16" t="s">
        <v>588</v>
      </c>
      <c r="J187" s="10" t="s">
        <v>448</v>
      </c>
      <c r="K187" s="10" t="s">
        <v>451</v>
      </c>
      <c r="L187" s="10" t="s">
        <v>465</v>
      </c>
      <c r="M187" s="10">
        <v>100008152117</v>
      </c>
      <c r="N187" s="10" t="s">
        <v>545</v>
      </c>
      <c r="O187" s="11">
        <v>1</v>
      </c>
      <c r="P187" s="11">
        <v>0</v>
      </c>
      <c r="Q187" s="11"/>
      <c r="R187" s="11"/>
      <c r="S187" s="12" t="s">
        <v>453</v>
      </c>
      <c r="T187" s="12" t="s">
        <v>50</v>
      </c>
      <c r="U187" s="12" t="s">
        <v>47</v>
      </c>
      <c r="V187" s="12" t="s">
        <v>48</v>
      </c>
      <c r="W187" s="12" t="s">
        <v>49</v>
      </c>
      <c r="X187" s="12" t="s">
        <v>50</v>
      </c>
      <c r="Y187" s="12" t="s">
        <v>50</v>
      </c>
      <c r="Z187" s="12" t="s">
        <v>50</v>
      </c>
      <c r="AA187" s="12" t="s">
        <v>50</v>
      </c>
      <c r="AB187" s="12" t="s">
        <v>50</v>
      </c>
      <c r="AC187" s="12" t="s">
        <v>50</v>
      </c>
      <c r="AD187" s="12" t="s">
        <v>50</v>
      </c>
      <c r="AE187" s="12" t="s">
        <v>50</v>
      </c>
      <c r="AF187" s="12" t="s">
        <v>50</v>
      </c>
      <c r="AG187" s="12" t="s">
        <v>50</v>
      </c>
      <c r="AH187" s="19" t="s">
        <v>50</v>
      </c>
    </row>
    <row r="188" spans="2:34" ht="22.5" customHeight="1" x14ac:dyDescent="0.25">
      <c r="B188" s="18" t="s">
        <v>368</v>
      </c>
      <c r="C188" s="9" t="s">
        <v>533</v>
      </c>
      <c r="D188" s="10" t="s">
        <v>589</v>
      </c>
      <c r="E188" s="10"/>
      <c r="F188" s="10" t="s">
        <v>448</v>
      </c>
      <c r="G188" s="10" t="s">
        <v>449</v>
      </c>
      <c r="H188" s="10"/>
      <c r="I188" s="16" t="s">
        <v>590</v>
      </c>
      <c r="J188" s="10" t="s">
        <v>448</v>
      </c>
      <c r="K188" s="10" t="s">
        <v>451</v>
      </c>
      <c r="L188" s="10" t="s">
        <v>465</v>
      </c>
      <c r="M188" s="10">
        <v>100008172117</v>
      </c>
      <c r="N188" s="10" t="s">
        <v>545</v>
      </c>
      <c r="O188" s="11">
        <v>1</v>
      </c>
      <c r="P188" s="11">
        <v>0</v>
      </c>
      <c r="Q188" s="11"/>
      <c r="R188" s="11"/>
      <c r="S188" s="12" t="s">
        <v>453</v>
      </c>
      <c r="T188" s="12" t="s">
        <v>50</v>
      </c>
      <c r="U188" s="12" t="s">
        <v>47</v>
      </c>
      <c r="V188" s="12" t="s">
        <v>48</v>
      </c>
      <c r="W188" s="12" t="s">
        <v>49</v>
      </c>
      <c r="X188" s="12" t="s">
        <v>50</v>
      </c>
      <c r="Y188" s="12" t="s">
        <v>50</v>
      </c>
      <c r="Z188" s="12" t="s">
        <v>50</v>
      </c>
      <c r="AA188" s="12" t="s">
        <v>50</v>
      </c>
      <c r="AB188" s="12" t="s">
        <v>50</v>
      </c>
      <c r="AC188" s="12" t="s">
        <v>50</v>
      </c>
      <c r="AD188" s="12" t="s">
        <v>50</v>
      </c>
      <c r="AE188" s="12" t="s">
        <v>50</v>
      </c>
      <c r="AF188" s="12" t="s">
        <v>50</v>
      </c>
      <c r="AG188" s="12" t="s">
        <v>50</v>
      </c>
      <c r="AH188" s="19" t="s">
        <v>50</v>
      </c>
    </row>
    <row r="189" spans="2:34" ht="22.5" customHeight="1" x14ac:dyDescent="0.25">
      <c r="B189" s="18" t="s">
        <v>591</v>
      </c>
      <c r="C189" s="9" t="s">
        <v>471</v>
      </c>
      <c r="D189" s="10" t="s">
        <v>592</v>
      </c>
      <c r="E189" s="10"/>
      <c r="F189" s="10" t="s">
        <v>448</v>
      </c>
      <c r="G189" s="10" t="s">
        <v>449</v>
      </c>
      <c r="H189" s="10"/>
      <c r="I189" s="16" t="s">
        <v>593</v>
      </c>
      <c r="J189" s="10" t="s">
        <v>448</v>
      </c>
      <c r="K189" s="10" t="s">
        <v>451</v>
      </c>
      <c r="L189" s="10" t="s">
        <v>465</v>
      </c>
      <c r="M189" s="10">
        <v>21100083721517</v>
      </c>
      <c r="N189" s="10" t="s">
        <v>171</v>
      </c>
      <c r="O189" s="11">
        <v>1</v>
      </c>
      <c r="P189" s="11">
        <v>0</v>
      </c>
      <c r="Q189" s="11"/>
      <c r="R189" s="11"/>
      <c r="S189" s="12" t="s">
        <v>453</v>
      </c>
      <c r="T189" s="12" t="s">
        <v>50</v>
      </c>
      <c r="U189" s="12" t="s">
        <v>47</v>
      </c>
      <c r="V189" s="12" t="s">
        <v>48</v>
      </c>
      <c r="W189" s="12" t="s">
        <v>49</v>
      </c>
      <c r="X189" s="12" t="s">
        <v>50</v>
      </c>
      <c r="Y189" s="12" t="s">
        <v>50</v>
      </c>
      <c r="Z189" s="12" t="s">
        <v>50</v>
      </c>
      <c r="AA189" s="12" t="s">
        <v>50</v>
      </c>
      <c r="AB189" s="12" t="s">
        <v>50</v>
      </c>
      <c r="AC189" s="12" t="s">
        <v>50</v>
      </c>
      <c r="AD189" s="12" t="s">
        <v>50</v>
      </c>
      <c r="AE189" s="12" t="s">
        <v>50</v>
      </c>
      <c r="AF189" s="12" t="s">
        <v>50</v>
      </c>
      <c r="AG189" s="12" t="s">
        <v>50</v>
      </c>
      <c r="AH189" s="19" t="s">
        <v>50</v>
      </c>
    </row>
    <row r="190" spans="2:34" ht="22.5" customHeight="1" x14ac:dyDescent="0.25">
      <c r="B190" s="18" t="s">
        <v>591</v>
      </c>
      <c r="C190" s="9" t="s">
        <v>594</v>
      </c>
      <c r="D190" s="10" t="s">
        <v>595</v>
      </c>
      <c r="E190" s="10"/>
      <c r="F190" s="10" t="s">
        <v>448</v>
      </c>
      <c r="G190" s="10" t="s">
        <v>449</v>
      </c>
      <c r="H190" s="10"/>
      <c r="I190" s="16" t="s">
        <v>596</v>
      </c>
      <c r="J190" s="10" t="s">
        <v>448</v>
      </c>
      <c r="K190" s="10" t="s">
        <v>451</v>
      </c>
      <c r="L190" s="10" t="s">
        <v>465</v>
      </c>
      <c r="M190" s="10">
        <v>100017372317</v>
      </c>
      <c r="N190" s="10" t="s">
        <v>540</v>
      </c>
      <c r="O190" s="11">
        <v>1</v>
      </c>
      <c r="P190" s="11">
        <v>0</v>
      </c>
      <c r="Q190" s="11"/>
      <c r="R190" s="11"/>
      <c r="S190" s="12" t="s">
        <v>453</v>
      </c>
      <c r="T190" s="12" t="s">
        <v>50</v>
      </c>
      <c r="U190" s="12" t="s">
        <v>47</v>
      </c>
      <c r="V190" s="12" t="s">
        <v>48</v>
      </c>
      <c r="W190" s="12" t="s">
        <v>49</v>
      </c>
      <c r="X190" s="12" t="s">
        <v>50</v>
      </c>
      <c r="Y190" s="12" t="s">
        <v>50</v>
      </c>
      <c r="Z190" s="12" t="s">
        <v>50</v>
      </c>
      <c r="AA190" s="12" t="s">
        <v>50</v>
      </c>
      <c r="AB190" s="12" t="s">
        <v>50</v>
      </c>
      <c r="AC190" s="12" t="s">
        <v>50</v>
      </c>
      <c r="AD190" s="12" t="s">
        <v>50</v>
      </c>
      <c r="AE190" s="12" t="s">
        <v>50</v>
      </c>
      <c r="AF190" s="12" t="s">
        <v>50</v>
      </c>
      <c r="AG190" s="12" t="s">
        <v>50</v>
      </c>
      <c r="AH190" s="19" t="s">
        <v>50</v>
      </c>
    </row>
    <row r="191" spans="2:34" ht="22.5" customHeight="1" x14ac:dyDescent="0.25">
      <c r="B191" s="18" t="s">
        <v>591</v>
      </c>
      <c r="C191" s="9" t="s">
        <v>594</v>
      </c>
      <c r="D191" s="10" t="s">
        <v>597</v>
      </c>
      <c r="E191" s="10"/>
      <c r="F191" s="10" t="s">
        <v>448</v>
      </c>
      <c r="G191" s="10" t="s">
        <v>449</v>
      </c>
      <c r="H191" s="10"/>
      <c r="I191" s="16" t="s">
        <v>598</v>
      </c>
      <c r="J191" s="10" t="s">
        <v>448</v>
      </c>
      <c r="K191" s="10" t="s">
        <v>451</v>
      </c>
      <c r="L191" s="10" t="s">
        <v>465</v>
      </c>
      <c r="M191" s="10">
        <v>100017362317</v>
      </c>
      <c r="N191" s="10" t="s">
        <v>545</v>
      </c>
      <c r="O191" s="11">
        <v>1</v>
      </c>
      <c r="P191" s="11">
        <v>0</v>
      </c>
      <c r="Q191" s="11"/>
      <c r="R191" s="11"/>
      <c r="S191" s="12" t="s">
        <v>453</v>
      </c>
      <c r="T191" s="12" t="s">
        <v>50</v>
      </c>
      <c r="U191" s="12" t="s">
        <v>47</v>
      </c>
      <c r="V191" s="12" t="s">
        <v>48</v>
      </c>
      <c r="W191" s="12" t="s">
        <v>49</v>
      </c>
      <c r="X191" s="12" t="s">
        <v>50</v>
      </c>
      <c r="Y191" s="12" t="s">
        <v>50</v>
      </c>
      <c r="Z191" s="12" t="s">
        <v>50</v>
      </c>
      <c r="AA191" s="12" t="s">
        <v>50</v>
      </c>
      <c r="AB191" s="12" t="s">
        <v>50</v>
      </c>
      <c r="AC191" s="12" t="s">
        <v>50</v>
      </c>
      <c r="AD191" s="12" t="s">
        <v>50</v>
      </c>
      <c r="AE191" s="12" t="s">
        <v>50</v>
      </c>
      <c r="AF191" s="12" t="s">
        <v>50</v>
      </c>
      <c r="AG191" s="12" t="s">
        <v>50</v>
      </c>
      <c r="AH191" s="19" t="s">
        <v>50</v>
      </c>
    </row>
    <row r="192" spans="2:34" ht="22.5" customHeight="1" x14ac:dyDescent="0.25">
      <c r="B192" s="18" t="s">
        <v>591</v>
      </c>
      <c r="C192" s="9" t="s">
        <v>594</v>
      </c>
      <c r="D192" s="10" t="s">
        <v>599</v>
      </c>
      <c r="E192" s="10"/>
      <c r="F192" s="10" t="s">
        <v>448</v>
      </c>
      <c r="G192" s="10" t="s">
        <v>449</v>
      </c>
      <c r="H192" s="10"/>
      <c r="I192" s="16" t="s">
        <v>600</v>
      </c>
      <c r="J192" s="10" t="s">
        <v>448</v>
      </c>
      <c r="K192" s="10" t="s">
        <v>451</v>
      </c>
      <c r="L192" s="10" t="s">
        <v>465</v>
      </c>
      <c r="M192" s="10">
        <v>100023092517</v>
      </c>
      <c r="N192" s="10" t="s">
        <v>536</v>
      </c>
      <c r="O192" s="11">
        <v>1</v>
      </c>
      <c r="P192" s="11">
        <v>0</v>
      </c>
      <c r="Q192" s="11"/>
      <c r="R192" s="11"/>
      <c r="S192" s="12" t="s">
        <v>453</v>
      </c>
      <c r="T192" s="12" t="s">
        <v>50</v>
      </c>
      <c r="U192" s="12" t="s">
        <v>47</v>
      </c>
      <c r="V192" s="12" t="s">
        <v>48</v>
      </c>
      <c r="W192" s="12" t="s">
        <v>49</v>
      </c>
      <c r="X192" s="12" t="s">
        <v>50</v>
      </c>
      <c r="Y192" s="12" t="s">
        <v>50</v>
      </c>
      <c r="Z192" s="12" t="s">
        <v>50</v>
      </c>
      <c r="AA192" s="12" t="s">
        <v>50</v>
      </c>
      <c r="AB192" s="12" t="s">
        <v>50</v>
      </c>
      <c r="AC192" s="12" t="s">
        <v>50</v>
      </c>
      <c r="AD192" s="12" t="s">
        <v>50</v>
      </c>
      <c r="AE192" s="12" t="s">
        <v>50</v>
      </c>
      <c r="AF192" s="12" t="s">
        <v>50</v>
      </c>
      <c r="AG192" s="12" t="s">
        <v>50</v>
      </c>
      <c r="AH192" s="19" t="s">
        <v>50</v>
      </c>
    </row>
    <row r="193" spans="2:34" ht="22.5" customHeight="1" x14ac:dyDescent="0.25">
      <c r="B193" s="18" t="s">
        <v>591</v>
      </c>
      <c r="C193" s="9" t="s">
        <v>594</v>
      </c>
      <c r="D193" s="10" t="s">
        <v>601</v>
      </c>
      <c r="E193" s="10"/>
      <c r="F193" s="10" t="s">
        <v>448</v>
      </c>
      <c r="G193" s="10" t="s">
        <v>449</v>
      </c>
      <c r="H193" s="10"/>
      <c r="I193" s="16" t="s">
        <v>602</v>
      </c>
      <c r="J193" s="10" t="s">
        <v>448</v>
      </c>
      <c r="K193" s="10" t="s">
        <v>451</v>
      </c>
      <c r="L193" s="10" t="s">
        <v>465</v>
      </c>
      <c r="M193" s="10">
        <v>100017292317</v>
      </c>
      <c r="N193" s="10" t="s">
        <v>540</v>
      </c>
      <c r="O193" s="11">
        <v>1</v>
      </c>
      <c r="P193" s="11">
        <v>0</v>
      </c>
      <c r="Q193" s="11"/>
      <c r="R193" s="11"/>
      <c r="S193" s="12" t="s">
        <v>453</v>
      </c>
      <c r="T193" s="12" t="s">
        <v>50</v>
      </c>
      <c r="U193" s="12" t="s">
        <v>47</v>
      </c>
      <c r="V193" s="12" t="s">
        <v>48</v>
      </c>
      <c r="W193" s="12" t="s">
        <v>49</v>
      </c>
      <c r="X193" s="12" t="s">
        <v>50</v>
      </c>
      <c r="Y193" s="12" t="s">
        <v>50</v>
      </c>
      <c r="Z193" s="12" t="s">
        <v>50</v>
      </c>
      <c r="AA193" s="12" t="s">
        <v>50</v>
      </c>
      <c r="AB193" s="12" t="s">
        <v>50</v>
      </c>
      <c r="AC193" s="12" t="s">
        <v>50</v>
      </c>
      <c r="AD193" s="12" t="s">
        <v>50</v>
      </c>
      <c r="AE193" s="12" t="s">
        <v>50</v>
      </c>
      <c r="AF193" s="12" t="s">
        <v>50</v>
      </c>
      <c r="AG193" s="12" t="s">
        <v>50</v>
      </c>
      <c r="AH193" s="19" t="s">
        <v>50</v>
      </c>
    </row>
    <row r="194" spans="2:34" ht="22.5" customHeight="1" x14ac:dyDescent="0.25">
      <c r="B194" s="18" t="s">
        <v>591</v>
      </c>
      <c r="C194" s="9" t="s">
        <v>594</v>
      </c>
      <c r="D194" s="10" t="s">
        <v>603</v>
      </c>
      <c r="E194" s="10"/>
      <c r="F194" s="10" t="s">
        <v>448</v>
      </c>
      <c r="G194" s="10" t="s">
        <v>449</v>
      </c>
      <c r="H194" s="10"/>
      <c r="I194" s="16" t="s">
        <v>604</v>
      </c>
      <c r="J194" s="10" t="s">
        <v>448</v>
      </c>
      <c r="K194" s="10" t="s">
        <v>451</v>
      </c>
      <c r="L194" s="10" t="s">
        <v>465</v>
      </c>
      <c r="M194" s="10">
        <v>100017332317</v>
      </c>
      <c r="N194" s="10" t="s">
        <v>540</v>
      </c>
      <c r="O194" s="11">
        <v>1</v>
      </c>
      <c r="P194" s="11">
        <v>0</v>
      </c>
      <c r="Q194" s="11"/>
      <c r="R194" s="11"/>
      <c r="S194" s="12" t="s">
        <v>453</v>
      </c>
      <c r="T194" s="12" t="s">
        <v>50</v>
      </c>
      <c r="U194" s="12" t="s">
        <v>47</v>
      </c>
      <c r="V194" s="12" t="s">
        <v>48</v>
      </c>
      <c r="W194" s="12" t="s">
        <v>49</v>
      </c>
      <c r="X194" s="12" t="s">
        <v>50</v>
      </c>
      <c r="Y194" s="12" t="s">
        <v>50</v>
      </c>
      <c r="Z194" s="12" t="s">
        <v>50</v>
      </c>
      <c r="AA194" s="12" t="s">
        <v>50</v>
      </c>
      <c r="AB194" s="12" t="s">
        <v>50</v>
      </c>
      <c r="AC194" s="12" t="s">
        <v>50</v>
      </c>
      <c r="AD194" s="12" t="s">
        <v>50</v>
      </c>
      <c r="AE194" s="12" t="s">
        <v>50</v>
      </c>
      <c r="AF194" s="12" t="s">
        <v>50</v>
      </c>
      <c r="AG194" s="12" t="s">
        <v>50</v>
      </c>
      <c r="AH194" s="19" t="s">
        <v>50</v>
      </c>
    </row>
    <row r="195" spans="2:34" ht="22.5" customHeight="1" x14ac:dyDescent="0.25">
      <c r="B195" s="18" t="s">
        <v>591</v>
      </c>
      <c r="C195" s="9" t="s">
        <v>594</v>
      </c>
      <c r="D195" s="10" t="s">
        <v>605</v>
      </c>
      <c r="E195" s="10"/>
      <c r="F195" s="10" t="s">
        <v>448</v>
      </c>
      <c r="G195" s="10" t="s">
        <v>449</v>
      </c>
      <c r="H195" s="10"/>
      <c r="I195" s="16" t="s">
        <v>606</v>
      </c>
      <c r="J195" s="10" t="s">
        <v>448</v>
      </c>
      <c r="K195" s="10" t="s">
        <v>451</v>
      </c>
      <c r="L195" s="10" t="s">
        <v>465</v>
      </c>
      <c r="M195" s="10">
        <v>100023012517</v>
      </c>
      <c r="N195" s="10" t="s">
        <v>415</v>
      </c>
      <c r="O195" s="11">
        <v>1</v>
      </c>
      <c r="P195" s="11">
        <v>0</v>
      </c>
      <c r="Q195" s="11"/>
      <c r="R195" s="11"/>
      <c r="S195" s="12" t="s">
        <v>453</v>
      </c>
      <c r="T195" s="12" t="s">
        <v>50</v>
      </c>
      <c r="U195" s="12" t="s">
        <v>47</v>
      </c>
      <c r="V195" s="12" t="s">
        <v>48</v>
      </c>
      <c r="W195" s="12" t="s">
        <v>49</v>
      </c>
      <c r="X195" s="12" t="s">
        <v>50</v>
      </c>
      <c r="Y195" s="12" t="s">
        <v>50</v>
      </c>
      <c r="Z195" s="12" t="s">
        <v>50</v>
      </c>
      <c r="AA195" s="12" t="s">
        <v>50</v>
      </c>
      <c r="AB195" s="12" t="s">
        <v>50</v>
      </c>
      <c r="AC195" s="12" t="s">
        <v>50</v>
      </c>
      <c r="AD195" s="12" t="s">
        <v>50</v>
      </c>
      <c r="AE195" s="12" t="s">
        <v>50</v>
      </c>
      <c r="AF195" s="12" t="s">
        <v>50</v>
      </c>
      <c r="AG195" s="12" t="s">
        <v>50</v>
      </c>
      <c r="AH195" s="19" t="s">
        <v>50</v>
      </c>
    </row>
    <row r="196" spans="2:34" ht="22.5" customHeight="1" x14ac:dyDescent="0.25">
      <c r="B196" s="18" t="s">
        <v>591</v>
      </c>
      <c r="C196" s="9" t="s">
        <v>594</v>
      </c>
      <c r="D196" s="10" t="s">
        <v>607</v>
      </c>
      <c r="E196" s="10"/>
      <c r="F196" s="10" t="s">
        <v>448</v>
      </c>
      <c r="G196" s="10" t="s">
        <v>449</v>
      </c>
      <c r="H196" s="10"/>
      <c r="I196" s="16" t="s">
        <v>608</v>
      </c>
      <c r="J196" s="10" t="s">
        <v>448</v>
      </c>
      <c r="K196" s="10" t="s">
        <v>451</v>
      </c>
      <c r="L196" s="10" t="s">
        <v>465</v>
      </c>
      <c r="M196" s="10">
        <v>100023092517</v>
      </c>
      <c r="N196" s="10" t="s">
        <v>536</v>
      </c>
      <c r="O196" s="11">
        <v>1</v>
      </c>
      <c r="P196" s="11">
        <v>0</v>
      </c>
      <c r="Q196" s="11"/>
      <c r="R196" s="11"/>
      <c r="S196" s="12" t="s">
        <v>453</v>
      </c>
      <c r="T196" s="12" t="s">
        <v>50</v>
      </c>
      <c r="U196" s="12" t="s">
        <v>47</v>
      </c>
      <c r="V196" s="12" t="s">
        <v>48</v>
      </c>
      <c r="W196" s="12" t="s">
        <v>49</v>
      </c>
      <c r="X196" s="12" t="s">
        <v>50</v>
      </c>
      <c r="Y196" s="12" t="s">
        <v>50</v>
      </c>
      <c r="Z196" s="12" t="s">
        <v>50</v>
      </c>
      <c r="AA196" s="12" t="s">
        <v>50</v>
      </c>
      <c r="AB196" s="12" t="s">
        <v>50</v>
      </c>
      <c r="AC196" s="12" t="s">
        <v>50</v>
      </c>
      <c r="AD196" s="12" t="s">
        <v>50</v>
      </c>
      <c r="AE196" s="12" t="s">
        <v>50</v>
      </c>
      <c r="AF196" s="12" t="s">
        <v>50</v>
      </c>
      <c r="AG196" s="12" t="s">
        <v>50</v>
      </c>
      <c r="AH196" s="19" t="s">
        <v>50</v>
      </c>
    </row>
    <row r="197" spans="2:34" ht="22.5" customHeight="1" x14ac:dyDescent="0.25">
      <c r="B197" s="18" t="s">
        <v>591</v>
      </c>
      <c r="C197" s="9" t="s">
        <v>609</v>
      </c>
      <c r="D197" s="10" t="s">
        <v>610</v>
      </c>
      <c r="E197" s="10"/>
      <c r="F197" s="10" t="s">
        <v>448</v>
      </c>
      <c r="G197" s="10" t="s">
        <v>449</v>
      </c>
      <c r="H197" s="10"/>
      <c r="I197" s="16" t="s">
        <v>611</v>
      </c>
      <c r="J197" s="10" t="s">
        <v>448</v>
      </c>
      <c r="K197" s="10" t="s">
        <v>451</v>
      </c>
      <c r="L197" s="10" t="s">
        <v>465</v>
      </c>
      <c r="M197" s="10">
        <v>100017242317</v>
      </c>
      <c r="N197" s="10" t="s">
        <v>536</v>
      </c>
      <c r="O197" s="11">
        <v>1</v>
      </c>
      <c r="P197" s="11">
        <v>0</v>
      </c>
      <c r="Q197" s="11"/>
      <c r="R197" s="11"/>
      <c r="S197" s="12" t="s">
        <v>453</v>
      </c>
      <c r="T197" s="12" t="s">
        <v>50</v>
      </c>
      <c r="U197" s="12" t="s">
        <v>47</v>
      </c>
      <c r="V197" s="12" t="s">
        <v>48</v>
      </c>
      <c r="W197" s="12" t="s">
        <v>49</v>
      </c>
      <c r="X197" s="12" t="s">
        <v>50</v>
      </c>
      <c r="Y197" s="12" t="s">
        <v>50</v>
      </c>
      <c r="Z197" s="12" t="s">
        <v>50</v>
      </c>
      <c r="AA197" s="12" t="s">
        <v>50</v>
      </c>
      <c r="AB197" s="12" t="s">
        <v>50</v>
      </c>
      <c r="AC197" s="12" t="s">
        <v>50</v>
      </c>
      <c r="AD197" s="12" t="s">
        <v>50</v>
      </c>
      <c r="AE197" s="12" t="s">
        <v>50</v>
      </c>
      <c r="AF197" s="12" t="s">
        <v>50</v>
      </c>
      <c r="AG197" s="12" t="s">
        <v>50</v>
      </c>
      <c r="AH197" s="19" t="s">
        <v>50</v>
      </c>
    </row>
    <row r="198" spans="2:34" ht="22.5" customHeight="1" x14ac:dyDescent="0.25">
      <c r="B198" s="18" t="s">
        <v>591</v>
      </c>
      <c r="C198" s="9" t="s">
        <v>609</v>
      </c>
      <c r="D198" s="10" t="s">
        <v>612</v>
      </c>
      <c r="E198" s="10"/>
      <c r="F198" s="10" t="s">
        <v>448</v>
      </c>
      <c r="G198" s="10" t="s">
        <v>449</v>
      </c>
      <c r="H198" s="10"/>
      <c r="I198" s="16" t="s">
        <v>613</v>
      </c>
      <c r="J198" s="10" t="s">
        <v>448</v>
      </c>
      <c r="K198" s="10" t="s">
        <v>451</v>
      </c>
      <c r="L198" s="10" t="s">
        <v>465</v>
      </c>
      <c r="M198" s="10">
        <v>100017242317</v>
      </c>
      <c r="N198" s="10" t="s">
        <v>536</v>
      </c>
      <c r="O198" s="11">
        <v>1</v>
      </c>
      <c r="P198" s="11">
        <v>0</v>
      </c>
      <c r="Q198" s="11"/>
      <c r="R198" s="11"/>
      <c r="S198" s="12" t="s">
        <v>453</v>
      </c>
      <c r="T198" s="12" t="s">
        <v>50</v>
      </c>
      <c r="U198" s="12" t="s">
        <v>47</v>
      </c>
      <c r="V198" s="12" t="s">
        <v>48</v>
      </c>
      <c r="W198" s="12" t="s">
        <v>49</v>
      </c>
      <c r="X198" s="12" t="s">
        <v>50</v>
      </c>
      <c r="Y198" s="12" t="s">
        <v>50</v>
      </c>
      <c r="Z198" s="12" t="s">
        <v>50</v>
      </c>
      <c r="AA198" s="12" t="s">
        <v>50</v>
      </c>
      <c r="AB198" s="12" t="s">
        <v>50</v>
      </c>
      <c r="AC198" s="12" t="s">
        <v>50</v>
      </c>
      <c r="AD198" s="12" t="s">
        <v>50</v>
      </c>
      <c r="AE198" s="12" t="s">
        <v>50</v>
      </c>
      <c r="AF198" s="12" t="s">
        <v>50</v>
      </c>
      <c r="AG198" s="12" t="s">
        <v>50</v>
      </c>
      <c r="AH198" s="19" t="s">
        <v>50</v>
      </c>
    </row>
    <row r="199" spans="2:34" ht="22.5" customHeight="1" x14ac:dyDescent="0.25">
      <c r="B199" s="18" t="s">
        <v>35</v>
      </c>
      <c r="C199" s="9" t="s">
        <v>614</v>
      </c>
      <c r="D199" s="10" t="s">
        <v>615</v>
      </c>
      <c r="E199" s="10"/>
      <c r="F199" s="10" t="s">
        <v>448</v>
      </c>
      <c r="G199" s="10" t="s">
        <v>449</v>
      </c>
      <c r="H199" s="10"/>
      <c r="I199" s="16" t="s">
        <v>616</v>
      </c>
      <c r="J199" s="10" t="s">
        <v>448</v>
      </c>
      <c r="K199" s="10" t="s">
        <v>451</v>
      </c>
      <c r="L199" s="10" t="s">
        <v>465</v>
      </c>
      <c r="M199" s="10">
        <v>100023162517</v>
      </c>
      <c r="N199" s="10" t="s">
        <v>536</v>
      </c>
      <c r="O199" s="11">
        <v>1</v>
      </c>
      <c r="P199" s="11">
        <v>0</v>
      </c>
      <c r="Q199" s="11"/>
      <c r="R199" s="11"/>
      <c r="S199" s="12" t="s">
        <v>453</v>
      </c>
      <c r="T199" s="12" t="s">
        <v>50</v>
      </c>
      <c r="U199" s="12" t="s">
        <v>47</v>
      </c>
      <c r="V199" s="12" t="s">
        <v>48</v>
      </c>
      <c r="W199" s="12" t="s">
        <v>49</v>
      </c>
      <c r="X199" s="12" t="s">
        <v>50</v>
      </c>
      <c r="Y199" s="12" t="s">
        <v>50</v>
      </c>
      <c r="Z199" s="12" t="s">
        <v>50</v>
      </c>
      <c r="AA199" s="12" t="s">
        <v>50</v>
      </c>
      <c r="AB199" s="12" t="s">
        <v>50</v>
      </c>
      <c r="AC199" s="12" t="s">
        <v>50</v>
      </c>
      <c r="AD199" s="12" t="s">
        <v>50</v>
      </c>
      <c r="AE199" s="12" t="s">
        <v>50</v>
      </c>
      <c r="AF199" s="12" t="s">
        <v>50</v>
      </c>
      <c r="AG199" s="12" t="s">
        <v>50</v>
      </c>
      <c r="AH199" s="19" t="s">
        <v>50</v>
      </c>
    </row>
    <row r="200" spans="2:34" ht="22.5" customHeight="1" x14ac:dyDescent="0.25">
      <c r="B200" s="18" t="s">
        <v>35</v>
      </c>
      <c r="C200" s="9" t="s">
        <v>614</v>
      </c>
      <c r="D200" s="10" t="s">
        <v>615</v>
      </c>
      <c r="E200" s="10"/>
      <c r="F200" s="10" t="s">
        <v>448</v>
      </c>
      <c r="G200" s="10" t="s">
        <v>449</v>
      </c>
      <c r="H200" s="10"/>
      <c r="I200" s="16" t="s">
        <v>617</v>
      </c>
      <c r="J200" s="10" t="s">
        <v>448</v>
      </c>
      <c r="K200" s="10" t="s">
        <v>451</v>
      </c>
      <c r="L200" s="10" t="s">
        <v>465</v>
      </c>
      <c r="M200" s="10">
        <v>100023162517</v>
      </c>
      <c r="N200" s="10" t="s">
        <v>536</v>
      </c>
      <c r="O200" s="11">
        <v>1</v>
      </c>
      <c r="P200" s="11">
        <v>0</v>
      </c>
      <c r="Q200" s="11"/>
      <c r="R200" s="11"/>
      <c r="S200" s="12" t="s">
        <v>453</v>
      </c>
      <c r="T200" s="12" t="s">
        <v>50</v>
      </c>
      <c r="U200" s="12" t="s">
        <v>47</v>
      </c>
      <c r="V200" s="12" t="s">
        <v>48</v>
      </c>
      <c r="W200" s="12" t="s">
        <v>49</v>
      </c>
      <c r="X200" s="12" t="s">
        <v>50</v>
      </c>
      <c r="Y200" s="12" t="s">
        <v>50</v>
      </c>
      <c r="Z200" s="12" t="s">
        <v>50</v>
      </c>
      <c r="AA200" s="12" t="s">
        <v>50</v>
      </c>
      <c r="AB200" s="12" t="s">
        <v>50</v>
      </c>
      <c r="AC200" s="12" t="s">
        <v>50</v>
      </c>
      <c r="AD200" s="12" t="s">
        <v>50</v>
      </c>
      <c r="AE200" s="12" t="s">
        <v>50</v>
      </c>
      <c r="AF200" s="12" t="s">
        <v>50</v>
      </c>
      <c r="AG200" s="12" t="s">
        <v>50</v>
      </c>
      <c r="AH200" s="19" t="s">
        <v>50</v>
      </c>
    </row>
    <row r="201" spans="2:34" ht="22.5" customHeight="1" x14ac:dyDescent="0.25">
      <c r="B201" s="18" t="s">
        <v>35</v>
      </c>
      <c r="C201" s="9" t="s">
        <v>614</v>
      </c>
      <c r="D201" s="10" t="s">
        <v>615</v>
      </c>
      <c r="E201" s="10"/>
      <c r="F201" s="10" t="s">
        <v>448</v>
      </c>
      <c r="G201" s="10" t="s">
        <v>449</v>
      </c>
      <c r="H201" s="10"/>
      <c r="I201" s="16" t="s">
        <v>618</v>
      </c>
      <c r="J201" s="10" t="s">
        <v>448</v>
      </c>
      <c r="K201" s="10" t="s">
        <v>451</v>
      </c>
      <c r="L201" s="10" t="s">
        <v>465</v>
      </c>
      <c r="M201" s="10">
        <v>100080061517</v>
      </c>
      <c r="N201" s="10" t="s">
        <v>466</v>
      </c>
      <c r="O201" s="11">
        <v>1</v>
      </c>
      <c r="P201" s="11">
        <v>0</v>
      </c>
      <c r="Q201" s="11"/>
      <c r="R201" s="11"/>
      <c r="S201" s="12" t="s">
        <v>453</v>
      </c>
      <c r="T201" s="12" t="s">
        <v>50</v>
      </c>
      <c r="U201" s="12" t="s">
        <v>47</v>
      </c>
      <c r="V201" s="12" t="s">
        <v>48</v>
      </c>
      <c r="W201" s="12" t="s">
        <v>49</v>
      </c>
      <c r="X201" s="12" t="s">
        <v>50</v>
      </c>
      <c r="Y201" s="12" t="s">
        <v>50</v>
      </c>
      <c r="Z201" s="12" t="s">
        <v>50</v>
      </c>
      <c r="AA201" s="12" t="s">
        <v>50</v>
      </c>
      <c r="AB201" s="12" t="s">
        <v>50</v>
      </c>
      <c r="AC201" s="12" t="s">
        <v>50</v>
      </c>
      <c r="AD201" s="12" t="s">
        <v>50</v>
      </c>
      <c r="AE201" s="12" t="s">
        <v>50</v>
      </c>
      <c r="AF201" s="12" t="s">
        <v>50</v>
      </c>
      <c r="AG201" s="12" t="s">
        <v>50</v>
      </c>
      <c r="AH201" s="19" t="s">
        <v>50</v>
      </c>
    </row>
    <row r="202" spans="2:34" ht="22.5" customHeight="1" x14ac:dyDescent="0.25">
      <c r="B202" s="18" t="s">
        <v>35</v>
      </c>
      <c r="C202" s="9" t="s">
        <v>614</v>
      </c>
      <c r="D202" s="10" t="s">
        <v>615</v>
      </c>
      <c r="E202" s="10"/>
      <c r="F202" s="10" t="s">
        <v>448</v>
      </c>
      <c r="G202" s="10" t="s">
        <v>449</v>
      </c>
      <c r="H202" s="10"/>
      <c r="I202" s="16" t="s">
        <v>619</v>
      </c>
      <c r="J202" s="10" t="s">
        <v>448</v>
      </c>
      <c r="K202" s="10" t="s">
        <v>451</v>
      </c>
      <c r="L202" s="10" t="s">
        <v>465</v>
      </c>
      <c r="M202" s="10">
        <v>100023152517</v>
      </c>
      <c r="N202" s="10" t="s">
        <v>545</v>
      </c>
      <c r="O202" s="11">
        <v>1</v>
      </c>
      <c r="P202" s="11">
        <v>0</v>
      </c>
      <c r="Q202" s="11"/>
      <c r="R202" s="11"/>
      <c r="S202" s="12" t="s">
        <v>453</v>
      </c>
      <c r="T202" s="12" t="s">
        <v>50</v>
      </c>
      <c r="U202" s="12" t="s">
        <v>47</v>
      </c>
      <c r="V202" s="12" t="s">
        <v>48</v>
      </c>
      <c r="W202" s="12" t="s">
        <v>49</v>
      </c>
      <c r="X202" s="12" t="s">
        <v>50</v>
      </c>
      <c r="Y202" s="12" t="s">
        <v>50</v>
      </c>
      <c r="Z202" s="12" t="s">
        <v>50</v>
      </c>
      <c r="AA202" s="12" t="s">
        <v>50</v>
      </c>
      <c r="AB202" s="12" t="s">
        <v>50</v>
      </c>
      <c r="AC202" s="12" t="s">
        <v>50</v>
      </c>
      <c r="AD202" s="12" t="s">
        <v>50</v>
      </c>
      <c r="AE202" s="12" t="s">
        <v>50</v>
      </c>
      <c r="AF202" s="12" t="s">
        <v>50</v>
      </c>
      <c r="AG202" s="12" t="s">
        <v>50</v>
      </c>
      <c r="AH202" s="19" t="s">
        <v>50</v>
      </c>
    </row>
    <row r="203" spans="2:34" ht="22.5" customHeight="1" x14ac:dyDescent="0.25">
      <c r="B203" s="18" t="s">
        <v>620</v>
      </c>
      <c r="C203" s="9" t="s">
        <v>174</v>
      </c>
      <c r="D203" s="10" t="s">
        <v>621</v>
      </c>
      <c r="E203" s="10"/>
      <c r="F203" s="10" t="s">
        <v>448</v>
      </c>
      <c r="G203" s="10" t="s">
        <v>449</v>
      </c>
      <c r="H203" s="10"/>
      <c r="I203" s="16" t="s">
        <v>622</v>
      </c>
      <c r="J203" s="10" t="s">
        <v>448</v>
      </c>
      <c r="K203" s="10" t="s">
        <v>451</v>
      </c>
      <c r="L203" s="10" t="s">
        <v>465</v>
      </c>
      <c r="M203" s="10">
        <v>100080201517</v>
      </c>
      <c r="N203" s="10" t="s">
        <v>466</v>
      </c>
      <c r="O203" s="11">
        <v>1</v>
      </c>
      <c r="P203" s="11">
        <v>0</v>
      </c>
      <c r="Q203" s="11"/>
      <c r="R203" s="11"/>
      <c r="S203" s="12" t="s">
        <v>453</v>
      </c>
      <c r="T203" s="12" t="s">
        <v>50</v>
      </c>
      <c r="U203" s="12" t="s">
        <v>47</v>
      </c>
      <c r="V203" s="12" t="s">
        <v>48</v>
      </c>
      <c r="W203" s="12" t="s">
        <v>49</v>
      </c>
      <c r="X203" s="12" t="s">
        <v>50</v>
      </c>
      <c r="Y203" s="12" t="s">
        <v>50</v>
      </c>
      <c r="Z203" s="12" t="s">
        <v>50</v>
      </c>
      <c r="AA203" s="12" t="s">
        <v>50</v>
      </c>
      <c r="AB203" s="12" t="s">
        <v>50</v>
      </c>
      <c r="AC203" s="12" t="s">
        <v>50</v>
      </c>
      <c r="AD203" s="12" t="s">
        <v>50</v>
      </c>
      <c r="AE203" s="12" t="s">
        <v>50</v>
      </c>
      <c r="AF203" s="12" t="s">
        <v>50</v>
      </c>
      <c r="AG203" s="12" t="s">
        <v>50</v>
      </c>
      <c r="AH203" s="19" t="s">
        <v>50</v>
      </c>
    </row>
    <row r="204" spans="2:34" ht="22.5" customHeight="1" x14ac:dyDescent="0.25">
      <c r="B204" s="18" t="s">
        <v>620</v>
      </c>
      <c r="C204" s="9" t="s">
        <v>174</v>
      </c>
      <c r="D204" s="10" t="s">
        <v>621</v>
      </c>
      <c r="E204" s="10"/>
      <c r="F204" s="10" t="s">
        <v>448</v>
      </c>
      <c r="G204" s="10" t="s">
        <v>449</v>
      </c>
      <c r="H204" s="10"/>
      <c r="I204" s="16" t="s">
        <v>623</v>
      </c>
      <c r="J204" s="10" t="s">
        <v>448</v>
      </c>
      <c r="K204" s="10" t="s">
        <v>451</v>
      </c>
      <c r="L204" s="10" t="s">
        <v>465</v>
      </c>
      <c r="M204" s="10">
        <v>0</v>
      </c>
      <c r="N204" s="10" t="s">
        <v>514</v>
      </c>
      <c r="O204" s="11">
        <v>1</v>
      </c>
      <c r="P204" s="11">
        <v>0</v>
      </c>
      <c r="Q204" s="11"/>
      <c r="R204" s="11"/>
      <c r="S204" s="12" t="s">
        <v>453</v>
      </c>
      <c r="T204" s="12" t="s">
        <v>50</v>
      </c>
      <c r="U204" s="12" t="s">
        <v>47</v>
      </c>
      <c r="V204" s="12" t="s">
        <v>48</v>
      </c>
      <c r="W204" s="12" t="s">
        <v>49</v>
      </c>
      <c r="X204" s="12" t="s">
        <v>50</v>
      </c>
      <c r="Y204" s="12" t="s">
        <v>50</v>
      </c>
      <c r="Z204" s="12" t="s">
        <v>50</v>
      </c>
      <c r="AA204" s="12" t="s">
        <v>50</v>
      </c>
      <c r="AB204" s="12" t="s">
        <v>50</v>
      </c>
      <c r="AC204" s="12" t="s">
        <v>50</v>
      </c>
      <c r="AD204" s="12" t="s">
        <v>50</v>
      </c>
      <c r="AE204" s="12" t="s">
        <v>50</v>
      </c>
      <c r="AF204" s="12" t="s">
        <v>50</v>
      </c>
      <c r="AG204" s="12" t="s">
        <v>50</v>
      </c>
      <c r="AH204" s="19" t="s">
        <v>50</v>
      </c>
    </row>
    <row r="205" spans="2:34" ht="22.5" customHeight="1" x14ac:dyDescent="0.25">
      <c r="B205" s="18" t="s">
        <v>620</v>
      </c>
      <c r="C205" s="9" t="s">
        <v>174</v>
      </c>
      <c r="D205" s="10" t="s">
        <v>621</v>
      </c>
      <c r="E205" s="10"/>
      <c r="F205" s="10" t="s">
        <v>448</v>
      </c>
      <c r="G205" s="10" t="s">
        <v>449</v>
      </c>
      <c r="H205" s="10"/>
      <c r="I205" s="16" t="s">
        <v>624</v>
      </c>
      <c r="J205" s="10" t="s">
        <v>448</v>
      </c>
      <c r="K205" s="10" t="s">
        <v>451</v>
      </c>
      <c r="L205" s="10" t="s">
        <v>465</v>
      </c>
      <c r="M205" s="10">
        <v>0</v>
      </c>
      <c r="N205" s="10" t="s">
        <v>514</v>
      </c>
      <c r="O205" s="11">
        <v>1</v>
      </c>
      <c r="P205" s="11">
        <v>0</v>
      </c>
      <c r="Q205" s="11"/>
      <c r="R205" s="11"/>
      <c r="S205" s="12" t="s">
        <v>453</v>
      </c>
      <c r="T205" s="12" t="s">
        <v>50</v>
      </c>
      <c r="U205" s="12" t="s">
        <v>47</v>
      </c>
      <c r="V205" s="12" t="s">
        <v>48</v>
      </c>
      <c r="W205" s="12" t="s">
        <v>49</v>
      </c>
      <c r="X205" s="12" t="s">
        <v>50</v>
      </c>
      <c r="Y205" s="12" t="s">
        <v>50</v>
      </c>
      <c r="Z205" s="12" t="s">
        <v>50</v>
      </c>
      <c r="AA205" s="12" t="s">
        <v>50</v>
      </c>
      <c r="AB205" s="12" t="s">
        <v>50</v>
      </c>
      <c r="AC205" s="12" t="s">
        <v>50</v>
      </c>
      <c r="AD205" s="12" t="s">
        <v>50</v>
      </c>
      <c r="AE205" s="12" t="s">
        <v>50</v>
      </c>
      <c r="AF205" s="12" t="s">
        <v>50</v>
      </c>
      <c r="AG205" s="12" t="s">
        <v>50</v>
      </c>
      <c r="AH205" s="19" t="s">
        <v>50</v>
      </c>
    </row>
    <row r="206" spans="2:34" ht="22.5" customHeight="1" x14ac:dyDescent="0.25">
      <c r="B206" s="18" t="s">
        <v>620</v>
      </c>
      <c r="C206" s="9" t="s">
        <v>174</v>
      </c>
      <c r="D206" s="10" t="s">
        <v>621</v>
      </c>
      <c r="E206" s="10"/>
      <c r="F206" s="10" t="s">
        <v>448</v>
      </c>
      <c r="G206" s="10" t="s">
        <v>449</v>
      </c>
      <c r="H206" s="10"/>
      <c r="I206" s="16" t="s">
        <v>625</v>
      </c>
      <c r="J206" s="10" t="s">
        <v>448</v>
      </c>
      <c r="K206" s="10" t="s">
        <v>451</v>
      </c>
      <c r="L206" s="10" t="s">
        <v>465</v>
      </c>
      <c r="M206" s="10">
        <v>0</v>
      </c>
      <c r="N206" s="10" t="s">
        <v>514</v>
      </c>
      <c r="O206" s="11">
        <v>1</v>
      </c>
      <c r="P206" s="11">
        <v>0</v>
      </c>
      <c r="Q206" s="11"/>
      <c r="R206" s="11"/>
      <c r="S206" s="12" t="s">
        <v>453</v>
      </c>
      <c r="T206" s="12" t="s">
        <v>50</v>
      </c>
      <c r="U206" s="12" t="s">
        <v>47</v>
      </c>
      <c r="V206" s="12" t="s">
        <v>48</v>
      </c>
      <c r="W206" s="12" t="s">
        <v>49</v>
      </c>
      <c r="X206" s="12" t="s">
        <v>50</v>
      </c>
      <c r="Y206" s="12" t="s">
        <v>50</v>
      </c>
      <c r="Z206" s="12" t="s">
        <v>50</v>
      </c>
      <c r="AA206" s="12" t="s">
        <v>50</v>
      </c>
      <c r="AB206" s="12" t="s">
        <v>50</v>
      </c>
      <c r="AC206" s="12" t="s">
        <v>50</v>
      </c>
      <c r="AD206" s="12" t="s">
        <v>50</v>
      </c>
      <c r="AE206" s="12" t="s">
        <v>50</v>
      </c>
      <c r="AF206" s="12" t="s">
        <v>50</v>
      </c>
      <c r="AG206" s="12" t="s">
        <v>50</v>
      </c>
      <c r="AH206" s="19" t="s">
        <v>50</v>
      </c>
    </row>
    <row r="207" spans="2:34" ht="22.5" customHeight="1" x14ac:dyDescent="0.25">
      <c r="B207" s="18" t="s">
        <v>620</v>
      </c>
      <c r="C207" s="9" t="s">
        <v>174</v>
      </c>
      <c r="D207" s="10" t="s">
        <v>621</v>
      </c>
      <c r="E207" s="10"/>
      <c r="F207" s="10" t="s">
        <v>448</v>
      </c>
      <c r="G207" s="10" t="s">
        <v>449</v>
      </c>
      <c r="H207" s="10"/>
      <c r="I207" s="16" t="s">
        <v>626</v>
      </c>
      <c r="J207" s="10" t="s">
        <v>448</v>
      </c>
      <c r="K207" s="10" t="s">
        <v>451</v>
      </c>
      <c r="L207" s="10" t="s">
        <v>465</v>
      </c>
      <c r="M207" s="10">
        <v>0</v>
      </c>
      <c r="N207" s="10" t="s">
        <v>469</v>
      </c>
      <c r="O207" s="11">
        <v>1</v>
      </c>
      <c r="P207" s="11">
        <v>0</v>
      </c>
      <c r="Q207" s="11"/>
      <c r="R207" s="11"/>
      <c r="S207" s="12" t="s">
        <v>453</v>
      </c>
      <c r="T207" s="12" t="s">
        <v>50</v>
      </c>
      <c r="U207" s="12" t="s">
        <v>47</v>
      </c>
      <c r="V207" s="12" t="s">
        <v>48</v>
      </c>
      <c r="W207" s="12" t="s">
        <v>49</v>
      </c>
      <c r="X207" s="12" t="s">
        <v>50</v>
      </c>
      <c r="Y207" s="12" t="s">
        <v>50</v>
      </c>
      <c r="Z207" s="12" t="s">
        <v>50</v>
      </c>
      <c r="AA207" s="12" t="s">
        <v>50</v>
      </c>
      <c r="AB207" s="12" t="s">
        <v>50</v>
      </c>
      <c r="AC207" s="12" t="s">
        <v>50</v>
      </c>
      <c r="AD207" s="12" t="s">
        <v>50</v>
      </c>
      <c r="AE207" s="12" t="s">
        <v>50</v>
      </c>
      <c r="AF207" s="12" t="s">
        <v>50</v>
      </c>
      <c r="AG207" s="12" t="s">
        <v>50</v>
      </c>
      <c r="AH207" s="19" t="s">
        <v>50</v>
      </c>
    </row>
    <row r="208" spans="2:34" ht="22.5" customHeight="1" x14ac:dyDescent="0.25">
      <c r="B208" s="18" t="s">
        <v>620</v>
      </c>
      <c r="C208" s="9" t="s">
        <v>174</v>
      </c>
      <c r="D208" s="10" t="s">
        <v>621</v>
      </c>
      <c r="E208" s="10"/>
      <c r="F208" s="10" t="s">
        <v>448</v>
      </c>
      <c r="G208" s="10" t="s">
        <v>449</v>
      </c>
      <c r="H208" s="10"/>
      <c r="I208" s="16" t="s">
        <v>627</v>
      </c>
      <c r="J208" s="10" t="s">
        <v>448</v>
      </c>
      <c r="K208" s="10" t="s">
        <v>451</v>
      </c>
      <c r="L208" s="10" t="s">
        <v>465</v>
      </c>
      <c r="M208" s="10">
        <v>0</v>
      </c>
      <c r="N208" s="10" t="s">
        <v>628</v>
      </c>
      <c r="O208" s="11">
        <v>1</v>
      </c>
      <c r="P208" s="11">
        <v>0</v>
      </c>
      <c r="Q208" s="11"/>
      <c r="R208" s="11"/>
      <c r="S208" s="12" t="s">
        <v>453</v>
      </c>
      <c r="T208" s="12" t="s">
        <v>50</v>
      </c>
      <c r="U208" s="12" t="s">
        <v>47</v>
      </c>
      <c r="V208" s="12" t="s">
        <v>48</v>
      </c>
      <c r="W208" s="12" t="s">
        <v>49</v>
      </c>
      <c r="X208" s="12" t="s">
        <v>50</v>
      </c>
      <c r="Y208" s="12" t="s">
        <v>50</v>
      </c>
      <c r="Z208" s="12" t="s">
        <v>50</v>
      </c>
      <c r="AA208" s="12" t="s">
        <v>50</v>
      </c>
      <c r="AB208" s="12" t="s">
        <v>50</v>
      </c>
      <c r="AC208" s="12" t="s">
        <v>50</v>
      </c>
      <c r="AD208" s="12" t="s">
        <v>50</v>
      </c>
      <c r="AE208" s="12" t="s">
        <v>50</v>
      </c>
      <c r="AF208" s="12" t="s">
        <v>50</v>
      </c>
      <c r="AG208" s="12" t="s">
        <v>50</v>
      </c>
      <c r="AH208" s="19" t="s">
        <v>50</v>
      </c>
    </row>
    <row r="209" spans="2:34" ht="22.5" customHeight="1" x14ac:dyDescent="0.25">
      <c r="B209" s="18" t="s">
        <v>620</v>
      </c>
      <c r="C209" s="9" t="s">
        <v>174</v>
      </c>
      <c r="D209" s="10" t="s">
        <v>621</v>
      </c>
      <c r="E209" s="10"/>
      <c r="F209" s="10" t="s">
        <v>448</v>
      </c>
      <c r="G209" s="10" t="s">
        <v>449</v>
      </c>
      <c r="H209" s="10"/>
      <c r="I209" s="16" t="s">
        <v>629</v>
      </c>
      <c r="J209" s="10" t="s">
        <v>448</v>
      </c>
      <c r="K209" s="10" t="s">
        <v>451</v>
      </c>
      <c r="L209" s="10" t="s">
        <v>465</v>
      </c>
      <c r="M209" s="10">
        <v>0</v>
      </c>
      <c r="N209" s="10" t="s">
        <v>628</v>
      </c>
      <c r="O209" s="11">
        <v>1</v>
      </c>
      <c r="P209" s="11">
        <v>0</v>
      </c>
      <c r="Q209" s="11"/>
      <c r="R209" s="11"/>
      <c r="S209" s="12" t="s">
        <v>453</v>
      </c>
      <c r="T209" s="12" t="s">
        <v>50</v>
      </c>
      <c r="U209" s="12" t="s">
        <v>47</v>
      </c>
      <c r="V209" s="12" t="s">
        <v>48</v>
      </c>
      <c r="W209" s="12" t="s">
        <v>49</v>
      </c>
      <c r="X209" s="12" t="s">
        <v>50</v>
      </c>
      <c r="Y209" s="12" t="s">
        <v>50</v>
      </c>
      <c r="Z209" s="12" t="s">
        <v>50</v>
      </c>
      <c r="AA209" s="12" t="s">
        <v>50</v>
      </c>
      <c r="AB209" s="12" t="s">
        <v>50</v>
      </c>
      <c r="AC209" s="12" t="s">
        <v>50</v>
      </c>
      <c r="AD209" s="12" t="s">
        <v>50</v>
      </c>
      <c r="AE209" s="12" t="s">
        <v>50</v>
      </c>
      <c r="AF209" s="12" t="s">
        <v>50</v>
      </c>
      <c r="AG209" s="12" t="s">
        <v>50</v>
      </c>
      <c r="AH209" s="19" t="s">
        <v>50</v>
      </c>
    </row>
    <row r="210" spans="2:34" ht="22.5" customHeight="1" x14ac:dyDescent="0.25">
      <c r="B210" s="18" t="s">
        <v>620</v>
      </c>
      <c r="C210" s="9" t="s">
        <v>174</v>
      </c>
      <c r="D210" s="10" t="s">
        <v>621</v>
      </c>
      <c r="E210" s="10"/>
      <c r="F210" s="10" t="s">
        <v>448</v>
      </c>
      <c r="G210" s="10" t="s">
        <v>449</v>
      </c>
      <c r="H210" s="10"/>
      <c r="I210" s="16" t="s">
        <v>630</v>
      </c>
      <c r="J210" s="10" t="s">
        <v>448</v>
      </c>
      <c r="K210" s="10" t="s">
        <v>451</v>
      </c>
      <c r="L210" s="10" t="s">
        <v>465</v>
      </c>
      <c r="M210" s="10">
        <v>0</v>
      </c>
      <c r="N210" s="10" t="s">
        <v>505</v>
      </c>
      <c r="O210" s="11">
        <v>1</v>
      </c>
      <c r="P210" s="11">
        <v>0</v>
      </c>
      <c r="Q210" s="11"/>
      <c r="R210" s="11"/>
      <c r="S210" s="12" t="s">
        <v>453</v>
      </c>
      <c r="T210" s="12" t="s">
        <v>50</v>
      </c>
      <c r="U210" s="12" t="s">
        <v>47</v>
      </c>
      <c r="V210" s="12" t="s">
        <v>48</v>
      </c>
      <c r="W210" s="12" t="s">
        <v>49</v>
      </c>
      <c r="X210" s="12" t="s">
        <v>50</v>
      </c>
      <c r="Y210" s="12" t="s">
        <v>50</v>
      </c>
      <c r="Z210" s="12" t="s">
        <v>50</v>
      </c>
      <c r="AA210" s="12" t="s">
        <v>50</v>
      </c>
      <c r="AB210" s="12" t="s">
        <v>50</v>
      </c>
      <c r="AC210" s="12" t="s">
        <v>50</v>
      </c>
      <c r="AD210" s="12" t="s">
        <v>50</v>
      </c>
      <c r="AE210" s="12" t="s">
        <v>50</v>
      </c>
      <c r="AF210" s="12" t="s">
        <v>50</v>
      </c>
      <c r="AG210" s="12" t="s">
        <v>50</v>
      </c>
      <c r="AH210" s="19" t="s">
        <v>50</v>
      </c>
    </row>
    <row r="211" spans="2:34" ht="22.5" customHeight="1" x14ac:dyDescent="0.25">
      <c r="B211" s="18" t="s">
        <v>620</v>
      </c>
      <c r="C211" s="9" t="s">
        <v>174</v>
      </c>
      <c r="D211" s="10" t="s">
        <v>621</v>
      </c>
      <c r="E211" s="10"/>
      <c r="F211" s="10" t="s">
        <v>448</v>
      </c>
      <c r="G211" s="10" t="s">
        <v>449</v>
      </c>
      <c r="H211" s="10"/>
      <c r="I211" s="16" t="s">
        <v>631</v>
      </c>
      <c r="J211" s="10" t="s">
        <v>448</v>
      </c>
      <c r="K211" s="10" t="s">
        <v>451</v>
      </c>
      <c r="L211" s="10" t="s">
        <v>465</v>
      </c>
      <c r="M211" s="10">
        <v>0</v>
      </c>
      <c r="N211" s="10" t="s">
        <v>514</v>
      </c>
      <c r="O211" s="11">
        <v>1</v>
      </c>
      <c r="P211" s="11">
        <v>0</v>
      </c>
      <c r="Q211" s="11"/>
      <c r="R211" s="11"/>
      <c r="S211" s="12" t="s">
        <v>453</v>
      </c>
      <c r="T211" s="12" t="s">
        <v>50</v>
      </c>
      <c r="U211" s="12" t="s">
        <v>47</v>
      </c>
      <c r="V211" s="12" t="s">
        <v>48</v>
      </c>
      <c r="W211" s="12" t="s">
        <v>49</v>
      </c>
      <c r="X211" s="12" t="s">
        <v>50</v>
      </c>
      <c r="Y211" s="12" t="s">
        <v>50</v>
      </c>
      <c r="Z211" s="12" t="s">
        <v>50</v>
      </c>
      <c r="AA211" s="12" t="s">
        <v>50</v>
      </c>
      <c r="AB211" s="12" t="s">
        <v>50</v>
      </c>
      <c r="AC211" s="12" t="s">
        <v>50</v>
      </c>
      <c r="AD211" s="12" t="s">
        <v>50</v>
      </c>
      <c r="AE211" s="12" t="s">
        <v>50</v>
      </c>
      <c r="AF211" s="12" t="s">
        <v>50</v>
      </c>
      <c r="AG211" s="12" t="s">
        <v>50</v>
      </c>
      <c r="AH211" s="19" t="s">
        <v>50</v>
      </c>
    </row>
    <row r="212" spans="2:34" ht="22.5" customHeight="1" x14ac:dyDescent="0.25">
      <c r="B212" s="18" t="s">
        <v>632</v>
      </c>
      <c r="C212" s="9" t="s">
        <v>462</v>
      </c>
      <c r="D212" s="10" t="s">
        <v>633</v>
      </c>
      <c r="E212" s="10"/>
      <c r="F212" s="10" t="s">
        <v>448</v>
      </c>
      <c r="G212" s="10" t="s">
        <v>449</v>
      </c>
      <c r="H212" s="10"/>
      <c r="I212" s="16" t="s">
        <v>634</v>
      </c>
      <c r="J212" s="10" t="s">
        <v>448</v>
      </c>
      <c r="K212" s="10" t="s">
        <v>451</v>
      </c>
      <c r="L212" s="10" t="s">
        <v>452</v>
      </c>
      <c r="M212" s="10">
        <v>201628860</v>
      </c>
      <c r="N212" s="10" t="s">
        <v>190</v>
      </c>
      <c r="O212" s="11">
        <v>1</v>
      </c>
      <c r="P212" s="11">
        <v>0</v>
      </c>
      <c r="Q212" s="11"/>
      <c r="R212" s="11"/>
      <c r="S212" s="12" t="s">
        <v>453</v>
      </c>
      <c r="T212" s="12" t="s">
        <v>50</v>
      </c>
      <c r="U212" s="12" t="s">
        <v>47</v>
      </c>
      <c r="V212" s="12" t="s">
        <v>48</v>
      </c>
      <c r="W212" s="12" t="s">
        <v>49</v>
      </c>
      <c r="X212" s="12" t="s">
        <v>50</v>
      </c>
      <c r="Y212" s="12" t="s">
        <v>50</v>
      </c>
      <c r="Z212" s="12" t="s">
        <v>50</v>
      </c>
      <c r="AA212" s="12" t="s">
        <v>50</v>
      </c>
      <c r="AB212" s="12" t="s">
        <v>50</v>
      </c>
      <c r="AC212" s="12" t="s">
        <v>50</v>
      </c>
      <c r="AD212" s="12" t="s">
        <v>50</v>
      </c>
      <c r="AE212" s="12" t="s">
        <v>50</v>
      </c>
      <c r="AF212" s="12" t="s">
        <v>50</v>
      </c>
      <c r="AG212" s="12" t="s">
        <v>50</v>
      </c>
      <c r="AH212" s="19" t="s">
        <v>50</v>
      </c>
    </row>
    <row r="213" spans="2:34" ht="22.5" customHeight="1" x14ac:dyDescent="0.25">
      <c r="B213" s="18" t="s">
        <v>632</v>
      </c>
      <c r="C213" s="9" t="s">
        <v>462</v>
      </c>
      <c r="D213" s="10" t="s">
        <v>633</v>
      </c>
      <c r="E213" s="10"/>
      <c r="F213" s="10" t="s">
        <v>448</v>
      </c>
      <c r="G213" s="10" t="s">
        <v>449</v>
      </c>
      <c r="H213" s="10"/>
      <c r="I213" s="16" t="s">
        <v>635</v>
      </c>
      <c r="J213" s="10" t="s">
        <v>448</v>
      </c>
      <c r="K213" s="10" t="s">
        <v>451</v>
      </c>
      <c r="L213" s="10" t="s">
        <v>452</v>
      </c>
      <c r="M213" s="10">
        <v>201628776</v>
      </c>
      <c r="N213" s="10" t="s">
        <v>190</v>
      </c>
      <c r="O213" s="11">
        <v>1</v>
      </c>
      <c r="P213" s="11">
        <v>0</v>
      </c>
      <c r="Q213" s="11"/>
      <c r="R213" s="11"/>
      <c r="S213" s="12" t="s">
        <v>453</v>
      </c>
      <c r="T213" s="12" t="s">
        <v>50</v>
      </c>
      <c r="U213" s="12" t="s">
        <v>47</v>
      </c>
      <c r="V213" s="12" t="s">
        <v>48</v>
      </c>
      <c r="W213" s="12" t="s">
        <v>49</v>
      </c>
      <c r="X213" s="12" t="s">
        <v>50</v>
      </c>
      <c r="Y213" s="12" t="s">
        <v>50</v>
      </c>
      <c r="Z213" s="12" t="s">
        <v>50</v>
      </c>
      <c r="AA213" s="12" t="s">
        <v>50</v>
      </c>
      <c r="AB213" s="12" t="s">
        <v>50</v>
      </c>
      <c r="AC213" s="12" t="s">
        <v>50</v>
      </c>
      <c r="AD213" s="12" t="s">
        <v>50</v>
      </c>
      <c r="AE213" s="12" t="s">
        <v>50</v>
      </c>
      <c r="AF213" s="12" t="s">
        <v>50</v>
      </c>
      <c r="AG213" s="12" t="s">
        <v>50</v>
      </c>
      <c r="AH213" s="19" t="s">
        <v>50</v>
      </c>
    </row>
    <row r="214" spans="2:34" ht="22.5" customHeight="1" x14ac:dyDescent="0.25">
      <c r="B214" s="18" t="s">
        <v>632</v>
      </c>
      <c r="C214" s="9" t="s">
        <v>462</v>
      </c>
      <c r="D214" s="10" t="s">
        <v>633</v>
      </c>
      <c r="E214" s="10"/>
      <c r="F214" s="10" t="s">
        <v>448</v>
      </c>
      <c r="G214" s="10" t="s">
        <v>449</v>
      </c>
      <c r="H214" s="10"/>
      <c r="I214" s="16" t="s">
        <v>636</v>
      </c>
      <c r="J214" s="10" t="s">
        <v>448</v>
      </c>
      <c r="K214" s="10" t="s">
        <v>451</v>
      </c>
      <c r="L214" s="10" t="s">
        <v>465</v>
      </c>
      <c r="M214" s="10">
        <v>100014182217</v>
      </c>
      <c r="N214" s="10" t="s">
        <v>171</v>
      </c>
      <c r="O214" s="11">
        <v>1</v>
      </c>
      <c r="P214" s="11">
        <v>0</v>
      </c>
      <c r="Q214" s="11"/>
      <c r="R214" s="11"/>
      <c r="S214" s="12" t="s">
        <v>453</v>
      </c>
      <c r="T214" s="12" t="s">
        <v>50</v>
      </c>
      <c r="U214" s="12" t="s">
        <v>47</v>
      </c>
      <c r="V214" s="12" t="s">
        <v>48</v>
      </c>
      <c r="W214" s="12" t="s">
        <v>49</v>
      </c>
      <c r="X214" s="12" t="s">
        <v>50</v>
      </c>
      <c r="Y214" s="12" t="s">
        <v>50</v>
      </c>
      <c r="Z214" s="12" t="s">
        <v>50</v>
      </c>
      <c r="AA214" s="12" t="s">
        <v>50</v>
      </c>
      <c r="AB214" s="12" t="s">
        <v>50</v>
      </c>
      <c r="AC214" s="12" t="s">
        <v>50</v>
      </c>
      <c r="AD214" s="12" t="s">
        <v>50</v>
      </c>
      <c r="AE214" s="12" t="s">
        <v>50</v>
      </c>
      <c r="AF214" s="12" t="s">
        <v>50</v>
      </c>
      <c r="AG214" s="12" t="s">
        <v>50</v>
      </c>
      <c r="AH214" s="19" t="s">
        <v>50</v>
      </c>
    </row>
    <row r="215" spans="2:34" ht="22.5" customHeight="1" x14ac:dyDescent="0.25">
      <c r="B215" s="18" t="s">
        <v>632</v>
      </c>
      <c r="C215" s="9" t="s">
        <v>462</v>
      </c>
      <c r="D215" s="10" t="s">
        <v>633</v>
      </c>
      <c r="E215" s="10"/>
      <c r="F215" s="10" t="s">
        <v>448</v>
      </c>
      <c r="G215" s="10" t="s">
        <v>449</v>
      </c>
      <c r="H215" s="10"/>
      <c r="I215" s="16" t="s">
        <v>637</v>
      </c>
      <c r="J215" s="10" t="s">
        <v>448</v>
      </c>
      <c r="K215" s="10" t="s">
        <v>451</v>
      </c>
      <c r="L215" s="10" t="s">
        <v>465</v>
      </c>
      <c r="M215" s="10">
        <v>100014142217</v>
      </c>
      <c r="N215" s="10" t="s">
        <v>171</v>
      </c>
      <c r="O215" s="11">
        <v>1</v>
      </c>
      <c r="P215" s="11">
        <v>0</v>
      </c>
      <c r="Q215" s="11"/>
      <c r="R215" s="11"/>
      <c r="S215" s="12" t="s">
        <v>453</v>
      </c>
      <c r="T215" s="12" t="s">
        <v>50</v>
      </c>
      <c r="U215" s="12" t="s">
        <v>47</v>
      </c>
      <c r="V215" s="12" t="s">
        <v>48</v>
      </c>
      <c r="W215" s="12" t="s">
        <v>49</v>
      </c>
      <c r="X215" s="12" t="s">
        <v>50</v>
      </c>
      <c r="Y215" s="12" t="s">
        <v>50</v>
      </c>
      <c r="Z215" s="12" t="s">
        <v>50</v>
      </c>
      <c r="AA215" s="12" t="s">
        <v>50</v>
      </c>
      <c r="AB215" s="12" t="s">
        <v>50</v>
      </c>
      <c r="AC215" s="12" t="s">
        <v>50</v>
      </c>
      <c r="AD215" s="12" t="s">
        <v>50</v>
      </c>
      <c r="AE215" s="12" t="s">
        <v>50</v>
      </c>
      <c r="AF215" s="12" t="s">
        <v>50</v>
      </c>
      <c r="AG215" s="12" t="s">
        <v>50</v>
      </c>
      <c r="AH215" s="19" t="s">
        <v>50</v>
      </c>
    </row>
    <row r="216" spans="2:34" ht="22.5" customHeight="1" x14ac:dyDescent="0.25">
      <c r="B216" s="18" t="s">
        <v>446</v>
      </c>
      <c r="C216" s="9" t="s">
        <v>174</v>
      </c>
      <c r="D216" s="10" t="s">
        <v>447</v>
      </c>
      <c r="E216" s="10"/>
      <c r="F216" s="10" t="s">
        <v>448</v>
      </c>
      <c r="G216" s="10" t="s">
        <v>449</v>
      </c>
      <c r="H216" s="10"/>
      <c r="I216" s="16" t="s">
        <v>184</v>
      </c>
      <c r="J216" s="10"/>
      <c r="K216" s="10"/>
      <c r="L216" s="16"/>
      <c r="M216" s="16"/>
      <c r="N216" s="16"/>
      <c r="O216" s="11">
        <v>1</v>
      </c>
      <c r="P216" s="11">
        <v>0</v>
      </c>
      <c r="Q216" s="11"/>
      <c r="R216" s="11"/>
      <c r="S216" s="12" t="s">
        <v>453</v>
      </c>
      <c r="T216" s="12" t="s">
        <v>50</v>
      </c>
      <c r="U216" s="12" t="s">
        <v>47</v>
      </c>
      <c r="V216" s="12" t="s">
        <v>48</v>
      </c>
      <c r="W216" s="12" t="s">
        <v>49</v>
      </c>
      <c r="X216" s="12" t="s">
        <v>50</v>
      </c>
      <c r="Y216" s="12" t="s">
        <v>50</v>
      </c>
      <c r="Z216" s="12" t="s">
        <v>50</v>
      </c>
      <c r="AA216" s="12" t="s">
        <v>50</v>
      </c>
      <c r="AB216" s="12" t="s">
        <v>50</v>
      </c>
      <c r="AC216" s="12" t="s">
        <v>50</v>
      </c>
      <c r="AD216" s="12" t="s">
        <v>50</v>
      </c>
      <c r="AE216" s="12" t="s">
        <v>50</v>
      </c>
      <c r="AF216" s="12" t="s">
        <v>50</v>
      </c>
      <c r="AG216" s="12" t="s">
        <v>50</v>
      </c>
      <c r="AH216" s="19" t="s">
        <v>50</v>
      </c>
    </row>
    <row r="217" spans="2:34" ht="22.5" customHeight="1" x14ac:dyDescent="0.25">
      <c r="B217" s="18" t="s">
        <v>461</v>
      </c>
      <c r="C217" s="9" t="s">
        <v>638</v>
      </c>
      <c r="D217" s="10" t="s">
        <v>639</v>
      </c>
      <c r="E217" s="10"/>
      <c r="F217" s="10" t="s">
        <v>38</v>
      </c>
      <c r="G217" s="10" t="s">
        <v>449</v>
      </c>
      <c r="H217" s="10"/>
      <c r="I217" s="16" t="s">
        <v>184</v>
      </c>
      <c r="J217" s="10"/>
      <c r="K217" s="10"/>
      <c r="L217" s="16"/>
      <c r="M217" s="16"/>
      <c r="N217" s="16"/>
      <c r="O217" s="11">
        <v>0</v>
      </c>
      <c r="P217" s="11">
        <v>1</v>
      </c>
      <c r="Q217" s="11"/>
      <c r="R217" s="11"/>
      <c r="S217" s="12" t="s">
        <v>45</v>
      </c>
      <c r="T217" s="12" t="s">
        <v>46</v>
      </c>
      <c r="U217" s="12" t="s">
        <v>47</v>
      </c>
      <c r="V217" s="12" t="s">
        <v>48</v>
      </c>
      <c r="W217" s="12" t="s">
        <v>49</v>
      </c>
      <c r="X217" s="12" t="s">
        <v>50</v>
      </c>
      <c r="Y217" s="12" t="s">
        <v>50</v>
      </c>
      <c r="Z217" s="12" t="s">
        <v>50</v>
      </c>
      <c r="AA217" s="12" t="s">
        <v>50</v>
      </c>
      <c r="AB217" s="12" t="s">
        <v>51</v>
      </c>
      <c r="AC217" s="12" t="s">
        <v>50</v>
      </c>
      <c r="AD217" s="12" t="s">
        <v>50</v>
      </c>
      <c r="AE217" s="12" t="s">
        <v>52</v>
      </c>
      <c r="AF217" s="12" t="s">
        <v>53</v>
      </c>
      <c r="AG217" s="12" t="s">
        <v>50</v>
      </c>
      <c r="AH217" s="19" t="s">
        <v>54</v>
      </c>
    </row>
    <row r="218" spans="2:34" ht="22.5" customHeight="1" x14ac:dyDescent="0.25">
      <c r="B218" s="18" t="s">
        <v>161</v>
      </c>
      <c r="C218" s="9" t="s">
        <v>238</v>
      </c>
      <c r="D218" s="10" t="s">
        <v>239</v>
      </c>
      <c r="E218" s="10"/>
      <c r="F218" s="10" t="s">
        <v>164</v>
      </c>
      <c r="G218" s="10" t="s">
        <v>165</v>
      </c>
      <c r="H218" s="10"/>
      <c r="I218" s="16" t="s">
        <v>184</v>
      </c>
      <c r="J218" s="10"/>
      <c r="K218" s="10"/>
      <c r="L218" s="16"/>
      <c r="M218" s="16"/>
      <c r="N218" s="16"/>
      <c r="O218" s="11">
        <v>0</v>
      </c>
      <c r="P218" s="11">
        <v>1</v>
      </c>
      <c r="Q218" s="11"/>
      <c r="R218" s="11"/>
      <c r="S218" s="12" t="s">
        <v>172</v>
      </c>
      <c r="T218" s="12" t="s">
        <v>173</v>
      </c>
      <c r="U218" s="12" t="s">
        <v>50</v>
      </c>
      <c r="V218" s="12" t="s">
        <v>48</v>
      </c>
      <c r="W218" s="12" t="s">
        <v>49</v>
      </c>
      <c r="X218" s="12" t="s">
        <v>50</v>
      </c>
      <c r="Y218" s="12" t="s">
        <v>50</v>
      </c>
      <c r="Z218" s="12" t="s">
        <v>50</v>
      </c>
      <c r="AA218" s="12" t="s">
        <v>50</v>
      </c>
      <c r="AB218" s="12" t="s">
        <v>50</v>
      </c>
      <c r="AC218" s="12" t="s">
        <v>50</v>
      </c>
      <c r="AD218" s="12" t="s">
        <v>50</v>
      </c>
      <c r="AE218" s="12" t="s">
        <v>50</v>
      </c>
      <c r="AF218" s="12" t="s">
        <v>50</v>
      </c>
      <c r="AG218" s="12" t="s">
        <v>50</v>
      </c>
      <c r="AH218" s="19" t="s">
        <v>54</v>
      </c>
    </row>
    <row r="219" spans="2:34" ht="22.5" customHeight="1" x14ac:dyDescent="0.25">
      <c r="B219" s="18" t="s">
        <v>161</v>
      </c>
      <c r="C219" s="9" t="s">
        <v>238</v>
      </c>
      <c r="D219" s="10" t="s">
        <v>242</v>
      </c>
      <c r="E219" s="10"/>
      <c r="F219" s="10" t="s">
        <v>164</v>
      </c>
      <c r="G219" s="10" t="s">
        <v>165</v>
      </c>
      <c r="H219" s="10"/>
      <c r="I219" s="16" t="s">
        <v>184</v>
      </c>
      <c r="J219" s="10"/>
      <c r="K219" s="10"/>
      <c r="L219" s="16"/>
      <c r="M219" s="16"/>
      <c r="N219" s="16"/>
      <c r="O219" s="11">
        <v>0</v>
      </c>
      <c r="P219" s="11">
        <v>1</v>
      </c>
      <c r="Q219" s="11"/>
      <c r="R219" s="11"/>
      <c r="S219" s="12" t="s">
        <v>172</v>
      </c>
      <c r="T219" s="12" t="s">
        <v>173</v>
      </c>
      <c r="U219" s="12" t="s">
        <v>50</v>
      </c>
      <c r="V219" s="12" t="s">
        <v>48</v>
      </c>
      <c r="W219" s="12" t="s">
        <v>49</v>
      </c>
      <c r="X219" s="12" t="s">
        <v>50</v>
      </c>
      <c r="Y219" s="12" t="s">
        <v>50</v>
      </c>
      <c r="Z219" s="12" t="s">
        <v>50</v>
      </c>
      <c r="AA219" s="12" t="s">
        <v>50</v>
      </c>
      <c r="AB219" s="12" t="s">
        <v>50</v>
      </c>
      <c r="AC219" s="12" t="s">
        <v>50</v>
      </c>
      <c r="AD219" s="12" t="s">
        <v>50</v>
      </c>
      <c r="AE219" s="12" t="s">
        <v>50</v>
      </c>
      <c r="AF219" s="12" t="s">
        <v>50</v>
      </c>
      <c r="AG219" s="12" t="s">
        <v>50</v>
      </c>
      <c r="AH219" s="19" t="s">
        <v>54</v>
      </c>
    </row>
    <row r="220" spans="2:34" ht="22.5" customHeight="1" x14ac:dyDescent="0.25">
      <c r="B220" s="18" t="s">
        <v>161</v>
      </c>
      <c r="C220" s="9" t="s">
        <v>238</v>
      </c>
      <c r="D220" s="10" t="s">
        <v>245</v>
      </c>
      <c r="E220" s="10"/>
      <c r="F220" s="10" t="s">
        <v>164</v>
      </c>
      <c r="G220" s="10" t="s">
        <v>165</v>
      </c>
      <c r="H220" s="10"/>
      <c r="I220" s="16" t="s">
        <v>184</v>
      </c>
      <c r="J220" s="10"/>
      <c r="K220" s="10"/>
      <c r="L220" s="16"/>
      <c r="M220" s="16"/>
      <c r="N220" s="16"/>
      <c r="O220" s="11">
        <v>0</v>
      </c>
      <c r="P220" s="11">
        <v>1</v>
      </c>
      <c r="Q220" s="11"/>
      <c r="R220" s="11"/>
      <c r="S220" s="12" t="s">
        <v>172</v>
      </c>
      <c r="T220" s="12" t="s">
        <v>173</v>
      </c>
      <c r="U220" s="12" t="s">
        <v>50</v>
      </c>
      <c r="V220" s="12" t="s">
        <v>48</v>
      </c>
      <c r="W220" s="12" t="s">
        <v>49</v>
      </c>
      <c r="X220" s="12" t="s">
        <v>50</v>
      </c>
      <c r="Y220" s="12" t="s">
        <v>50</v>
      </c>
      <c r="Z220" s="12" t="s">
        <v>50</v>
      </c>
      <c r="AA220" s="12" t="s">
        <v>50</v>
      </c>
      <c r="AB220" s="12" t="s">
        <v>50</v>
      </c>
      <c r="AC220" s="12" t="s">
        <v>50</v>
      </c>
      <c r="AD220" s="12" t="s">
        <v>50</v>
      </c>
      <c r="AE220" s="12" t="s">
        <v>50</v>
      </c>
      <c r="AF220" s="12" t="s">
        <v>50</v>
      </c>
      <c r="AG220" s="12" t="s">
        <v>50</v>
      </c>
      <c r="AH220" s="19" t="s">
        <v>54</v>
      </c>
    </row>
    <row r="221" spans="2:34" ht="22.5" customHeight="1" x14ac:dyDescent="0.25">
      <c r="B221" s="18" t="s">
        <v>161</v>
      </c>
      <c r="C221" s="9" t="s">
        <v>238</v>
      </c>
      <c r="D221" s="10" t="s">
        <v>248</v>
      </c>
      <c r="E221" s="10"/>
      <c r="F221" s="10" t="s">
        <v>164</v>
      </c>
      <c r="G221" s="10" t="s">
        <v>165</v>
      </c>
      <c r="H221" s="10"/>
      <c r="I221" s="16" t="s">
        <v>184</v>
      </c>
      <c r="J221" s="10"/>
      <c r="K221" s="10"/>
      <c r="L221" s="16"/>
      <c r="M221" s="16"/>
      <c r="N221" s="16"/>
      <c r="O221" s="11">
        <v>0</v>
      </c>
      <c r="P221" s="11">
        <v>1</v>
      </c>
      <c r="Q221" s="11"/>
      <c r="R221" s="11"/>
      <c r="S221" s="12" t="s">
        <v>172</v>
      </c>
      <c r="T221" s="12" t="s">
        <v>173</v>
      </c>
      <c r="U221" s="12" t="s">
        <v>50</v>
      </c>
      <c r="V221" s="12" t="s">
        <v>48</v>
      </c>
      <c r="W221" s="12" t="s">
        <v>49</v>
      </c>
      <c r="X221" s="12" t="s">
        <v>50</v>
      </c>
      <c r="Y221" s="12" t="s">
        <v>50</v>
      </c>
      <c r="Z221" s="12" t="s">
        <v>50</v>
      </c>
      <c r="AA221" s="12" t="s">
        <v>50</v>
      </c>
      <c r="AB221" s="12" t="s">
        <v>50</v>
      </c>
      <c r="AC221" s="12" t="s">
        <v>50</v>
      </c>
      <c r="AD221" s="12" t="s">
        <v>50</v>
      </c>
      <c r="AE221" s="12" t="s">
        <v>50</v>
      </c>
      <c r="AF221" s="12" t="s">
        <v>50</v>
      </c>
      <c r="AG221" s="12" t="s">
        <v>50</v>
      </c>
      <c r="AH221" s="19" t="s">
        <v>54</v>
      </c>
    </row>
    <row r="222" spans="2:34" ht="22.5" customHeight="1" x14ac:dyDescent="0.25">
      <c r="B222" s="18" t="s">
        <v>161</v>
      </c>
      <c r="C222" s="9" t="s">
        <v>251</v>
      </c>
      <c r="D222" s="10" t="s">
        <v>252</v>
      </c>
      <c r="E222" s="10"/>
      <c r="F222" s="10" t="s">
        <v>164</v>
      </c>
      <c r="G222" s="10" t="s">
        <v>165</v>
      </c>
      <c r="H222" s="10"/>
      <c r="I222" s="16" t="s">
        <v>184</v>
      </c>
      <c r="J222" s="10"/>
      <c r="K222" s="10"/>
      <c r="L222" s="16"/>
      <c r="M222" s="16"/>
      <c r="N222" s="16"/>
      <c r="O222" s="11">
        <v>0</v>
      </c>
      <c r="P222" s="11">
        <v>1</v>
      </c>
      <c r="Q222" s="11"/>
      <c r="R222" s="11"/>
      <c r="S222" s="12" t="s">
        <v>172</v>
      </c>
      <c r="T222" s="12" t="s">
        <v>173</v>
      </c>
      <c r="U222" s="12" t="s">
        <v>50</v>
      </c>
      <c r="V222" s="12" t="s">
        <v>48</v>
      </c>
      <c r="W222" s="12" t="s">
        <v>49</v>
      </c>
      <c r="X222" s="12" t="s">
        <v>50</v>
      </c>
      <c r="Y222" s="12" t="s">
        <v>50</v>
      </c>
      <c r="Z222" s="12" t="s">
        <v>50</v>
      </c>
      <c r="AA222" s="12" t="s">
        <v>50</v>
      </c>
      <c r="AB222" s="12" t="s">
        <v>50</v>
      </c>
      <c r="AC222" s="12" t="s">
        <v>50</v>
      </c>
      <c r="AD222" s="12" t="s">
        <v>50</v>
      </c>
      <c r="AE222" s="12" t="s">
        <v>50</v>
      </c>
      <c r="AF222" s="12" t="s">
        <v>50</v>
      </c>
      <c r="AG222" s="12" t="s">
        <v>50</v>
      </c>
      <c r="AH222" s="19" t="s">
        <v>54</v>
      </c>
    </row>
    <row r="223" spans="2:34" ht="22.5" customHeight="1" x14ac:dyDescent="0.25">
      <c r="B223" s="18" t="s">
        <v>161</v>
      </c>
      <c r="C223" s="9" t="s">
        <v>251</v>
      </c>
      <c r="D223" s="10" t="s">
        <v>255</v>
      </c>
      <c r="E223" s="10"/>
      <c r="F223" s="10" t="s">
        <v>164</v>
      </c>
      <c r="G223" s="10" t="s">
        <v>165</v>
      </c>
      <c r="H223" s="10"/>
      <c r="I223" s="16" t="s">
        <v>184</v>
      </c>
      <c r="J223" s="10"/>
      <c r="K223" s="10"/>
      <c r="L223" s="16"/>
      <c r="M223" s="16"/>
      <c r="N223" s="16"/>
      <c r="O223" s="11">
        <v>0</v>
      </c>
      <c r="P223" s="11">
        <v>1</v>
      </c>
      <c r="Q223" s="11"/>
      <c r="R223" s="11"/>
      <c r="S223" s="12" t="s">
        <v>172</v>
      </c>
      <c r="T223" s="12" t="s">
        <v>173</v>
      </c>
      <c r="U223" s="12" t="s">
        <v>50</v>
      </c>
      <c r="V223" s="12" t="s">
        <v>48</v>
      </c>
      <c r="W223" s="12" t="s">
        <v>49</v>
      </c>
      <c r="X223" s="12" t="s">
        <v>50</v>
      </c>
      <c r="Y223" s="12" t="s">
        <v>50</v>
      </c>
      <c r="Z223" s="12" t="s">
        <v>50</v>
      </c>
      <c r="AA223" s="12" t="s">
        <v>50</v>
      </c>
      <c r="AB223" s="12" t="s">
        <v>50</v>
      </c>
      <c r="AC223" s="12" t="s">
        <v>50</v>
      </c>
      <c r="AD223" s="12" t="s">
        <v>50</v>
      </c>
      <c r="AE223" s="12" t="s">
        <v>50</v>
      </c>
      <c r="AF223" s="12" t="s">
        <v>50</v>
      </c>
      <c r="AG223" s="12" t="s">
        <v>50</v>
      </c>
      <c r="AH223" s="19" t="s">
        <v>54</v>
      </c>
    </row>
    <row r="224" spans="2:34" ht="22.5" customHeight="1" x14ac:dyDescent="0.25">
      <c r="B224" s="18" t="s">
        <v>161</v>
      </c>
      <c r="C224" s="9" t="s">
        <v>251</v>
      </c>
      <c r="D224" s="10" t="s">
        <v>258</v>
      </c>
      <c r="E224" s="10"/>
      <c r="F224" s="10" t="s">
        <v>164</v>
      </c>
      <c r="G224" s="10" t="s">
        <v>165</v>
      </c>
      <c r="H224" s="10"/>
      <c r="I224" s="16" t="s">
        <v>184</v>
      </c>
      <c r="J224" s="10"/>
      <c r="K224" s="10"/>
      <c r="L224" s="16"/>
      <c r="M224" s="16"/>
      <c r="N224" s="16"/>
      <c r="O224" s="11">
        <v>0</v>
      </c>
      <c r="P224" s="11">
        <v>1</v>
      </c>
      <c r="Q224" s="11"/>
      <c r="R224" s="11"/>
      <c r="S224" s="12" t="s">
        <v>172</v>
      </c>
      <c r="T224" s="12" t="s">
        <v>173</v>
      </c>
      <c r="U224" s="12" t="s">
        <v>50</v>
      </c>
      <c r="V224" s="12" t="s">
        <v>48</v>
      </c>
      <c r="W224" s="12" t="s">
        <v>49</v>
      </c>
      <c r="X224" s="12" t="s">
        <v>50</v>
      </c>
      <c r="Y224" s="12" t="s">
        <v>50</v>
      </c>
      <c r="Z224" s="12" t="s">
        <v>50</v>
      </c>
      <c r="AA224" s="12" t="s">
        <v>50</v>
      </c>
      <c r="AB224" s="12" t="s">
        <v>50</v>
      </c>
      <c r="AC224" s="12" t="s">
        <v>50</v>
      </c>
      <c r="AD224" s="12" t="s">
        <v>50</v>
      </c>
      <c r="AE224" s="12" t="s">
        <v>50</v>
      </c>
      <c r="AF224" s="12" t="s">
        <v>50</v>
      </c>
      <c r="AG224" s="12" t="s">
        <v>50</v>
      </c>
      <c r="AH224" s="19" t="s">
        <v>54</v>
      </c>
    </row>
    <row r="225" spans="2:34" ht="22.5" customHeight="1" x14ac:dyDescent="0.25">
      <c r="B225" s="18" t="s">
        <v>161</v>
      </c>
      <c r="C225" s="9" t="s">
        <v>251</v>
      </c>
      <c r="D225" s="10" t="s">
        <v>261</v>
      </c>
      <c r="E225" s="10"/>
      <c r="F225" s="10" t="s">
        <v>164</v>
      </c>
      <c r="G225" s="10" t="s">
        <v>165</v>
      </c>
      <c r="H225" s="10"/>
      <c r="I225" s="16" t="s">
        <v>184</v>
      </c>
      <c r="J225" s="10"/>
      <c r="K225" s="10"/>
      <c r="L225" s="16"/>
      <c r="M225" s="16"/>
      <c r="N225" s="16"/>
      <c r="O225" s="11">
        <v>0</v>
      </c>
      <c r="P225" s="11">
        <v>1</v>
      </c>
      <c r="Q225" s="11"/>
      <c r="R225" s="11"/>
      <c r="S225" s="12" t="s">
        <v>172</v>
      </c>
      <c r="T225" s="12" t="s">
        <v>173</v>
      </c>
      <c r="U225" s="12" t="s">
        <v>50</v>
      </c>
      <c r="V225" s="12" t="s">
        <v>48</v>
      </c>
      <c r="W225" s="12" t="s">
        <v>49</v>
      </c>
      <c r="X225" s="12" t="s">
        <v>50</v>
      </c>
      <c r="Y225" s="12" t="s">
        <v>50</v>
      </c>
      <c r="Z225" s="12" t="s">
        <v>50</v>
      </c>
      <c r="AA225" s="12" t="s">
        <v>50</v>
      </c>
      <c r="AB225" s="12" t="s">
        <v>50</v>
      </c>
      <c r="AC225" s="12" t="s">
        <v>50</v>
      </c>
      <c r="AD225" s="12" t="s">
        <v>50</v>
      </c>
      <c r="AE225" s="12" t="s">
        <v>50</v>
      </c>
      <c r="AF225" s="12" t="s">
        <v>50</v>
      </c>
      <c r="AG225" s="12" t="s">
        <v>50</v>
      </c>
      <c r="AH225" s="19" t="s">
        <v>54</v>
      </c>
    </row>
    <row r="226" spans="2:34" ht="22.5" customHeight="1" x14ac:dyDescent="0.25">
      <c r="B226" s="18" t="s">
        <v>161</v>
      </c>
      <c r="C226" s="9" t="s">
        <v>191</v>
      </c>
      <c r="D226" s="10" t="s">
        <v>229</v>
      </c>
      <c r="E226" s="10"/>
      <c r="F226" s="10" t="s">
        <v>164</v>
      </c>
      <c r="G226" s="10" t="s">
        <v>165</v>
      </c>
      <c r="H226" s="10"/>
      <c r="I226" s="16" t="s">
        <v>184</v>
      </c>
      <c r="J226" s="10"/>
      <c r="K226" s="10"/>
      <c r="L226" s="16"/>
      <c r="M226" s="16"/>
      <c r="N226" s="16"/>
      <c r="O226" s="11">
        <v>0</v>
      </c>
      <c r="P226" s="11">
        <v>2</v>
      </c>
      <c r="Q226" s="11"/>
      <c r="R226" s="11"/>
      <c r="S226" s="12" t="s">
        <v>172</v>
      </c>
      <c r="T226" s="12" t="s">
        <v>173</v>
      </c>
      <c r="U226" s="12" t="s">
        <v>50</v>
      </c>
      <c r="V226" s="12" t="s">
        <v>48</v>
      </c>
      <c r="W226" s="12" t="s">
        <v>49</v>
      </c>
      <c r="X226" s="12" t="s">
        <v>50</v>
      </c>
      <c r="Y226" s="12" t="s">
        <v>50</v>
      </c>
      <c r="Z226" s="12" t="s">
        <v>50</v>
      </c>
      <c r="AA226" s="12" t="s">
        <v>50</v>
      </c>
      <c r="AB226" s="12" t="s">
        <v>50</v>
      </c>
      <c r="AC226" s="12" t="s">
        <v>50</v>
      </c>
      <c r="AD226" s="12" t="s">
        <v>50</v>
      </c>
      <c r="AE226" s="12" t="s">
        <v>50</v>
      </c>
      <c r="AF226" s="12" t="s">
        <v>50</v>
      </c>
      <c r="AG226" s="12" t="s">
        <v>50</v>
      </c>
      <c r="AH226" s="19" t="s">
        <v>54</v>
      </c>
    </row>
    <row r="227" spans="2:34" ht="22.5" customHeight="1" x14ac:dyDescent="0.25">
      <c r="B227" s="18" t="s">
        <v>161</v>
      </c>
      <c r="C227" s="9" t="s">
        <v>191</v>
      </c>
      <c r="D227" s="10" t="s">
        <v>233</v>
      </c>
      <c r="E227" s="10"/>
      <c r="F227" s="10" t="s">
        <v>164</v>
      </c>
      <c r="G227" s="10" t="s">
        <v>165</v>
      </c>
      <c r="H227" s="10"/>
      <c r="I227" s="16" t="s">
        <v>184</v>
      </c>
      <c r="J227" s="10"/>
      <c r="K227" s="10"/>
      <c r="L227" s="16"/>
      <c r="M227" s="16"/>
      <c r="N227" s="16"/>
      <c r="O227" s="11">
        <v>0</v>
      </c>
      <c r="P227" s="11">
        <v>2</v>
      </c>
      <c r="Q227" s="11"/>
      <c r="R227" s="11"/>
      <c r="S227" s="12" t="s">
        <v>172</v>
      </c>
      <c r="T227" s="12" t="s">
        <v>173</v>
      </c>
      <c r="U227" s="12" t="s">
        <v>50</v>
      </c>
      <c r="V227" s="12" t="s">
        <v>48</v>
      </c>
      <c r="W227" s="12" t="s">
        <v>49</v>
      </c>
      <c r="X227" s="12" t="s">
        <v>50</v>
      </c>
      <c r="Y227" s="12" t="s">
        <v>50</v>
      </c>
      <c r="Z227" s="12" t="s">
        <v>50</v>
      </c>
      <c r="AA227" s="12" t="s">
        <v>50</v>
      </c>
      <c r="AB227" s="12" t="s">
        <v>50</v>
      </c>
      <c r="AC227" s="12" t="s">
        <v>50</v>
      </c>
      <c r="AD227" s="12" t="s">
        <v>50</v>
      </c>
      <c r="AE227" s="12" t="s">
        <v>50</v>
      </c>
      <c r="AF227" s="12" t="s">
        <v>50</v>
      </c>
      <c r="AG227" s="12" t="s">
        <v>50</v>
      </c>
      <c r="AH227" s="19" t="s">
        <v>54</v>
      </c>
    </row>
    <row r="228" spans="2:34" ht="22.5" customHeight="1" x14ac:dyDescent="0.25">
      <c r="B228" s="18" t="s">
        <v>161</v>
      </c>
      <c r="C228" s="9" t="s">
        <v>191</v>
      </c>
      <c r="D228" s="10" t="s">
        <v>264</v>
      </c>
      <c r="E228" s="10"/>
      <c r="F228" s="10" t="s">
        <v>164</v>
      </c>
      <c r="G228" s="10" t="s">
        <v>165</v>
      </c>
      <c r="H228" s="10"/>
      <c r="I228" s="16" t="s">
        <v>184</v>
      </c>
      <c r="J228" s="10"/>
      <c r="K228" s="10"/>
      <c r="L228" s="16"/>
      <c r="M228" s="16"/>
      <c r="N228" s="16"/>
      <c r="O228" s="11">
        <v>0</v>
      </c>
      <c r="P228" s="11">
        <v>2</v>
      </c>
      <c r="Q228" s="11"/>
      <c r="R228" s="11"/>
      <c r="S228" s="12" t="s">
        <v>172</v>
      </c>
      <c r="T228" s="12" t="s">
        <v>173</v>
      </c>
      <c r="U228" s="12" t="s">
        <v>50</v>
      </c>
      <c r="V228" s="12" t="s">
        <v>48</v>
      </c>
      <c r="W228" s="12" t="s">
        <v>49</v>
      </c>
      <c r="X228" s="12" t="s">
        <v>50</v>
      </c>
      <c r="Y228" s="12" t="s">
        <v>50</v>
      </c>
      <c r="Z228" s="12" t="s">
        <v>50</v>
      </c>
      <c r="AA228" s="12" t="s">
        <v>50</v>
      </c>
      <c r="AB228" s="12" t="s">
        <v>50</v>
      </c>
      <c r="AC228" s="12" t="s">
        <v>50</v>
      </c>
      <c r="AD228" s="12" t="s">
        <v>50</v>
      </c>
      <c r="AE228" s="12" t="s">
        <v>50</v>
      </c>
      <c r="AF228" s="12" t="s">
        <v>50</v>
      </c>
      <c r="AG228" s="12" t="s">
        <v>50</v>
      </c>
      <c r="AH228" s="19" t="s">
        <v>54</v>
      </c>
    </row>
    <row r="229" spans="2:34" ht="22.5" customHeight="1" x14ac:dyDescent="0.25">
      <c r="B229" s="18" t="s">
        <v>161</v>
      </c>
      <c r="C229" s="9" t="s">
        <v>191</v>
      </c>
      <c r="D229" s="10" t="s">
        <v>270</v>
      </c>
      <c r="E229" s="10"/>
      <c r="F229" s="10" t="s">
        <v>164</v>
      </c>
      <c r="G229" s="10" t="s">
        <v>165</v>
      </c>
      <c r="H229" s="10"/>
      <c r="I229" s="16" t="s">
        <v>184</v>
      </c>
      <c r="J229" s="10"/>
      <c r="K229" s="10"/>
      <c r="L229" s="16"/>
      <c r="M229" s="16"/>
      <c r="N229" s="16"/>
      <c r="O229" s="11">
        <v>0</v>
      </c>
      <c r="P229" s="11">
        <v>2</v>
      </c>
      <c r="Q229" s="11"/>
      <c r="R229" s="11"/>
      <c r="S229" s="12" t="s">
        <v>172</v>
      </c>
      <c r="T229" s="12" t="s">
        <v>173</v>
      </c>
      <c r="U229" s="12" t="s">
        <v>50</v>
      </c>
      <c r="V229" s="12" t="s">
        <v>48</v>
      </c>
      <c r="W229" s="12" t="s">
        <v>49</v>
      </c>
      <c r="X229" s="12" t="s">
        <v>50</v>
      </c>
      <c r="Y229" s="12" t="s">
        <v>50</v>
      </c>
      <c r="Z229" s="12" t="s">
        <v>50</v>
      </c>
      <c r="AA229" s="12" t="s">
        <v>50</v>
      </c>
      <c r="AB229" s="12" t="s">
        <v>50</v>
      </c>
      <c r="AC229" s="12" t="s">
        <v>50</v>
      </c>
      <c r="AD229" s="12" t="s">
        <v>50</v>
      </c>
      <c r="AE229" s="12" t="s">
        <v>50</v>
      </c>
      <c r="AF229" s="12" t="s">
        <v>50</v>
      </c>
      <c r="AG229" s="12" t="s">
        <v>50</v>
      </c>
      <c r="AH229" s="19" t="s">
        <v>54</v>
      </c>
    </row>
    <row r="230" spans="2:34" ht="22.5" customHeight="1" x14ac:dyDescent="0.25">
      <c r="B230" s="18" t="s">
        <v>161</v>
      </c>
      <c r="C230" s="9" t="s">
        <v>640</v>
      </c>
      <c r="D230" s="10" t="s">
        <v>641</v>
      </c>
      <c r="E230" s="10"/>
      <c r="F230" s="10" t="s">
        <v>642</v>
      </c>
      <c r="G230" s="10" t="s">
        <v>39</v>
      </c>
      <c r="H230" s="10"/>
      <c r="I230" s="16" t="s">
        <v>184</v>
      </c>
      <c r="J230" s="10"/>
      <c r="K230" s="10"/>
      <c r="L230" s="16"/>
      <c r="M230" s="16"/>
      <c r="N230" s="16"/>
      <c r="O230" s="11">
        <v>0</v>
      </c>
      <c r="P230" s="11">
        <v>1</v>
      </c>
      <c r="Q230" s="11"/>
      <c r="R230" s="11"/>
      <c r="S230" s="12" t="s">
        <v>643</v>
      </c>
      <c r="T230" s="12" t="s">
        <v>50</v>
      </c>
      <c r="U230" s="12" t="s">
        <v>50</v>
      </c>
      <c r="V230" s="12" t="s">
        <v>50</v>
      </c>
      <c r="W230" s="12" t="s">
        <v>50</v>
      </c>
      <c r="X230" s="12" t="s">
        <v>50</v>
      </c>
      <c r="Y230" s="12" t="s">
        <v>50</v>
      </c>
      <c r="Z230" s="12" t="s">
        <v>50</v>
      </c>
      <c r="AA230" s="12" t="s">
        <v>50</v>
      </c>
      <c r="AB230" s="12" t="s">
        <v>50</v>
      </c>
      <c r="AC230" s="12" t="s">
        <v>50</v>
      </c>
      <c r="AD230" s="12" t="s">
        <v>50</v>
      </c>
      <c r="AE230" s="12" t="s">
        <v>52</v>
      </c>
      <c r="AF230" s="12" t="s">
        <v>50</v>
      </c>
      <c r="AG230" s="12" t="s">
        <v>50</v>
      </c>
      <c r="AH230" s="19" t="s">
        <v>54</v>
      </c>
    </row>
    <row r="231" spans="2:34" ht="22.5" customHeight="1" x14ac:dyDescent="0.25">
      <c r="B231" s="18" t="s">
        <v>161</v>
      </c>
      <c r="C231" s="9" t="s">
        <v>640</v>
      </c>
      <c r="D231" s="10" t="s">
        <v>644</v>
      </c>
      <c r="E231" s="10"/>
      <c r="F231" s="10" t="s">
        <v>642</v>
      </c>
      <c r="G231" s="10" t="s">
        <v>39</v>
      </c>
      <c r="H231" s="10"/>
      <c r="I231" s="16" t="s">
        <v>184</v>
      </c>
      <c r="J231" s="10"/>
      <c r="K231" s="10"/>
      <c r="L231" s="16"/>
      <c r="M231" s="16"/>
      <c r="N231" s="16"/>
      <c r="O231" s="11">
        <v>0</v>
      </c>
      <c r="P231" s="11">
        <v>1</v>
      </c>
      <c r="Q231" s="11"/>
      <c r="R231" s="11"/>
      <c r="S231" s="12" t="s">
        <v>643</v>
      </c>
      <c r="T231" s="12" t="s">
        <v>50</v>
      </c>
      <c r="U231" s="12" t="s">
        <v>50</v>
      </c>
      <c r="V231" s="12" t="s">
        <v>50</v>
      </c>
      <c r="W231" s="12" t="s">
        <v>50</v>
      </c>
      <c r="X231" s="12" t="s">
        <v>50</v>
      </c>
      <c r="Y231" s="12" t="s">
        <v>50</v>
      </c>
      <c r="Z231" s="12" t="s">
        <v>50</v>
      </c>
      <c r="AA231" s="12" t="s">
        <v>50</v>
      </c>
      <c r="AB231" s="12" t="s">
        <v>50</v>
      </c>
      <c r="AC231" s="12" t="s">
        <v>50</v>
      </c>
      <c r="AD231" s="12" t="s">
        <v>50</v>
      </c>
      <c r="AE231" s="12" t="s">
        <v>52</v>
      </c>
      <c r="AF231" s="12" t="s">
        <v>50</v>
      </c>
      <c r="AG231" s="12" t="s">
        <v>50</v>
      </c>
      <c r="AH231" s="19" t="s">
        <v>54</v>
      </c>
    </row>
    <row r="232" spans="2:34" ht="22.5" customHeight="1" x14ac:dyDescent="0.25">
      <c r="B232" s="18" t="s">
        <v>161</v>
      </c>
      <c r="C232" s="9" t="s">
        <v>645</v>
      </c>
      <c r="D232" s="10" t="s">
        <v>646</v>
      </c>
      <c r="E232" s="10"/>
      <c r="F232" s="10" t="s">
        <v>647</v>
      </c>
      <c r="G232" s="10" t="s">
        <v>449</v>
      </c>
      <c r="H232" s="10"/>
      <c r="I232" s="16" t="s">
        <v>184</v>
      </c>
      <c r="J232" s="10"/>
      <c r="K232" s="10"/>
      <c r="L232" s="16"/>
      <c r="M232" s="16"/>
      <c r="N232" s="16"/>
      <c r="O232" s="11">
        <v>0</v>
      </c>
      <c r="P232" s="11">
        <v>1</v>
      </c>
      <c r="Q232" s="11"/>
      <c r="R232" s="11"/>
      <c r="S232" s="12" t="s">
        <v>643</v>
      </c>
      <c r="T232" s="12" t="s">
        <v>50</v>
      </c>
      <c r="U232" s="12" t="s">
        <v>50</v>
      </c>
      <c r="V232" s="12" t="s">
        <v>50</v>
      </c>
      <c r="W232" s="12" t="s">
        <v>50</v>
      </c>
      <c r="X232" s="12" t="s">
        <v>50</v>
      </c>
      <c r="Y232" s="12" t="s">
        <v>50</v>
      </c>
      <c r="Z232" s="12" t="s">
        <v>50</v>
      </c>
      <c r="AA232" s="12" t="s">
        <v>50</v>
      </c>
      <c r="AB232" s="12" t="s">
        <v>50</v>
      </c>
      <c r="AC232" s="12" t="s">
        <v>50</v>
      </c>
      <c r="AD232" s="12" t="s">
        <v>50</v>
      </c>
      <c r="AE232" s="12" t="s">
        <v>52</v>
      </c>
      <c r="AF232" s="12" t="s">
        <v>50</v>
      </c>
      <c r="AG232" s="12" t="s">
        <v>50</v>
      </c>
      <c r="AH232" s="19" t="s">
        <v>54</v>
      </c>
    </row>
    <row r="233" spans="2:34" ht="22.5" customHeight="1" x14ac:dyDescent="0.25">
      <c r="B233" s="18" t="s">
        <v>161</v>
      </c>
      <c r="C233" s="9" t="s">
        <v>645</v>
      </c>
      <c r="D233" s="10" t="s">
        <v>648</v>
      </c>
      <c r="E233" s="10"/>
      <c r="F233" s="10" t="s">
        <v>649</v>
      </c>
      <c r="G233" s="10" t="s">
        <v>650</v>
      </c>
      <c r="H233" s="10"/>
      <c r="I233" s="16" t="s">
        <v>184</v>
      </c>
      <c r="J233" s="10"/>
      <c r="K233" s="10"/>
      <c r="L233" s="16"/>
      <c r="M233" s="16"/>
      <c r="N233" s="16"/>
      <c r="O233" s="11">
        <v>0</v>
      </c>
      <c r="P233" s="11">
        <v>1</v>
      </c>
      <c r="Q233" s="11"/>
      <c r="R233" s="11"/>
      <c r="S233" s="12" t="s">
        <v>651</v>
      </c>
      <c r="T233" s="12" t="s">
        <v>652</v>
      </c>
      <c r="U233" s="12" t="s">
        <v>50</v>
      </c>
      <c r="V233" s="12" t="s">
        <v>50</v>
      </c>
      <c r="W233" s="12" t="s">
        <v>49</v>
      </c>
      <c r="X233" s="12" t="s">
        <v>50</v>
      </c>
      <c r="Y233" s="12" t="s">
        <v>50</v>
      </c>
      <c r="Z233" s="12" t="s">
        <v>50</v>
      </c>
      <c r="AA233" s="12" t="s">
        <v>50</v>
      </c>
      <c r="AB233" s="12" t="s">
        <v>50</v>
      </c>
      <c r="AC233" s="12" t="s">
        <v>50</v>
      </c>
      <c r="AD233" s="12" t="s">
        <v>50</v>
      </c>
      <c r="AE233" s="12" t="s">
        <v>52</v>
      </c>
      <c r="AF233" s="12" t="s">
        <v>50</v>
      </c>
      <c r="AG233" s="12" t="s">
        <v>50</v>
      </c>
      <c r="AH233" s="19" t="s">
        <v>54</v>
      </c>
    </row>
    <row r="234" spans="2:34" ht="22.5" customHeight="1" x14ac:dyDescent="0.25">
      <c r="B234" s="18" t="s">
        <v>275</v>
      </c>
      <c r="C234" s="9" t="s">
        <v>462</v>
      </c>
      <c r="D234" s="10" t="s">
        <v>495</v>
      </c>
      <c r="E234" s="10"/>
      <c r="F234" s="10" t="s">
        <v>301</v>
      </c>
      <c r="G234" s="10" t="s">
        <v>177</v>
      </c>
      <c r="H234" s="10"/>
      <c r="I234" s="16" t="s">
        <v>184</v>
      </c>
      <c r="J234" s="10"/>
      <c r="K234" s="10"/>
      <c r="L234" s="16"/>
      <c r="M234" s="16"/>
      <c r="N234" s="16"/>
      <c r="O234" s="11">
        <v>0</v>
      </c>
      <c r="P234" s="11">
        <v>3</v>
      </c>
      <c r="Q234" s="11"/>
      <c r="R234" s="11"/>
      <c r="S234" s="12" t="s">
        <v>45</v>
      </c>
      <c r="T234" s="12" t="s">
        <v>46</v>
      </c>
      <c r="U234" s="12" t="s">
        <v>47</v>
      </c>
      <c r="V234" s="12" t="s">
        <v>48</v>
      </c>
      <c r="W234" s="12" t="s">
        <v>49</v>
      </c>
      <c r="X234" s="12" t="s">
        <v>50</v>
      </c>
      <c r="Y234" s="12" t="s">
        <v>50</v>
      </c>
      <c r="Z234" s="12" t="s">
        <v>50</v>
      </c>
      <c r="AA234" s="12" t="s">
        <v>50</v>
      </c>
      <c r="AB234" s="12" t="s">
        <v>51</v>
      </c>
      <c r="AC234" s="12" t="s">
        <v>50</v>
      </c>
      <c r="AD234" s="12" t="s">
        <v>50</v>
      </c>
      <c r="AE234" s="12" t="s">
        <v>52</v>
      </c>
      <c r="AF234" s="12" t="s">
        <v>53</v>
      </c>
      <c r="AG234" s="12" t="s">
        <v>50</v>
      </c>
      <c r="AH234" s="19" t="s">
        <v>54</v>
      </c>
    </row>
    <row r="235" spans="2:34" ht="22.5" customHeight="1" x14ac:dyDescent="0.25">
      <c r="B235" s="18" t="s">
        <v>275</v>
      </c>
      <c r="C235" s="9" t="s">
        <v>645</v>
      </c>
      <c r="D235" s="10" t="s">
        <v>653</v>
      </c>
      <c r="E235" s="10"/>
      <c r="F235" s="10" t="s">
        <v>654</v>
      </c>
      <c r="G235" s="10" t="s">
        <v>655</v>
      </c>
      <c r="H235" s="10"/>
      <c r="I235" s="16" t="s">
        <v>184</v>
      </c>
      <c r="J235" s="10"/>
      <c r="K235" s="10"/>
      <c r="L235" s="16"/>
      <c r="M235" s="16"/>
      <c r="N235" s="16"/>
      <c r="O235" s="11">
        <v>0</v>
      </c>
      <c r="P235" s="11">
        <v>1</v>
      </c>
      <c r="Q235" s="11"/>
      <c r="R235" s="11"/>
      <c r="S235" s="12" t="s">
        <v>643</v>
      </c>
      <c r="T235" s="12" t="s">
        <v>50</v>
      </c>
      <c r="U235" s="12" t="s">
        <v>50</v>
      </c>
      <c r="V235" s="12" t="s">
        <v>50</v>
      </c>
      <c r="W235" s="12" t="s">
        <v>50</v>
      </c>
      <c r="X235" s="12" t="s">
        <v>50</v>
      </c>
      <c r="Y235" s="12" t="s">
        <v>50</v>
      </c>
      <c r="Z235" s="12" t="s">
        <v>50</v>
      </c>
      <c r="AA235" s="12" t="s">
        <v>50</v>
      </c>
      <c r="AB235" s="12" t="s">
        <v>50</v>
      </c>
      <c r="AC235" s="12" t="s">
        <v>50</v>
      </c>
      <c r="AD235" s="12" t="s">
        <v>50</v>
      </c>
      <c r="AE235" s="12" t="s">
        <v>50</v>
      </c>
      <c r="AF235" s="12" t="s">
        <v>50</v>
      </c>
      <c r="AG235" s="12" t="s">
        <v>50</v>
      </c>
      <c r="AH235" s="19" t="s">
        <v>54</v>
      </c>
    </row>
    <row r="236" spans="2:34" ht="22.5" customHeight="1" x14ac:dyDescent="0.25">
      <c r="B236" s="18" t="s">
        <v>275</v>
      </c>
      <c r="C236" s="9" t="s">
        <v>645</v>
      </c>
      <c r="D236" s="10" t="s">
        <v>656</v>
      </c>
      <c r="E236" s="10"/>
      <c r="F236" s="10" t="s">
        <v>654</v>
      </c>
      <c r="G236" s="10" t="s">
        <v>657</v>
      </c>
      <c r="H236" s="10"/>
      <c r="I236" s="16" t="s">
        <v>184</v>
      </c>
      <c r="J236" s="10"/>
      <c r="K236" s="10"/>
      <c r="L236" s="16"/>
      <c r="M236" s="16"/>
      <c r="N236" s="16"/>
      <c r="O236" s="11">
        <v>0</v>
      </c>
      <c r="P236" s="11">
        <v>1</v>
      </c>
      <c r="Q236" s="11"/>
      <c r="R236" s="11"/>
      <c r="S236" s="12" t="s">
        <v>643</v>
      </c>
      <c r="T236" s="12" t="s">
        <v>50</v>
      </c>
      <c r="U236" s="12" t="s">
        <v>50</v>
      </c>
      <c r="V236" s="12" t="s">
        <v>50</v>
      </c>
      <c r="W236" s="12" t="s">
        <v>50</v>
      </c>
      <c r="X236" s="12" t="s">
        <v>50</v>
      </c>
      <c r="Y236" s="12" t="s">
        <v>50</v>
      </c>
      <c r="Z236" s="12" t="s">
        <v>50</v>
      </c>
      <c r="AA236" s="12" t="s">
        <v>50</v>
      </c>
      <c r="AB236" s="12" t="s">
        <v>50</v>
      </c>
      <c r="AC236" s="12" t="s">
        <v>50</v>
      </c>
      <c r="AD236" s="12" t="s">
        <v>50</v>
      </c>
      <c r="AE236" s="12" t="s">
        <v>50</v>
      </c>
      <c r="AF236" s="12" t="s">
        <v>50</v>
      </c>
      <c r="AG236" s="12" t="s">
        <v>50</v>
      </c>
      <c r="AH236" s="19" t="s">
        <v>54</v>
      </c>
    </row>
    <row r="237" spans="2:34" ht="22.5" customHeight="1" x14ac:dyDescent="0.25">
      <c r="B237" s="18" t="s">
        <v>275</v>
      </c>
      <c r="C237" s="9" t="s">
        <v>645</v>
      </c>
      <c r="D237" s="10" t="s">
        <v>658</v>
      </c>
      <c r="E237" s="10"/>
      <c r="F237" s="10" t="s">
        <v>649</v>
      </c>
      <c r="G237" s="10" t="s">
        <v>657</v>
      </c>
      <c r="H237" s="10"/>
      <c r="I237" s="16" t="s">
        <v>184</v>
      </c>
      <c r="J237" s="10"/>
      <c r="K237" s="10"/>
      <c r="L237" s="16"/>
      <c r="M237" s="16"/>
      <c r="N237" s="16"/>
      <c r="O237" s="11">
        <v>0</v>
      </c>
      <c r="P237" s="11">
        <v>1</v>
      </c>
      <c r="Q237" s="11"/>
      <c r="R237" s="11"/>
      <c r="S237" s="12" t="s">
        <v>651</v>
      </c>
      <c r="T237" s="12" t="s">
        <v>652</v>
      </c>
      <c r="U237" s="12" t="s">
        <v>50</v>
      </c>
      <c r="V237" s="12" t="s">
        <v>50</v>
      </c>
      <c r="W237" s="12" t="s">
        <v>49</v>
      </c>
      <c r="X237" s="12" t="s">
        <v>50</v>
      </c>
      <c r="Y237" s="12" t="s">
        <v>50</v>
      </c>
      <c r="Z237" s="12" t="s">
        <v>50</v>
      </c>
      <c r="AA237" s="12" t="s">
        <v>50</v>
      </c>
      <c r="AB237" s="12" t="s">
        <v>50</v>
      </c>
      <c r="AC237" s="12" t="s">
        <v>50</v>
      </c>
      <c r="AD237" s="12" t="s">
        <v>50</v>
      </c>
      <c r="AE237" s="12" t="s">
        <v>52</v>
      </c>
      <c r="AF237" s="12" t="s">
        <v>50</v>
      </c>
      <c r="AG237" s="12" t="s">
        <v>50</v>
      </c>
      <c r="AH237" s="19" t="s">
        <v>54</v>
      </c>
    </row>
    <row r="238" spans="2:34" ht="22.5" customHeight="1" x14ac:dyDescent="0.25">
      <c r="B238" s="18" t="s">
        <v>275</v>
      </c>
      <c r="C238" s="9" t="s">
        <v>645</v>
      </c>
      <c r="D238" s="10" t="s">
        <v>659</v>
      </c>
      <c r="E238" s="10"/>
      <c r="F238" s="10" t="s">
        <v>649</v>
      </c>
      <c r="G238" s="10" t="s">
        <v>650</v>
      </c>
      <c r="H238" s="10"/>
      <c r="I238" s="16" t="s">
        <v>184</v>
      </c>
      <c r="J238" s="10"/>
      <c r="K238" s="10"/>
      <c r="L238" s="16"/>
      <c r="M238" s="16"/>
      <c r="N238" s="16"/>
      <c r="O238" s="11">
        <v>0</v>
      </c>
      <c r="P238" s="11">
        <v>1</v>
      </c>
      <c r="Q238" s="11"/>
      <c r="R238" s="11"/>
      <c r="S238" s="12" t="s">
        <v>651</v>
      </c>
      <c r="T238" s="12" t="s">
        <v>652</v>
      </c>
      <c r="U238" s="12" t="s">
        <v>50</v>
      </c>
      <c r="V238" s="12" t="s">
        <v>50</v>
      </c>
      <c r="W238" s="12" t="s">
        <v>49</v>
      </c>
      <c r="X238" s="12" t="s">
        <v>50</v>
      </c>
      <c r="Y238" s="12" t="s">
        <v>50</v>
      </c>
      <c r="Z238" s="12" t="s">
        <v>50</v>
      </c>
      <c r="AA238" s="12" t="s">
        <v>50</v>
      </c>
      <c r="AB238" s="12" t="s">
        <v>50</v>
      </c>
      <c r="AC238" s="12" t="s">
        <v>50</v>
      </c>
      <c r="AD238" s="12" t="s">
        <v>50</v>
      </c>
      <c r="AE238" s="12" t="s">
        <v>52</v>
      </c>
      <c r="AF238" s="12" t="s">
        <v>50</v>
      </c>
      <c r="AG238" s="12" t="s">
        <v>50</v>
      </c>
      <c r="AH238" s="19" t="s">
        <v>54</v>
      </c>
    </row>
    <row r="239" spans="2:34" ht="22.5" customHeight="1" x14ac:dyDescent="0.25">
      <c r="B239" s="18" t="s">
        <v>275</v>
      </c>
      <c r="C239" s="9" t="s">
        <v>645</v>
      </c>
      <c r="D239" s="10" t="s">
        <v>659</v>
      </c>
      <c r="E239" s="10"/>
      <c r="F239" s="10" t="s">
        <v>654</v>
      </c>
      <c r="G239" s="10" t="s">
        <v>655</v>
      </c>
      <c r="H239" s="10"/>
      <c r="I239" s="16" t="s">
        <v>184</v>
      </c>
      <c r="J239" s="10"/>
      <c r="K239" s="10"/>
      <c r="L239" s="16"/>
      <c r="M239" s="16"/>
      <c r="N239" s="16"/>
      <c r="O239" s="11">
        <v>0</v>
      </c>
      <c r="P239" s="11">
        <v>1</v>
      </c>
      <c r="Q239" s="11"/>
      <c r="R239" s="11"/>
      <c r="S239" s="12" t="s">
        <v>643</v>
      </c>
      <c r="T239" s="12" t="s">
        <v>50</v>
      </c>
      <c r="U239" s="12" t="s">
        <v>50</v>
      </c>
      <c r="V239" s="12" t="s">
        <v>50</v>
      </c>
      <c r="W239" s="12" t="s">
        <v>50</v>
      </c>
      <c r="X239" s="12" t="s">
        <v>50</v>
      </c>
      <c r="Y239" s="12" t="s">
        <v>50</v>
      </c>
      <c r="Z239" s="12" t="s">
        <v>50</v>
      </c>
      <c r="AA239" s="12" t="s">
        <v>50</v>
      </c>
      <c r="AB239" s="12" t="s">
        <v>50</v>
      </c>
      <c r="AC239" s="12" t="s">
        <v>50</v>
      </c>
      <c r="AD239" s="12" t="s">
        <v>50</v>
      </c>
      <c r="AE239" s="12" t="s">
        <v>50</v>
      </c>
      <c r="AF239" s="12" t="s">
        <v>50</v>
      </c>
      <c r="AG239" s="12" t="s">
        <v>50</v>
      </c>
      <c r="AH239" s="19" t="s">
        <v>54</v>
      </c>
    </row>
    <row r="240" spans="2:34" ht="22.5" customHeight="1" x14ac:dyDescent="0.25">
      <c r="B240" s="18" t="s">
        <v>275</v>
      </c>
      <c r="C240" s="9" t="s">
        <v>645</v>
      </c>
      <c r="D240" s="10" t="s">
        <v>653</v>
      </c>
      <c r="E240" s="10"/>
      <c r="F240" s="10" t="s">
        <v>649</v>
      </c>
      <c r="G240" s="10" t="s">
        <v>650</v>
      </c>
      <c r="H240" s="10"/>
      <c r="I240" s="16" t="s">
        <v>184</v>
      </c>
      <c r="J240" s="10"/>
      <c r="K240" s="10"/>
      <c r="L240" s="16"/>
      <c r="M240" s="16"/>
      <c r="N240" s="16"/>
      <c r="O240" s="11">
        <v>0</v>
      </c>
      <c r="P240" s="11">
        <v>1</v>
      </c>
      <c r="Q240" s="11"/>
      <c r="R240" s="11"/>
      <c r="S240" s="12" t="s">
        <v>651</v>
      </c>
      <c r="T240" s="12" t="s">
        <v>652</v>
      </c>
      <c r="U240" s="12" t="s">
        <v>50</v>
      </c>
      <c r="V240" s="12" t="s">
        <v>50</v>
      </c>
      <c r="W240" s="12" t="s">
        <v>49</v>
      </c>
      <c r="X240" s="12" t="s">
        <v>50</v>
      </c>
      <c r="Y240" s="12" t="s">
        <v>50</v>
      </c>
      <c r="Z240" s="12" t="s">
        <v>50</v>
      </c>
      <c r="AA240" s="12" t="s">
        <v>50</v>
      </c>
      <c r="AB240" s="12" t="s">
        <v>50</v>
      </c>
      <c r="AC240" s="12" t="s">
        <v>50</v>
      </c>
      <c r="AD240" s="12" t="s">
        <v>50</v>
      </c>
      <c r="AE240" s="12" t="s">
        <v>52</v>
      </c>
      <c r="AF240" s="12" t="s">
        <v>50</v>
      </c>
      <c r="AG240" s="12" t="s">
        <v>50</v>
      </c>
      <c r="AH240" s="19" t="s">
        <v>54</v>
      </c>
    </row>
    <row r="241" spans="2:34" ht="22.5" customHeight="1" x14ac:dyDescent="0.25">
      <c r="B241" s="18" t="s">
        <v>275</v>
      </c>
      <c r="C241" s="9" t="s">
        <v>645</v>
      </c>
      <c r="D241" s="10" t="s">
        <v>656</v>
      </c>
      <c r="E241" s="10"/>
      <c r="F241" s="10" t="s">
        <v>649</v>
      </c>
      <c r="G241" s="10" t="s">
        <v>650</v>
      </c>
      <c r="H241" s="10"/>
      <c r="I241" s="16" t="s">
        <v>184</v>
      </c>
      <c r="J241" s="10"/>
      <c r="K241" s="10"/>
      <c r="L241" s="16"/>
      <c r="M241" s="16"/>
      <c r="N241" s="16"/>
      <c r="O241" s="11">
        <v>0</v>
      </c>
      <c r="P241" s="11">
        <v>1</v>
      </c>
      <c r="Q241" s="11"/>
      <c r="R241" s="11"/>
      <c r="S241" s="12" t="s">
        <v>651</v>
      </c>
      <c r="T241" s="12" t="s">
        <v>652</v>
      </c>
      <c r="U241" s="12" t="s">
        <v>50</v>
      </c>
      <c r="V241" s="12" t="s">
        <v>50</v>
      </c>
      <c r="W241" s="12" t="s">
        <v>49</v>
      </c>
      <c r="X241" s="12" t="s">
        <v>50</v>
      </c>
      <c r="Y241" s="12" t="s">
        <v>50</v>
      </c>
      <c r="Z241" s="12" t="s">
        <v>50</v>
      </c>
      <c r="AA241" s="12" t="s">
        <v>50</v>
      </c>
      <c r="AB241" s="12" t="s">
        <v>50</v>
      </c>
      <c r="AC241" s="12" t="s">
        <v>50</v>
      </c>
      <c r="AD241" s="12" t="s">
        <v>50</v>
      </c>
      <c r="AE241" s="12" t="s">
        <v>52</v>
      </c>
      <c r="AF241" s="12" t="s">
        <v>50</v>
      </c>
      <c r="AG241" s="12" t="s">
        <v>50</v>
      </c>
      <c r="AH241" s="19" t="s">
        <v>54</v>
      </c>
    </row>
    <row r="242" spans="2:34" ht="22.5" customHeight="1" x14ac:dyDescent="0.25">
      <c r="B242" s="18" t="s">
        <v>275</v>
      </c>
      <c r="C242" s="9" t="s">
        <v>645</v>
      </c>
      <c r="D242" s="10" t="s">
        <v>660</v>
      </c>
      <c r="E242" s="10"/>
      <c r="F242" s="10" t="s">
        <v>649</v>
      </c>
      <c r="G242" s="10" t="s">
        <v>650</v>
      </c>
      <c r="H242" s="10"/>
      <c r="I242" s="16" t="s">
        <v>184</v>
      </c>
      <c r="J242" s="10"/>
      <c r="K242" s="10"/>
      <c r="L242" s="16"/>
      <c r="M242" s="16"/>
      <c r="N242" s="16"/>
      <c r="O242" s="11">
        <v>0</v>
      </c>
      <c r="P242" s="11">
        <v>1</v>
      </c>
      <c r="Q242" s="11"/>
      <c r="R242" s="11"/>
      <c r="S242" s="12" t="s">
        <v>651</v>
      </c>
      <c r="T242" s="12" t="s">
        <v>652</v>
      </c>
      <c r="U242" s="12" t="s">
        <v>50</v>
      </c>
      <c r="V242" s="12" t="s">
        <v>50</v>
      </c>
      <c r="W242" s="12" t="s">
        <v>49</v>
      </c>
      <c r="X242" s="12" t="s">
        <v>50</v>
      </c>
      <c r="Y242" s="12" t="s">
        <v>50</v>
      </c>
      <c r="Z242" s="12" t="s">
        <v>50</v>
      </c>
      <c r="AA242" s="12" t="s">
        <v>50</v>
      </c>
      <c r="AB242" s="12" t="s">
        <v>50</v>
      </c>
      <c r="AC242" s="12" t="s">
        <v>50</v>
      </c>
      <c r="AD242" s="12" t="s">
        <v>50</v>
      </c>
      <c r="AE242" s="12" t="s">
        <v>52</v>
      </c>
      <c r="AF242" s="12" t="s">
        <v>50</v>
      </c>
      <c r="AG242" s="12" t="s">
        <v>50</v>
      </c>
      <c r="AH242" s="19" t="s">
        <v>54</v>
      </c>
    </row>
    <row r="243" spans="2:34" ht="22.5" customHeight="1" x14ac:dyDescent="0.25">
      <c r="B243" s="18" t="s">
        <v>275</v>
      </c>
      <c r="C243" s="9" t="s">
        <v>645</v>
      </c>
      <c r="D243" s="10" t="s">
        <v>660</v>
      </c>
      <c r="E243" s="10"/>
      <c r="F243" s="10" t="s">
        <v>654</v>
      </c>
      <c r="G243" s="10" t="s">
        <v>39</v>
      </c>
      <c r="H243" s="10"/>
      <c r="I243" s="16" t="s">
        <v>184</v>
      </c>
      <c r="J243" s="10"/>
      <c r="K243" s="10"/>
      <c r="L243" s="16"/>
      <c r="M243" s="16"/>
      <c r="N243" s="16"/>
      <c r="O243" s="11">
        <v>0</v>
      </c>
      <c r="P243" s="11">
        <v>2</v>
      </c>
      <c r="Q243" s="11"/>
      <c r="R243" s="11"/>
      <c r="S243" s="12" t="s">
        <v>643</v>
      </c>
      <c r="T243" s="12" t="s">
        <v>50</v>
      </c>
      <c r="U243" s="12" t="s">
        <v>50</v>
      </c>
      <c r="V243" s="12" t="s">
        <v>50</v>
      </c>
      <c r="W243" s="12" t="s">
        <v>50</v>
      </c>
      <c r="X243" s="12" t="s">
        <v>50</v>
      </c>
      <c r="Y243" s="12" t="s">
        <v>50</v>
      </c>
      <c r="Z243" s="12" t="s">
        <v>50</v>
      </c>
      <c r="AA243" s="12" t="s">
        <v>50</v>
      </c>
      <c r="AB243" s="12" t="s">
        <v>50</v>
      </c>
      <c r="AC243" s="12" t="s">
        <v>50</v>
      </c>
      <c r="AD243" s="12" t="s">
        <v>50</v>
      </c>
      <c r="AE243" s="12" t="s">
        <v>50</v>
      </c>
      <c r="AF243" s="12" t="s">
        <v>50</v>
      </c>
      <c r="AG243" s="12" t="s">
        <v>50</v>
      </c>
      <c r="AH243" s="19" t="s">
        <v>54</v>
      </c>
    </row>
    <row r="244" spans="2:34" ht="22.5" customHeight="1" x14ac:dyDescent="0.25">
      <c r="B244" s="18" t="s">
        <v>275</v>
      </c>
      <c r="C244" s="9" t="s">
        <v>661</v>
      </c>
      <c r="D244" s="10" t="s">
        <v>662</v>
      </c>
      <c r="E244" s="10"/>
      <c r="F244" s="10" t="s">
        <v>38</v>
      </c>
      <c r="G244" s="10" t="s">
        <v>39</v>
      </c>
      <c r="H244" s="10"/>
      <c r="I244" s="16" t="s">
        <v>184</v>
      </c>
      <c r="J244" s="10"/>
      <c r="K244" s="10"/>
      <c r="L244" s="16"/>
      <c r="M244" s="16"/>
      <c r="N244" s="16"/>
      <c r="O244" s="11">
        <v>0</v>
      </c>
      <c r="P244" s="11">
        <v>1</v>
      </c>
      <c r="Q244" s="11"/>
      <c r="R244" s="11"/>
      <c r="S244" s="12" t="s">
        <v>45</v>
      </c>
      <c r="T244" s="12" t="s">
        <v>46</v>
      </c>
      <c r="U244" s="12" t="s">
        <v>47</v>
      </c>
      <c r="V244" s="12" t="s">
        <v>48</v>
      </c>
      <c r="W244" s="12" t="s">
        <v>49</v>
      </c>
      <c r="X244" s="12" t="s">
        <v>50</v>
      </c>
      <c r="Y244" s="12" t="s">
        <v>50</v>
      </c>
      <c r="Z244" s="12" t="s">
        <v>50</v>
      </c>
      <c r="AA244" s="12" t="s">
        <v>50</v>
      </c>
      <c r="AB244" s="12" t="s">
        <v>51</v>
      </c>
      <c r="AC244" s="12" t="s">
        <v>50</v>
      </c>
      <c r="AD244" s="12" t="s">
        <v>50</v>
      </c>
      <c r="AE244" s="12" t="s">
        <v>52</v>
      </c>
      <c r="AF244" s="12" t="s">
        <v>53</v>
      </c>
      <c r="AG244" s="12" t="s">
        <v>50</v>
      </c>
      <c r="AH244" s="19" t="s">
        <v>54</v>
      </c>
    </row>
    <row r="245" spans="2:34" ht="22.5" customHeight="1" x14ac:dyDescent="0.25">
      <c r="B245" s="18" t="s">
        <v>275</v>
      </c>
      <c r="C245" s="9" t="s">
        <v>661</v>
      </c>
      <c r="D245" s="10" t="s">
        <v>663</v>
      </c>
      <c r="E245" s="10"/>
      <c r="F245" s="10" t="s">
        <v>38</v>
      </c>
      <c r="G245" s="10" t="s">
        <v>39</v>
      </c>
      <c r="H245" s="10"/>
      <c r="I245" s="16" t="s">
        <v>184</v>
      </c>
      <c r="J245" s="10"/>
      <c r="K245" s="10"/>
      <c r="L245" s="16"/>
      <c r="M245" s="16"/>
      <c r="N245" s="16"/>
      <c r="O245" s="11">
        <v>0</v>
      </c>
      <c r="P245" s="11">
        <v>1</v>
      </c>
      <c r="Q245" s="11"/>
      <c r="R245" s="11"/>
      <c r="S245" s="12" t="s">
        <v>45</v>
      </c>
      <c r="T245" s="12" t="s">
        <v>46</v>
      </c>
      <c r="U245" s="12" t="s">
        <v>47</v>
      </c>
      <c r="V245" s="12" t="s">
        <v>48</v>
      </c>
      <c r="W245" s="12" t="s">
        <v>49</v>
      </c>
      <c r="X245" s="12" t="s">
        <v>50</v>
      </c>
      <c r="Y245" s="12" t="s">
        <v>50</v>
      </c>
      <c r="Z245" s="12" t="s">
        <v>50</v>
      </c>
      <c r="AA245" s="12" t="s">
        <v>50</v>
      </c>
      <c r="AB245" s="12" t="s">
        <v>51</v>
      </c>
      <c r="AC245" s="12" t="s">
        <v>50</v>
      </c>
      <c r="AD245" s="12" t="s">
        <v>50</v>
      </c>
      <c r="AE245" s="12" t="s">
        <v>52</v>
      </c>
      <c r="AF245" s="12" t="s">
        <v>53</v>
      </c>
      <c r="AG245" s="12" t="s">
        <v>50</v>
      </c>
      <c r="AH245" s="19" t="s">
        <v>54</v>
      </c>
    </row>
    <row r="246" spans="2:34" ht="22.5" customHeight="1" x14ac:dyDescent="0.25">
      <c r="B246" s="18" t="s">
        <v>275</v>
      </c>
      <c r="C246" s="9" t="s">
        <v>661</v>
      </c>
      <c r="D246" s="10" t="s">
        <v>664</v>
      </c>
      <c r="E246" s="10"/>
      <c r="F246" s="10" t="s">
        <v>38</v>
      </c>
      <c r="G246" s="10" t="s">
        <v>39</v>
      </c>
      <c r="H246" s="10"/>
      <c r="I246" s="16" t="s">
        <v>184</v>
      </c>
      <c r="J246" s="10"/>
      <c r="K246" s="10"/>
      <c r="L246" s="16"/>
      <c r="M246" s="16"/>
      <c r="N246" s="16"/>
      <c r="O246" s="11">
        <v>0</v>
      </c>
      <c r="P246" s="11">
        <v>1</v>
      </c>
      <c r="Q246" s="11"/>
      <c r="R246" s="11"/>
      <c r="S246" s="12" t="s">
        <v>45</v>
      </c>
      <c r="T246" s="12" t="s">
        <v>46</v>
      </c>
      <c r="U246" s="12" t="s">
        <v>47</v>
      </c>
      <c r="V246" s="12" t="s">
        <v>48</v>
      </c>
      <c r="W246" s="12" t="s">
        <v>49</v>
      </c>
      <c r="X246" s="12" t="s">
        <v>50</v>
      </c>
      <c r="Y246" s="12" t="s">
        <v>50</v>
      </c>
      <c r="Z246" s="12" t="s">
        <v>50</v>
      </c>
      <c r="AA246" s="12" t="s">
        <v>50</v>
      </c>
      <c r="AB246" s="12" t="s">
        <v>51</v>
      </c>
      <c r="AC246" s="12" t="s">
        <v>50</v>
      </c>
      <c r="AD246" s="12" t="s">
        <v>50</v>
      </c>
      <c r="AE246" s="12" t="s">
        <v>52</v>
      </c>
      <c r="AF246" s="12" t="s">
        <v>53</v>
      </c>
      <c r="AG246" s="12" t="s">
        <v>50</v>
      </c>
      <c r="AH246" s="19" t="s">
        <v>54</v>
      </c>
    </row>
    <row r="247" spans="2:34" ht="22.5" customHeight="1" x14ac:dyDescent="0.25">
      <c r="B247" s="18" t="s">
        <v>275</v>
      </c>
      <c r="C247" s="9" t="s">
        <v>661</v>
      </c>
      <c r="D247" s="10" t="s">
        <v>665</v>
      </c>
      <c r="E247" s="10"/>
      <c r="F247" s="10" t="s">
        <v>38</v>
      </c>
      <c r="G247" s="10" t="s">
        <v>39</v>
      </c>
      <c r="H247" s="10"/>
      <c r="I247" s="16" t="s">
        <v>184</v>
      </c>
      <c r="J247" s="10"/>
      <c r="K247" s="10"/>
      <c r="L247" s="16"/>
      <c r="M247" s="16"/>
      <c r="N247" s="16"/>
      <c r="O247" s="11">
        <v>0</v>
      </c>
      <c r="P247" s="11">
        <v>1</v>
      </c>
      <c r="Q247" s="11"/>
      <c r="R247" s="11"/>
      <c r="S247" s="12" t="s">
        <v>45</v>
      </c>
      <c r="T247" s="12" t="s">
        <v>46</v>
      </c>
      <c r="U247" s="12" t="s">
        <v>47</v>
      </c>
      <c r="V247" s="12" t="s">
        <v>48</v>
      </c>
      <c r="W247" s="12" t="s">
        <v>49</v>
      </c>
      <c r="X247" s="12" t="s">
        <v>50</v>
      </c>
      <c r="Y247" s="12" t="s">
        <v>50</v>
      </c>
      <c r="Z247" s="12" t="s">
        <v>50</v>
      </c>
      <c r="AA247" s="12" t="s">
        <v>50</v>
      </c>
      <c r="AB247" s="12" t="s">
        <v>51</v>
      </c>
      <c r="AC247" s="12" t="s">
        <v>50</v>
      </c>
      <c r="AD247" s="12" t="s">
        <v>50</v>
      </c>
      <c r="AE247" s="12" t="s">
        <v>52</v>
      </c>
      <c r="AF247" s="12" t="s">
        <v>53</v>
      </c>
      <c r="AG247" s="12" t="s">
        <v>50</v>
      </c>
      <c r="AH247" s="19" t="s">
        <v>54</v>
      </c>
    </row>
    <row r="248" spans="2:34" ht="22.5" customHeight="1" x14ac:dyDescent="0.25">
      <c r="B248" s="18" t="s">
        <v>275</v>
      </c>
      <c r="C248" s="9" t="s">
        <v>661</v>
      </c>
      <c r="D248" s="10" t="s">
        <v>666</v>
      </c>
      <c r="E248" s="10"/>
      <c r="F248" s="10" t="s">
        <v>38</v>
      </c>
      <c r="G248" s="10" t="s">
        <v>39</v>
      </c>
      <c r="H248" s="10"/>
      <c r="I248" s="16" t="s">
        <v>184</v>
      </c>
      <c r="J248" s="10"/>
      <c r="K248" s="10"/>
      <c r="L248" s="16"/>
      <c r="M248" s="16"/>
      <c r="N248" s="16"/>
      <c r="O248" s="11">
        <v>0</v>
      </c>
      <c r="P248" s="11">
        <v>1</v>
      </c>
      <c r="Q248" s="11"/>
      <c r="R248" s="11"/>
      <c r="S248" s="12" t="s">
        <v>45</v>
      </c>
      <c r="T248" s="12" t="s">
        <v>46</v>
      </c>
      <c r="U248" s="12" t="s">
        <v>47</v>
      </c>
      <c r="V248" s="12" t="s">
        <v>48</v>
      </c>
      <c r="W248" s="12" t="s">
        <v>49</v>
      </c>
      <c r="X248" s="12" t="s">
        <v>50</v>
      </c>
      <c r="Y248" s="12" t="s">
        <v>50</v>
      </c>
      <c r="Z248" s="12" t="s">
        <v>50</v>
      </c>
      <c r="AA248" s="12" t="s">
        <v>50</v>
      </c>
      <c r="AB248" s="12" t="s">
        <v>51</v>
      </c>
      <c r="AC248" s="12" t="s">
        <v>50</v>
      </c>
      <c r="AD248" s="12" t="s">
        <v>50</v>
      </c>
      <c r="AE248" s="12" t="s">
        <v>52</v>
      </c>
      <c r="AF248" s="12" t="s">
        <v>53</v>
      </c>
      <c r="AG248" s="12" t="s">
        <v>50</v>
      </c>
      <c r="AH248" s="19" t="s">
        <v>54</v>
      </c>
    </row>
    <row r="249" spans="2:34" ht="22.5" customHeight="1" x14ac:dyDescent="0.25">
      <c r="B249" s="18" t="s">
        <v>275</v>
      </c>
      <c r="C249" s="9" t="s">
        <v>661</v>
      </c>
      <c r="D249" s="10" t="s">
        <v>667</v>
      </c>
      <c r="E249" s="10"/>
      <c r="F249" s="10" t="s">
        <v>38</v>
      </c>
      <c r="G249" s="10" t="s">
        <v>39</v>
      </c>
      <c r="H249" s="10"/>
      <c r="I249" s="16" t="s">
        <v>184</v>
      </c>
      <c r="J249" s="10"/>
      <c r="K249" s="10"/>
      <c r="L249" s="16"/>
      <c r="M249" s="16"/>
      <c r="N249" s="16"/>
      <c r="O249" s="11">
        <v>0</v>
      </c>
      <c r="P249" s="11">
        <v>1</v>
      </c>
      <c r="Q249" s="11"/>
      <c r="R249" s="11"/>
      <c r="S249" s="12" t="s">
        <v>45</v>
      </c>
      <c r="T249" s="12" t="s">
        <v>46</v>
      </c>
      <c r="U249" s="12" t="s">
        <v>47</v>
      </c>
      <c r="V249" s="12" t="s">
        <v>48</v>
      </c>
      <c r="W249" s="12" t="s">
        <v>49</v>
      </c>
      <c r="X249" s="12" t="s">
        <v>50</v>
      </c>
      <c r="Y249" s="12" t="s">
        <v>50</v>
      </c>
      <c r="Z249" s="12" t="s">
        <v>50</v>
      </c>
      <c r="AA249" s="12" t="s">
        <v>50</v>
      </c>
      <c r="AB249" s="12" t="s">
        <v>51</v>
      </c>
      <c r="AC249" s="12" t="s">
        <v>50</v>
      </c>
      <c r="AD249" s="12" t="s">
        <v>50</v>
      </c>
      <c r="AE249" s="12" t="s">
        <v>52</v>
      </c>
      <c r="AF249" s="12" t="s">
        <v>53</v>
      </c>
      <c r="AG249" s="12" t="s">
        <v>50</v>
      </c>
      <c r="AH249" s="19" t="s">
        <v>54</v>
      </c>
    </row>
    <row r="250" spans="2:34" ht="22.5" customHeight="1" x14ac:dyDescent="0.25">
      <c r="B250" s="18" t="s">
        <v>275</v>
      </c>
      <c r="C250" s="9" t="s">
        <v>668</v>
      </c>
      <c r="D250" s="10" t="s">
        <v>669</v>
      </c>
      <c r="E250" s="10"/>
      <c r="F250" s="10" t="s">
        <v>38</v>
      </c>
      <c r="G250" s="10" t="s">
        <v>39</v>
      </c>
      <c r="H250" s="10"/>
      <c r="I250" s="16" t="s">
        <v>184</v>
      </c>
      <c r="J250" s="10"/>
      <c r="K250" s="10"/>
      <c r="L250" s="16"/>
      <c r="M250" s="16"/>
      <c r="N250" s="16"/>
      <c r="O250" s="11">
        <v>0</v>
      </c>
      <c r="P250" s="11">
        <v>1</v>
      </c>
      <c r="Q250" s="11"/>
      <c r="R250" s="11"/>
      <c r="S250" s="12" t="s">
        <v>45</v>
      </c>
      <c r="T250" s="12" t="s">
        <v>46</v>
      </c>
      <c r="U250" s="12" t="s">
        <v>47</v>
      </c>
      <c r="V250" s="12" t="s">
        <v>48</v>
      </c>
      <c r="W250" s="12" t="s">
        <v>49</v>
      </c>
      <c r="X250" s="12" t="s">
        <v>50</v>
      </c>
      <c r="Y250" s="12" t="s">
        <v>50</v>
      </c>
      <c r="Z250" s="12" t="s">
        <v>50</v>
      </c>
      <c r="AA250" s="12" t="s">
        <v>50</v>
      </c>
      <c r="AB250" s="12" t="s">
        <v>51</v>
      </c>
      <c r="AC250" s="12" t="s">
        <v>50</v>
      </c>
      <c r="AD250" s="12" t="s">
        <v>50</v>
      </c>
      <c r="AE250" s="12" t="s">
        <v>52</v>
      </c>
      <c r="AF250" s="12" t="s">
        <v>53</v>
      </c>
      <c r="AG250" s="12" t="s">
        <v>50</v>
      </c>
      <c r="AH250" s="19" t="s">
        <v>54</v>
      </c>
    </row>
    <row r="251" spans="2:34" ht="22.5" customHeight="1" x14ac:dyDescent="0.25">
      <c r="B251" s="18" t="s">
        <v>275</v>
      </c>
      <c r="C251" s="9" t="s">
        <v>670</v>
      </c>
      <c r="D251" s="10" t="s">
        <v>671</v>
      </c>
      <c r="E251" s="10"/>
      <c r="F251" s="10" t="s">
        <v>38</v>
      </c>
      <c r="G251" s="10" t="s">
        <v>39</v>
      </c>
      <c r="H251" s="10"/>
      <c r="I251" s="16" t="s">
        <v>184</v>
      </c>
      <c r="J251" s="10"/>
      <c r="K251" s="10"/>
      <c r="L251" s="16"/>
      <c r="M251" s="16"/>
      <c r="N251" s="16"/>
      <c r="O251" s="11">
        <v>0</v>
      </c>
      <c r="P251" s="11">
        <v>1</v>
      </c>
      <c r="Q251" s="11"/>
      <c r="R251" s="11"/>
      <c r="S251" s="12" t="s">
        <v>45</v>
      </c>
      <c r="T251" s="12" t="s">
        <v>46</v>
      </c>
      <c r="U251" s="12" t="s">
        <v>47</v>
      </c>
      <c r="V251" s="12" t="s">
        <v>48</v>
      </c>
      <c r="W251" s="12" t="s">
        <v>49</v>
      </c>
      <c r="X251" s="12" t="s">
        <v>50</v>
      </c>
      <c r="Y251" s="12" t="s">
        <v>50</v>
      </c>
      <c r="Z251" s="12" t="s">
        <v>50</v>
      </c>
      <c r="AA251" s="12" t="s">
        <v>50</v>
      </c>
      <c r="AB251" s="12" t="s">
        <v>51</v>
      </c>
      <c r="AC251" s="12" t="s">
        <v>50</v>
      </c>
      <c r="AD251" s="12" t="s">
        <v>50</v>
      </c>
      <c r="AE251" s="12" t="s">
        <v>52</v>
      </c>
      <c r="AF251" s="12" t="s">
        <v>53</v>
      </c>
      <c r="AG251" s="12" t="s">
        <v>50</v>
      </c>
      <c r="AH251" s="19" t="s">
        <v>54</v>
      </c>
    </row>
    <row r="252" spans="2:34" ht="22.5" customHeight="1" x14ac:dyDescent="0.25">
      <c r="B252" s="18" t="s">
        <v>275</v>
      </c>
      <c r="C252" s="9" t="s">
        <v>672</v>
      </c>
      <c r="D252" s="10" t="s">
        <v>673</v>
      </c>
      <c r="E252" s="10"/>
      <c r="F252" s="10" t="s">
        <v>38</v>
      </c>
      <c r="G252" s="10" t="s">
        <v>39</v>
      </c>
      <c r="H252" s="10"/>
      <c r="I252" s="16" t="s">
        <v>184</v>
      </c>
      <c r="J252" s="10"/>
      <c r="K252" s="10"/>
      <c r="L252" s="16"/>
      <c r="M252" s="16"/>
      <c r="N252" s="16"/>
      <c r="O252" s="11">
        <v>0</v>
      </c>
      <c r="P252" s="11">
        <v>1</v>
      </c>
      <c r="Q252" s="11"/>
      <c r="R252" s="11"/>
      <c r="S252" s="12" t="s">
        <v>45</v>
      </c>
      <c r="T252" s="12" t="s">
        <v>46</v>
      </c>
      <c r="U252" s="12" t="s">
        <v>47</v>
      </c>
      <c r="V252" s="12" t="s">
        <v>48</v>
      </c>
      <c r="W252" s="12" t="s">
        <v>49</v>
      </c>
      <c r="X252" s="12" t="s">
        <v>50</v>
      </c>
      <c r="Y252" s="12" t="s">
        <v>50</v>
      </c>
      <c r="Z252" s="12" t="s">
        <v>50</v>
      </c>
      <c r="AA252" s="12" t="s">
        <v>50</v>
      </c>
      <c r="AB252" s="12" t="s">
        <v>51</v>
      </c>
      <c r="AC252" s="12" t="s">
        <v>50</v>
      </c>
      <c r="AD252" s="12" t="s">
        <v>50</v>
      </c>
      <c r="AE252" s="12" t="s">
        <v>52</v>
      </c>
      <c r="AF252" s="12" t="s">
        <v>53</v>
      </c>
      <c r="AG252" s="12" t="s">
        <v>50</v>
      </c>
      <c r="AH252" s="19" t="s">
        <v>54</v>
      </c>
    </row>
    <row r="253" spans="2:34" ht="22.5" customHeight="1" x14ac:dyDescent="0.25">
      <c r="B253" s="18" t="s">
        <v>275</v>
      </c>
      <c r="C253" s="9" t="s">
        <v>672</v>
      </c>
      <c r="D253" s="10" t="s">
        <v>674</v>
      </c>
      <c r="E253" s="10"/>
      <c r="F253" s="10" t="s">
        <v>38</v>
      </c>
      <c r="G253" s="10" t="s">
        <v>39</v>
      </c>
      <c r="H253" s="10"/>
      <c r="I253" s="16" t="s">
        <v>184</v>
      </c>
      <c r="J253" s="10"/>
      <c r="K253" s="10"/>
      <c r="L253" s="16"/>
      <c r="M253" s="16"/>
      <c r="N253" s="16"/>
      <c r="O253" s="11">
        <v>0</v>
      </c>
      <c r="P253" s="11">
        <v>1</v>
      </c>
      <c r="Q253" s="11"/>
      <c r="R253" s="11"/>
      <c r="S253" s="12" t="s">
        <v>45</v>
      </c>
      <c r="T253" s="12" t="s">
        <v>46</v>
      </c>
      <c r="U253" s="12" t="s">
        <v>47</v>
      </c>
      <c r="V253" s="12" t="s">
        <v>48</v>
      </c>
      <c r="W253" s="12" t="s">
        <v>49</v>
      </c>
      <c r="X253" s="12" t="s">
        <v>50</v>
      </c>
      <c r="Y253" s="12" t="s">
        <v>50</v>
      </c>
      <c r="Z253" s="12" t="s">
        <v>50</v>
      </c>
      <c r="AA253" s="12" t="s">
        <v>50</v>
      </c>
      <c r="AB253" s="12" t="s">
        <v>51</v>
      </c>
      <c r="AC253" s="12" t="s">
        <v>50</v>
      </c>
      <c r="AD253" s="12" t="s">
        <v>50</v>
      </c>
      <c r="AE253" s="12" t="s">
        <v>52</v>
      </c>
      <c r="AF253" s="12" t="s">
        <v>53</v>
      </c>
      <c r="AG253" s="12" t="s">
        <v>50</v>
      </c>
      <c r="AH253" s="19" t="s">
        <v>54</v>
      </c>
    </row>
    <row r="254" spans="2:34" ht="22.5" customHeight="1" x14ac:dyDescent="0.25">
      <c r="B254" s="18" t="s">
        <v>275</v>
      </c>
      <c r="C254" s="9" t="s">
        <v>672</v>
      </c>
      <c r="D254" s="10" t="s">
        <v>675</v>
      </c>
      <c r="E254" s="10"/>
      <c r="F254" s="10" t="s">
        <v>38</v>
      </c>
      <c r="G254" s="10" t="s">
        <v>39</v>
      </c>
      <c r="H254" s="10"/>
      <c r="I254" s="16" t="s">
        <v>184</v>
      </c>
      <c r="J254" s="10"/>
      <c r="K254" s="10"/>
      <c r="L254" s="16"/>
      <c r="M254" s="16"/>
      <c r="N254" s="16"/>
      <c r="O254" s="11">
        <v>0</v>
      </c>
      <c r="P254" s="11">
        <v>1</v>
      </c>
      <c r="Q254" s="11"/>
      <c r="R254" s="11"/>
      <c r="S254" s="12" t="s">
        <v>45</v>
      </c>
      <c r="T254" s="12" t="s">
        <v>46</v>
      </c>
      <c r="U254" s="12" t="s">
        <v>47</v>
      </c>
      <c r="V254" s="12" t="s">
        <v>48</v>
      </c>
      <c r="W254" s="12" t="s">
        <v>49</v>
      </c>
      <c r="X254" s="12" t="s">
        <v>50</v>
      </c>
      <c r="Y254" s="12" t="s">
        <v>50</v>
      </c>
      <c r="Z254" s="12" t="s">
        <v>50</v>
      </c>
      <c r="AA254" s="12" t="s">
        <v>50</v>
      </c>
      <c r="AB254" s="12" t="s">
        <v>51</v>
      </c>
      <c r="AC254" s="12" t="s">
        <v>50</v>
      </c>
      <c r="AD254" s="12" t="s">
        <v>50</v>
      </c>
      <c r="AE254" s="12" t="s">
        <v>52</v>
      </c>
      <c r="AF254" s="12" t="s">
        <v>53</v>
      </c>
      <c r="AG254" s="12" t="s">
        <v>50</v>
      </c>
      <c r="AH254" s="19" t="s">
        <v>54</v>
      </c>
    </row>
    <row r="255" spans="2:34" ht="22.5" customHeight="1" x14ac:dyDescent="0.25">
      <c r="B255" s="18" t="s">
        <v>275</v>
      </c>
      <c r="C255" s="9" t="s">
        <v>676</v>
      </c>
      <c r="D255" s="10" t="s">
        <v>677</v>
      </c>
      <c r="E255" s="10"/>
      <c r="F255" s="10" t="s">
        <v>38</v>
      </c>
      <c r="G255" s="10" t="s">
        <v>39</v>
      </c>
      <c r="H255" s="10"/>
      <c r="I255" s="16" t="s">
        <v>184</v>
      </c>
      <c r="J255" s="10"/>
      <c r="K255" s="10"/>
      <c r="L255" s="16"/>
      <c r="M255" s="16"/>
      <c r="N255" s="16"/>
      <c r="O255" s="11">
        <v>0</v>
      </c>
      <c r="P255" s="11">
        <v>1</v>
      </c>
      <c r="Q255" s="11"/>
      <c r="R255" s="11"/>
      <c r="S255" s="12" t="s">
        <v>45</v>
      </c>
      <c r="T255" s="12" t="s">
        <v>46</v>
      </c>
      <c r="U255" s="12" t="s">
        <v>47</v>
      </c>
      <c r="V255" s="12" t="s">
        <v>48</v>
      </c>
      <c r="W255" s="12" t="s">
        <v>49</v>
      </c>
      <c r="X255" s="12" t="s">
        <v>50</v>
      </c>
      <c r="Y255" s="12" t="s">
        <v>50</v>
      </c>
      <c r="Z255" s="12" t="s">
        <v>50</v>
      </c>
      <c r="AA255" s="12" t="s">
        <v>50</v>
      </c>
      <c r="AB255" s="12" t="s">
        <v>51</v>
      </c>
      <c r="AC255" s="12" t="s">
        <v>50</v>
      </c>
      <c r="AD255" s="12" t="s">
        <v>50</v>
      </c>
      <c r="AE255" s="12" t="s">
        <v>52</v>
      </c>
      <c r="AF255" s="12" t="s">
        <v>53</v>
      </c>
      <c r="AG255" s="12" t="s">
        <v>50</v>
      </c>
      <c r="AH255" s="19" t="s">
        <v>54</v>
      </c>
    </row>
    <row r="256" spans="2:34" ht="22.5" customHeight="1" x14ac:dyDescent="0.25">
      <c r="B256" s="18" t="s">
        <v>275</v>
      </c>
      <c r="C256" s="9" t="s">
        <v>676</v>
      </c>
      <c r="D256" s="10" t="s">
        <v>678</v>
      </c>
      <c r="E256" s="10"/>
      <c r="F256" s="10" t="s">
        <v>38</v>
      </c>
      <c r="G256" s="10" t="s">
        <v>39</v>
      </c>
      <c r="H256" s="10"/>
      <c r="I256" s="16" t="s">
        <v>184</v>
      </c>
      <c r="J256" s="10"/>
      <c r="K256" s="10"/>
      <c r="L256" s="16"/>
      <c r="M256" s="16"/>
      <c r="N256" s="16"/>
      <c r="O256" s="11">
        <v>0</v>
      </c>
      <c r="P256" s="11">
        <v>1</v>
      </c>
      <c r="Q256" s="11"/>
      <c r="R256" s="11"/>
      <c r="S256" s="12" t="s">
        <v>45</v>
      </c>
      <c r="T256" s="12" t="s">
        <v>46</v>
      </c>
      <c r="U256" s="12" t="s">
        <v>47</v>
      </c>
      <c r="V256" s="12" t="s">
        <v>48</v>
      </c>
      <c r="W256" s="12" t="s">
        <v>49</v>
      </c>
      <c r="X256" s="12" t="s">
        <v>50</v>
      </c>
      <c r="Y256" s="12" t="s">
        <v>50</v>
      </c>
      <c r="Z256" s="12" t="s">
        <v>50</v>
      </c>
      <c r="AA256" s="12" t="s">
        <v>50</v>
      </c>
      <c r="AB256" s="12" t="s">
        <v>51</v>
      </c>
      <c r="AC256" s="12" t="s">
        <v>50</v>
      </c>
      <c r="AD256" s="12" t="s">
        <v>50</v>
      </c>
      <c r="AE256" s="12" t="s">
        <v>52</v>
      </c>
      <c r="AF256" s="12" t="s">
        <v>53</v>
      </c>
      <c r="AG256" s="12" t="s">
        <v>50</v>
      </c>
      <c r="AH256" s="19" t="s">
        <v>54</v>
      </c>
    </row>
    <row r="257" spans="2:34" ht="22.5" customHeight="1" x14ac:dyDescent="0.25">
      <c r="B257" s="18" t="s">
        <v>275</v>
      </c>
      <c r="C257" s="9" t="s">
        <v>672</v>
      </c>
      <c r="D257" s="10" t="s">
        <v>679</v>
      </c>
      <c r="E257" s="10"/>
      <c r="F257" s="10" t="s">
        <v>38</v>
      </c>
      <c r="G257" s="10" t="s">
        <v>39</v>
      </c>
      <c r="H257" s="10"/>
      <c r="I257" s="16" t="s">
        <v>184</v>
      </c>
      <c r="J257" s="10"/>
      <c r="K257" s="10"/>
      <c r="L257" s="16"/>
      <c r="M257" s="16"/>
      <c r="N257" s="16"/>
      <c r="O257" s="11">
        <v>0</v>
      </c>
      <c r="P257" s="11">
        <v>1</v>
      </c>
      <c r="Q257" s="11"/>
      <c r="R257" s="11"/>
      <c r="S257" s="12" t="s">
        <v>45</v>
      </c>
      <c r="T257" s="12" t="s">
        <v>46</v>
      </c>
      <c r="U257" s="12" t="s">
        <v>47</v>
      </c>
      <c r="V257" s="12" t="s">
        <v>48</v>
      </c>
      <c r="W257" s="12" t="s">
        <v>49</v>
      </c>
      <c r="X257" s="12" t="s">
        <v>50</v>
      </c>
      <c r="Y257" s="12" t="s">
        <v>50</v>
      </c>
      <c r="Z257" s="12" t="s">
        <v>50</v>
      </c>
      <c r="AA257" s="12" t="s">
        <v>50</v>
      </c>
      <c r="AB257" s="12" t="s">
        <v>51</v>
      </c>
      <c r="AC257" s="12" t="s">
        <v>50</v>
      </c>
      <c r="AD257" s="12" t="s">
        <v>50</v>
      </c>
      <c r="AE257" s="12" t="s">
        <v>52</v>
      </c>
      <c r="AF257" s="12" t="s">
        <v>53</v>
      </c>
      <c r="AG257" s="12" t="s">
        <v>50</v>
      </c>
      <c r="AH257" s="19" t="s">
        <v>54</v>
      </c>
    </row>
    <row r="258" spans="2:34" ht="22.5" customHeight="1" x14ac:dyDescent="0.25">
      <c r="B258" s="18" t="s">
        <v>275</v>
      </c>
      <c r="C258" s="9" t="s">
        <v>672</v>
      </c>
      <c r="D258" s="10" t="s">
        <v>680</v>
      </c>
      <c r="E258" s="10"/>
      <c r="F258" s="10" t="s">
        <v>38</v>
      </c>
      <c r="G258" s="10" t="s">
        <v>39</v>
      </c>
      <c r="H258" s="10"/>
      <c r="I258" s="16" t="s">
        <v>184</v>
      </c>
      <c r="J258" s="10"/>
      <c r="K258" s="10"/>
      <c r="L258" s="16"/>
      <c r="M258" s="16"/>
      <c r="N258" s="16"/>
      <c r="O258" s="11">
        <v>0</v>
      </c>
      <c r="P258" s="11">
        <v>1</v>
      </c>
      <c r="Q258" s="11"/>
      <c r="R258" s="11"/>
      <c r="S258" s="12" t="s">
        <v>45</v>
      </c>
      <c r="T258" s="12" t="s">
        <v>46</v>
      </c>
      <c r="U258" s="12" t="s">
        <v>47</v>
      </c>
      <c r="V258" s="12" t="s">
        <v>48</v>
      </c>
      <c r="W258" s="12" t="s">
        <v>49</v>
      </c>
      <c r="X258" s="12" t="s">
        <v>50</v>
      </c>
      <c r="Y258" s="12" t="s">
        <v>50</v>
      </c>
      <c r="Z258" s="12" t="s">
        <v>50</v>
      </c>
      <c r="AA258" s="12" t="s">
        <v>50</v>
      </c>
      <c r="AB258" s="12" t="s">
        <v>51</v>
      </c>
      <c r="AC258" s="12" t="s">
        <v>50</v>
      </c>
      <c r="AD258" s="12" t="s">
        <v>50</v>
      </c>
      <c r="AE258" s="12" t="s">
        <v>52</v>
      </c>
      <c r="AF258" s="12" t="s">
        <v>53</v>
      </c>
      <c r="AG258" s="12" t="s">
        <v>50</v>
      </c>
      <c r="AH258" s="19" t="s">
        <v>54</v>
      </c>
    </row>
    <row r="259" spans="2:34" ht="22.5" customHeight="1" x14ac:dyDescent="0.25">
      <c r="B259" s="18" t="s">
        <v>275</v>
      </c>
      <c r="C259" s="9" t="s">
        <v>276</v>
      </c>
      <c r="D259" s="10" t="s">
        <v>277</v>
      </c>
      <c r="E259" s="10"/>
      <c r="F259" s="10" t="s">
        <v>681</v>
      </c>
      <c r="G259" s="10" t="s">
        <v>682</v>
      </c>
      <c r="H259" s="10"/>
      <c r="I259" s="16" t="s">
        <v>184</v>
      </c>
      <c r="J259" s="10"/>
      <c r="K259" s="10"/>
      <c r="L259" s="16"/>
      <c r="M259" s="16"/>
      <c r="N259" s="16"/>
      <c r="O259" s="11">
        <v>0</v>
      </c>
      <c r="P259" s="11">
        <v>1</v>
      </c>
      <c r="Q259" s="11"/>
      <c r="R259" s="11"/>
      <c r="S259" s="12" t="s">
        <v>683</v>
      </c>
      <c r="T259" s="12" t="s">
        <v>50</v>
      </c>
      <c r="U259" s="12" t="s">
        <v>50</v>
      </c>
      <c r="V259" s="12" t="s">
        <v>50</v>
      </c>
      <c r="W259" s="12" t="s">
        <v>50</v>
      </c>
      <c r="X259" s="12" t="s">
        <v>50</v>
      </c>
      <c r="Y259" s="12" t="s">
        <v>50</v>
      </c>
      <c r="Z259" s="12" t="s">
        <v>50</v>
      </c>
      <c r="AA259" s="12" t="s">
        <v>50</v>
      </c>
      <c r="AB259" s="12" t="s">
        <v>50</v>
      </c>
      <c r="AC259" s="12" t="s">
        <v>50</v>
      </c>
      <c r="AD259" s="12" t="s">
        <v>50</v>
      </c>
      <c r="AE259" s="12" t="s">
        <v>50</v>
      </c>
      <c r="AF259" s="12" t="s">
        <v>50</v>
      </c>
      <c r="AG259" s="12" t="s">
        <v>50</v>
      </c>
      <c r="AH259" s="19" t="s">
        <v>54</v>
      </c>
    </row>
    <row r="260" spans="2:34" ht="22.5" customHeight="1" x14ac:dyDescent="0.25">
      <c r="B260" s="18" t="s">
        <v>275</v>
      </c>
      <c r="C260" s="9" t="s">
        <v>276</v>
      </c>
      <c r="D260" s="10" t="s">
        <v>282</v>
      </c>
      <c r="E260" s="10"/>
      <c r="F260" s="10" t="s">
        <v>681</v>
      </c>
      <c r="G260" s="10" t="s">
        <v>682</v>
      </c>
      <c r="H260" s="10"/>
      <c r="I260" s="16" t="s">
        <v>184</v>
      </c>
      <c r="J260" s="10"/>
      <c r="K260" s="10"/>
      <c r="L260" s="16"/>
      <c r="M260" s="16"/>
      <c r="N260" s="16"/>
      <c r="O260" s="11">
        <v>0</v>
      </c>
      <c r="P260" s="11">
        <v>1</v>
      </c>
      <c r="Q260" s="11"/>
      <c r="R260" s="11"/>
      <c r="S260" s="12" t="s">
        <v>683</v>
      </c>
      <c r="T260" s="12" t="s">
        <v>50</v>
      </c>
      <c r="U260" s="12" t="s">
        <v>50</v>
      </c>
      <c r="V260" s="12" t="s">
        <v>50</v>
      </c>
      <c r="W260" s="12" t="s">
        <v>50</v>
      </c>
      <c r="X260" s="12" t="s">
        <v>50</v>
      </c>
      <c r="Y260" s="12" t="s">
        <v>50</v>
      </c>
      <c r="Z260" s="12" t="s">
        <v>50</v>
      </c>
      <c r="AA260" s="12" t="s">
        <v>50</v>
      </c>
      <c r="AB260" s="12" t="s">
        <v>50</v>
      </c>
      <c r="AC260" s="12" t="s">
        <v>50</v>
      </c>
      <c r="AD260" s="12" t="s">
        <v>50</v>
      </c>
      <c r="AE260" s="12" t="s">
        <v>50</v>
      </c>
      <c r="AF260" s="12" t="s">
        <v>50</v>
      </c>
      <c r="AG260" s="12" t="s">
        <v>50</v>
      </c>
      <c r="AH260" s="19" t="s">
        <v>54</v>
      </c>
    </row>
    <row r="261" spans="2:34" ht="22.5" customHeight="1" x14ac:dyDescent="0.25">
      <c r="B261" s="18" t="s">
        <v>275</v>
      </c>
      <c r="C261" s="9" t="s">
        <v>276</v>
      </c>
      <c r="D261" s="10" t="s">
        <v>285</v>
      </c>
      <c r="E261" s="10"/>
      <c r="F261" s="10" t="s">
        <v>681</v>
      </c>
      <c r="G261" s="10" t="s">
        <v>682</v>
      </c>
      <c r="H261" s="10"/>
      <c r="I261" s="16" t="s">
        <v>184</v>
      </c>
      <c r="J261" s="10"/>
      <c r="K261" s="10"/>
      <c r="L261" s="16"/>
      <c r="M261" s="16"/>
      <c r="N261" s="16"/>
      <c r="O261" s="11">
        <v>0</v>
      </c>
      <c r="P261" s="11">
        <v>1</v>
      </c>
      <c r="Q261" s="11"/>
      <c r="R261" s="11"/>
      <c r="S261" s="12" t="s">
        <v>683</v>
      </c>
      <c r="T261" s="12" t="s">
        <v>50</v>
      </c>
      <c r="U261" s="12" t="s">
        <v>50</v>
      </c>
      <c r="V261" s="12" t="s">
        <v>50</v>
      </c>
      <c r="W261" s="12" t="s">
        <v>50</v>
      </c>
      <c r="X261" s="12" t="s">
        <v>50</v>
      </c>
      <c r="Y261" s="12" t="s">
        <v>50</v>
      </c>
      <c r="Z261" s="12" t="s">
        <v>50</v>
      </c>
      <c r="AA261" s="12" t="s">
        <v>50</v>
      </c>
      <c r="AB261" s="12" t="s">
        <v>50</v>
      </c>
      <c r="AC261" s="12" t="s">
        <v>50</v>
      </c>
      <c r="AD261" s="12" t="s">
        <v>50</v>
      </c>
      <c r="AE261" s="12" t="s">
        <v>50</v>
      </c>
      <c r="AF261" s="12" t="s">
        <v>50</v>
      </c>
      <c r="AG261" s="12" t="s">
        <v>50</v>
      </c>
      <c r="AH261" s="19" t="s">
        <v>54</v>
      </c>
    </row>
    <row r="262" spans="2:34" ht="22.5" customHeight="1" x14ac:dyDescent="0.25">
      <c r="B262" s="18" t="s">
        <v>275</v>
      </c>
      <c r="C262" s="9" t="s">
        <v>684</v>
      </c>
      <c r="D262" s="10" t="s">
        <v>685</v>
      </c>
      <c r="E262" s="10"/>
      <c r="F262" s="10" t="s">
        <v>681</v>
      </c>
      <c r="G262" s="10" t="s">
        <v>682</v>
      </c>
      <c r="H262" s="10"/>
      <c r="I262" s="16" t="s">
        <v>184</v>
      </c>
      <c r="J262" s="10"/>
      <c r="K262" s="10"/>
      <c r="L262" s="16"/>
      <c r="M262" s="16"/>
      <c r="N262" s="16"/>
      <c r="O262" s="11">
        <v>0</v>
      </c>
      <c r="P262" s="11">
        <v>1</v>
      </c>
      <c r="Q262" s="11"/>
      <c r="R262" s="11"/>
      <c r="S262" s="12" t="s">
        <v>683</v>
      </c>
      <c r="T262" s="12" t="s">
        <v>50</v>
      </c>
      <c r="U262" s="12" t="s">
        <v>50</v>
      </c>
      <c r="V262" s="12" t="s">
        <v>50</v>
      </c>
      <c r="W262" s="12" t="s">
        <v>50</v>
      </c>
      <c r="X262" s="12" t="s">
        <v>50</v>
      </c>
      <c r="Y262" s="12" t="s">
        <v>50</v>
      </c>
      <c r="Z262" s="12" t="s">
        <v>50</v>
      </c>
      <c r="AA262" s="12" t="s">
        <v>50</v>
      </c>
      <c r="AB262" s="12" t="s">
        <v>50</v>
      </c>
      <c r="AC262" s="12" t="s">
        <v>50</v>
      </c>
      <c r="AD262" s="12" t="s">
        <v>50</v>
      </c>
      <c r="AE262" s="12" t="s">
        <v>50</v>
      </c>
      <c r="AF262" s="12" t="s">
        <v>50</v>
      </c>
      <c r="AG262" s="12" t="s">
        <v>50</v>
      </c>
      <c r="AH262" s="19" t="s">
        <v>54</v>
      </c>
    </row>
    <row r="263" spans="2:34" ht="22.5" customHeight="1" x14ac:dyDescent="0.25">
      <c r="B263" s="18" t="s">
        <v>275</v>
      </c>
      <c r="C263" s="9" t="s">
        <v>288</v>
      </c>
      <c r="D263" s="10" t="s">
        <v>289</v>
      </c>
      <c r="E263" s="10"/>
      <c r="F263" s="10" t="s">
        <v>681</v>
      </c>
      <c r="G263" s="10" t="s">
        <v>682</v>
      </c>
      <c r="H263" s="10"/>
      <c r="I263" s="16" t="s">
        <v>184</v>
      </c>
      <c r="J263" s="10"/>
      <c r="K263" s="10"/>
      <c r="L263" s="16"/>
      <c r="M263" s="16"/>
      <c r="N263" s="16"/>
      <c r="O263" s="11">
        <v>0</v>
      </c>
      <c r="P263" s="11">
        <v>1</v>
      </c>
      <c r="Q263" s="11"/>
      <c r="R263" s="11"/>
      <c r="S263" s="12" t="s">
        <v>683</v>
      </c>
      <c r="T263" s="12" t="s">
        <v>50</v>
      </c>
      <c r="U263" s="12" t="s">
        <v>50</v>
      </c>
      <c r="V263" s="12" t="s">
        <v>50</v>
      </c>
      <c r="W263" s="12" t="s">
        <v>50</v>
      </c>
      <c r="X263" s="12" t="s">
        <v>50</v>
      </c>
      <c r="Y263" s="12" t="s">
        <v>50</v>
      </c>
      <c r="Z263" s="12" t="s">
        <v>50</v>
      </c>
      <c r="AA263" s="12" t="s">
        <v>50</v>
      </c>
      <c r="AB263" s="12" t="s">
        <v>50</v>
      </c>
      <c r="AC263" s="12" t="s">
        <v>50</v>
      </c>
      <c r="AD263" s="12" t="s">
        <v>50</v>
      </c>
      <c r="AE263" s="12" t="s">
        <v>50</v>
      </c>
      <c r="AF263" s="12" t="s">
        <v>50</v>
      </c>
      <c r="AG263" s="12" t="s">
        <v>50</v>
      </c>
      <c r="AH263" s="19" t="s">
        <v>54</v>
      </c>
    </row>
    <row r="264" spans="2:34" ht="22.5" customHeight="1" x14ac:dyDescent="0.25">
      <c r="B264" s="18" t="s">
        <v>275</v>
      </c>
      <c r="C264" s="9" t="s">
        <v>276</v>
      </c>
      <c r="D264" s="10" t="s">
        <v>292</v>
      </c>
      <c r="E264" s="10"/>
      <c r="F264" s="10" t="s">
        <v>681</v>
      </c>
      <c r="G264" s="10" t="s">
        <v>682</v>
      </c>
      <c r="H264" s="10"/>
      <c r="I264" s="16" t="s">
        <v>184</v>
      </c>
      <c r="J264" s="10"/>
      <c r="K264" s="10"/>
      <c r="L264" s="16"/>
      <c r="M264" s="16"/>
      <c r="N264" s="16"/>
      <c r="O264" s="11">
        <v>0</v>
      </c>
      <c r="P264" s="11">
        <v>1</v>
      </c>
      <c r="Q264" s="11"/>
      <c r="R264" s="11"/>
      <c r="S264" s="12" t="s">
        <v>683</v>
      </c>
      <c r="T264" s="12" t="s">
        <v>50</v>
      </c>
      <c r="U264" s="12" t="s">
        <v>50</v>
      </c>
      <c r="V264" s="12" t="s">
        <v>50</v>
      </c>
      <c r="W264" s="12" t="s">
        <v>50</v>
      </c>
      <c r="X264" s="12" t="s">
        <v>50</v>
      </c>
      <c r="Y264" s="12" t="s">
        <v>50</v>
      </c>
      <c r="Z264" s="12" t="s">
        <v>50</v>
      </c>
      <c r="AA264" s="12" t="s">
        <v>50</v>
      </c>
      <c r="AB264" s="12" t="s">
        <v>50</v>
      </c>
      <c r="AC264" s="12" t="s">
        <v>50</v>
      </c>
      <c r="AD264" s="12" t="s">
        <v>50</v>
      </c>
      <c r="AE264" s="12" t="s">
        <v>50</v>
      </c>
      <c r="AF264" s="12" t="s">
        <v>50</v>
      </c>
      <c r="AG264" s="12" t="s">
        <v>50</v>
      </c>
      <c r="AH264" s="19" t="s">
        <v>54</v>
      </c>
    </row>
    <row r="265" spans="2:34" ht="22.5" customHeight="1" x14ac:dyDescent="0.25">
      <c r="B265" s="18" t="s">
        <v>275</v>
      </c>
      <c r="C265" s="9" t="s">
        <v>670</v>
      </c>
      <c r="D265" s="10" t="s">
        <v>686</v>
      </c>
      <c r="E265" s="10"/>
      <c r="F265" s="10" t="s">
        <v>38</v>
      </c>
      <c r="G265" s="10" t="s">
        <v>39</v>
      </c>
      <c r="H265" s="10"/>
      <c r="I265" s="16" t="s">
        <v>184</v>
      </c>
      <c r="J265" s="10"/>
      <c r="K265" s="10"/>
      <c r="L265" s="16"/>
      <c r="M265" s="16"/>
      <c r="N265" s="16"/>
      <c r="O265" s="11">
        <v>0</v>
      </c>
      <c r="P265" s="11">
        <v>1</v>
      </c>
      <c r="Q265" s="11"/>
      <c r="R265" s="11"/>
      <c r="S265" s="12" t="s">
        <v>45</v>
      </c>
      <c r="T265" s="12" t="s">
        <v>46</v>
      </c>
      <c r="U265" s="12" t="s">
        <v>47</v>
      </c>
      <c r="V265" s="12" t="s">
        <v>48</v>
      </c>
      <c r="W265" s="12" t="s">
        <v>49</v>
      </c>
      <c r="X265" s="12" t="s">
        <v>50</v>
      </c>
      <c r="Y265" s="12" t="s">
        <v>50</v>
      </c>
      <c r="Z265" s="12" t="s">
        <v>50</v>
      </c>
      <c r="AA265" s="12" t="s">
        <v>50</v>
      </c>
      <c r="AB265" s="12" t="s">
        <v>51</v>
      </c>
      <c r="AC265" s="12" t="s">
        <v>50</v>
      </c>
      <c r="AD265" s="12" t="s">
        <v>50</v>
      </c>
      <c r="AE265" s="12" t="s">
        <v>52</v>
      </c>
      <c r="AF265" s="12" t="s">
        <v>53</v>
      </c>
      <c r="AG265" s="12" t="s">
        <v>50</v>
      </c>
      <c r="AH265" s="19" t="s">
        <v>54</v>
      </c>
    </row>
    <row r="266" spans="2:34" ht="22.5" customHeight="1" x14ac:dyDescent="0.25">
      <c r="B266" s="18" t="s">
        <v>275</v>
      </c>
      <c r="C266" s="9" t="s">
        <v>672</v>
      </c>
      <c r="D266" s="10" t="s">
        <v>687</v>
      </c>
      <c r="E266" s="10"/>
      <c r="F266" s="10" t="s">
        <v>38</v>
      </c>
      <c r="G266" s="10" t="s">
        <v>39</v>
      </c>
      <c r="H266" s="10"/>
      <c r="I266" s="16" t="s">
        <v>184</v>
      </c>
      <c r="J266" s="10"/>
      <c r="K266" s="10"/>
      <c r="L266" s="16"/>
      <c r="M266" s="16"/>
      <c r="N266" s="16"/>
      <c r="O266" s="11">
        <v>0</v>
      </c>
      <c r="P266" s="11">
        <v>1</v>
      </c>
      <c r="Q266" s="11"/>
      <c r="R266" s="11"/>
      <c r="S266" s="12" t="s">
        <v>45</v>
      </c>
      <c r="T266" s="12" t="s">
        <v>46</v>
      </c>
      <c r="U266" s="12" t="s">
        <v>47</v>
      </c>
      <c r="V266" s="12" t="s">
        <v>48</v>
      </c>
      <c r="W266" s="12" t="s">
        <v>49</v>
      </c>
      <c r="X266" s="12" t="s">
        <v>50</v>
      </c>
      <c r="Y266" s="12" t="s">
        <v>50</v>
      </c>
      <c r="Z266" s="12" t="s">
        <v>50</v>
      </c>
      <c r="AA266" s="12" t="s">
        <v>50</v>
      </c>
      <c r="AB266" s="12" t="s">
        <v>51</v>
      </c>
      <c r="AC266" s="12" t="s">
        <v>50</v>
      </c>
      <c r="AD266" s="12" t="s">
        <v>50</v>
      </c>
      <c r="AE266" s="12" t="s">
        <v>52</v>
      </c>
      <c r="AF266" s="12" t="s">
        <v>53</v>
      </c>
      <c r="AG266" s="12" t="s">
        <v>50</v>
      </c>
      <c r="AH266" s="19" t="s">
        <v>54</v>
      </c>
    </row>
    <row r="267" spans="2:34" ht="22.5" customHeight="1" x14ac:dyDescent="0.25">
      <c r="B267" s="18" t="s">
        <v>275</v>
      </c>
      <c r="C267" s="9" t="s">
        <v>688</v>
      </c>
      <c r="D267" s="10" t="s">
        <v>689</v>
      </c>
      <c r="E267" s="10"/>
      <c r="F267" s="10" t="s">
        <v>681</v>
      </c>
      <c r="G267" s="10" t="s">
        <v>657</v>
      </c>
      <c r="H267" s="10"/>
      <c r="I267" s="16" t="s">
        <v>184</v>
      </c>
      <c r="J267" s="10"/>
      <c r="K267" s="10"/>
      <c r="L267" s="16"/>
      <c r="M267" s="16"/>
      <c r="N267" s="16"/>
      <c r="O267" s="11">
        <v>0</v>
      </c>
      <c r="P267" s="11">
        <v>1</v>
      </c>
      <c r="Q267" s="11"/>
      <c r="R267" s="11"/>
      <c r="S267" s="12" t="s">
        <v>683</v>
      </c>
      <c r="T267" s="12" t="s">
        <v>50</v>
      </c>
      <c r="U267" s="12" t="s">
        <v>50</v>
      </c>
      <c r="V267" s="12" t="s">
        <v>50</v>
      </c>
      <c r="W267" s="12" t="s">
        <v>50</v>
      </c>
      <c r="X267" s="12" t="s">
        <v>50</v>
      </c>
      <c r="Y267" s="12" t="s">
        <v>50</v>
      </c>
      <c r="Z267" s="12" t="s">
        <v>50</v>
      </c>
      <c r="AA267" s="12" t="s">
        <v>50</v>
      </c>
      <c r="AB267" s="12" t="s">
        <v>50</v>
      </c>
      <c r="AC267" s="12" t="s">
        <v>50</v>
      </c>
      <c r="AD267" s="12" t="s">
        <v>50</v>
      </c>
      <c r="AE267" s="12" t="s">
        <v>50</v>
      </c>
      <c r="AF267" s="12" t="s">
        <v>50</v>
      </c>
      <c r="AG267" s="12" t="s">
        <v>50</v>
      </c>
      <c r="AH267" s="19" t="s">
        <v>54</v>
      </c>
    </row>
    <row r="268" spans="2:34" ht="22.5" customHeight="1" x14ac:dyDescent="0.25">
      <c r="B268" s="18" t="s">
        <v>275</v>
      </c>
      <c r="C268" s="9" t="s">
        <v>36</v>
      </c>
      <c r="D268" s="10" t="s">
        <v>690</v>
      </c>
      <c r="E268" s="10"/>
      <c r="F268" s="10" t="s">
        <v>38</v>
      </c>
      <c r="G268" s="10" t="s">
        <v>39</v>
      </c>
      <c r="H268" s="10"/>
      <c r="I268" s="16" t="s">
        <v>184</v>
      </c>
      <c r="J268" s="10"/>
      <c r="K268" s="10"/>
      <c r="L268" s="16"/>
      <c r="M268" s="16"/>
      <c r="N268" s="16"/>
      <c r="O268" s="11">
        <v>0</v>
      </c>
      <c r="P268" s="11">
        <v>1</v>
      </c>
      <c r="Q268" s="11"/>
      <c r="R268" s="11"/>
      <c r="S268" s="12" t="s">
        <v>45</v>
      </c>
      <c r="T268" s="12" t="s">
        <v>46</v>
      </c>
      <c r="U268" s="12" t="s">
        <v>47</v>
      </c>
      <c r="V268" s="12" t="s">
        <v>48</v>
      </c>
      <c r="W268" s="12" t="s">
        <v>49</v>
      </c>
      <c r="X268" s="12" t="s">
        <v>50</v>
      </c>
      <c r="Y268" s="12" t="s">
        <v>50</v>
      </c>
      <c r="Z268" s="12" t="s">
        <v>50</v>
      </c>
      <c r="AA268" s="12" t="s">
        <v>50</v>
      </c>
      <c r="AB268" s="12" t="s">
        <v>51</v>
      </c>
      <c r="AC268" s="12" t="s">
        <v>50</v>
      </c>
      <c r="AD268" s="12" t="s">
        <v>50</v>
      </c>
      <c r="AE268" s="12" t="s">
        <v>52</v>
      </c>
      <c r="AF268" s="12" t="s">
        <v>53</v>
      </c>
      <c r="AG268" s="12" t="s">
        <v>50</v>
      </c>
      <c r="AH268" s="19" t="s">
        <v>54</v>
      </c>
    </row>
    <row r="269" spans="2:34" ht="22.5" customHeight="1" x14ac:dyDescent="0.25">
      <c r="B269" s="18" t="s">
        <v>275</v>
      </c>
      <c r="C269" s="9" t="s">
        <v>36</v>
      </c>
      <c r="D269" s="10" t="s">
        <v>691</v>
      </c>
      <c r="E269" s="10"/>
      <c r="F269" s="10" t="s">
        <v>38</v>
      </c>
      <c r="G269" s="10" t="s">
        <v>39</v>
      </c>
      <c r="H269" s="10"/>
      <c r="I269" s="16" t="s">
        <v>184</v>
      </c>
      <c r="J269" s="10"/>
      <c r="K269" s="10"/>
      <c r="L269" s="16"/>
      <c r="M269" s="16"/>
      <c r="N269" s="16"/>
      <c r="O269" s="11">
        <v>0</v>
      </c>
      <c r="P269" s="11">
        <v>1</v>
      </c>
      <c r="Q269" s="11"/>
      <c r="R269" s="11"/>
      <c r="S269" s="12" t="s">
        <v>45</v>
      </c>
      <c r="T269" s="12" t="s">
        <v>46</v>
      </c>
      <c r="U269" s="12" t="s">
        <v>47</v>
      </c>
      <c r="V269" s="12" t="s">
        <v>48</v>
      </c>
      <c r="W269" s="12" t="s">
        <v>49</v>
      </c>
      <c r="X269" s="12" t="s">
        <v>50</v>
      </c>
      <c r="Y269" s="12" t="s">
        <v>50</v>
      </c>
      <c r="Z269" s="12" t="s">
        <v>50</v>
      </c>
      <c r="AA269" s="12" t="s">
        <v>50</v>
      </c>
      <c r="AB269" s="12" t="s">
        <v>51</v>
      </c>
      <c r="AC269" s="12" t="s">
        <v>50</v>
      </c>
      <c r="AD269" s="12" t="s">
        <v>50</v>
      </c>
      <c r="AE269" s="12" t="s">
        <v>52</v>
      </c>
      <c r="AF269" s="12" t="s">
        <v>53</v>
      </c>
      <c r="AG269" s="12" t="s">
        <v>50</v>
      </c>
      <c r="AH269" s="19" t="s">
        <v>54</v>
      </c>
    </row>
    <row r="270" spans="2:34" ht="22.5" customHeight="1" x14ac:dyDescent="0.25">
      <c r="B270" s="18" t="s">
        <v>275</v>
      </c>
      <c r="C270" s="9" t="s">
        <v>382</v>
      </c>
      <c r="D270" s="10" t="s">
        <v>692</v>
      </c>
      <c r="E270" s="10"/>
      <c r="F270" s="10" t="s">
        <v>38</v>
      </c>
      <c r="G270" s="10" t="s">
        <v>39</v>
      </c>
      <c r="H270" s="10"/>
      <c r="I270" s="16" t="s">
        <v>184</v>
      </c>
      <c r="J270" s="10"/>
      <c r="K270" s="10"/>
      <c r="L270" s="16"/>
      <c r="M270" s="16"/>
      <c r="N270" s="16"/>
      <c r="O270" s="11">
        <v>0</v>
      </c>
      <c r="P270" s="11">
        <v>1</v>
      </c>
      <c r="Q270" s="11"/>
      <c r="R270" s="11"/>
      <c r="S270" s="12" t="s">
        <v>45</v>
      </c>
      <c r="T270" s="12" t="s">
        <v>46</v>
      </c>
      <c r="U270" s="12" t="s">
        <v>47</v>
      </c>
      <c r="V270" s="12" t="s">
        <v>48</v>
      </c>
      <c r="W270" s="12" t="s">
        <v>49</v>
      </c>
      <c r="X270" s="12" t="s">
        <v>50</v>
      </c>
      <c r="Y270" s="12" t="s">
        <v>50</v>
      </c>
      <c r="Z270" s="12" t="s">
        <v>50</v>
      </c>
      <c r="AA270" s="12" t="s">
        <v>50</v>
      </c>
      <c r="AB270" s="12" t="s">
        <v>51</v>
      </c>
      <c r="AC270" s="12" t="s">
        <v>50</v>
      </c>
      <c r="AD270" s="12" t="s">
        <v>50</v>
      </c>
      <c r="AE270" s="12" t="s">
        <v>52</v>
      </c>
      <c r="AF270" s="12" t="s">
        <v>53</v>
      </c>
      <c r="AG270" s="12" t="s">
        <v>50</v>
      </c>
      <c r="AH270" s="19" t="s">
        <v>54</v>
      </c>
    </row>
    <row r="271" spans="2:34" ht="22.5" customHeight="1" x14ac:dyDescent="0.25">
      <c r="B271" s="18" t="s">
        <v>275</v>
      </c>
      <c r="C271" s="9" t="s">
        <v>693</v>
      </c>
      <c r="D271" s="10" t="s">
        <v>694</v>
      </c>
      <c r="E271" s="10"/>
      <c r="F271" s="10" t="s">
        <v>38</v>
      </c>
      <c r="G271" s="10" t="s">
        <v>39</v>
      </c>
      <c r="H271" s="10"/>
      <c r="I271" s="16" t="s">
        <v>184</v>
      </c>
      <c r="J271" s="10"/>
      <c r="K271" s="10"/>
      <c r="L271" s="16"/>
      <c r="M271" s="16"/>
      <c r="N271" s="16"/>
      <c r="O271" s="11">
        <v>0</v>
      </c>
      <c r="P271" s="11">
        <v>1</v>
      </c>
      <c r="Q271" s="11"/>
      <c r="R271" s="11"/>
      <c r="S271" s="12" t="s">
        <v>45</v>
      </c>
      <c r="T271" s="12" t="s">
        <v>46</v>
      </c>
      <c r="U271" s="12" t="s">
        <v>47</v>
      </c>
      <c r="V271" s="12" t="s">
        <v>48</v>
      </c>
      <c r="W271" s="12" t="s">
        <v>49</v>
      </c>
      <c r="X271" s="12" t="s">
        <v>50</v>
      </c>
      <c r="Y271" s="12" t="s">
        <v>50</v>
      </c>
      <c r="Z271" s="12" t="s">
        <v>50</v>
      </c>
      <c r="AA271" s="12" t="s">
        <v>50</v>
      </c>
      <c r="AB271" s="12" t="s">
        <v>51</v>
      </c>
      <c r="AC271" s="12" t="s">
        <v>50</v>
      </c>
      <c r="AD271" s="12" t="s">
        <v>50</v>
      </c>
      <c r="AE271" s="12" t="s">
        <v>52</v>
      </c>
      <c r="AF271" s="12" t="s">
        <v>53</v>
      </c>
      <c r="AG271" s="12" t="s">
        <v>50</v>
      </c>
      <c r="AH271" s="19" t="s">
        <v>54</v>
      </c>
    </row>
    <row r="272" spans="2:34" ht="22.5" customHeight="1" x14ac:dyDescent="0.25">
      <c r="B272" s="18" t="s">
        <v>275</v>
      </c>
      <c r="C272" s="9" t="s">
        <v>693</v>
      </c>
      <c r="D272" s="10" t="s">
        <v>695</v>
      </c>
      <c r="E272" s="10"/>
      <c r="F272" s="10" t="s">
        <v>38</v>
      </c>
      <c r="G272" s="10" t="s">
        <v>39</v>
      </c>
      <c r="H272" s="10"/>
      <c r="I272" s="16" t="s">
        <v>184</v>
      </c>
      <c r="J272" s="10"/>
      <c r="K272" s="10"/>
      <c r="L272" s="16"/>
      <c r="M272" s="16"/>
      <c r="N272" s="16"/>
      <c r="O272" s="11">
        <v>0</v>
      </c>
      <c r="P272" s="11">
        <v>1</v>
      </c>
      <c r="Q272" s="11"/>
      <c r="R272" s="11"/>
      <c r="S272" s="12" t="s">
        <v>45</v>
      </c>
      <c r="T272" s="12" t="s">
        <v>46</v>
      </c>
      <c r="U272" s="12" t="s">
        <v>47</v>
      </c>
      <c r="V272" s="12" t="s">
        <v>48</v>
      </c>
      <c r="W272" s="12" t="s">
        <v>49</v>
      </c>
      <c r="X272" s="12" t="s">
        <v>50</v>
      </c>
      <c r="Y272" s="12" t="s">
        <v>50</v>
      </c>
      <c r="Z272" s="12" t="s">
        <v>50</v>
      </c>
      <c r="AA272" s="12" t="s">
        <v>50</v>
      </c>
      <c r="AB272" s="12" t="s">
        <v>51</v>
      </c>
      <c r="AC272" s="12" t="s">
        <v>50</v>
      </c>
      <c r="AD272" s="12" t="s">
        <v>50</v>
      </c>
      <c r="AE272" s="12" t="s">
        <v>52</v>
      </c>
      <c r="AF272" s="12" t="s">
        <v>53</v>
      </c>
      <c r="AG272" s="12" t="s">
        <v>50</v>
      </c>
      <c r="AH272" s="19" t="s">
        <v>54</v>
      </c>
    </row>
    <row r="273" spans="2:34" ht="22.5" customHeight="1" x14ac:dyDescent="0.25">
      <c r="B273" s="18" t="s">
        <v>275</v>
      </c>
      <c r="C273" s="9" t="s">
        <v>693</v>
      </c>
      <c r="D273" s="10" t="s">
        <v>696</v>
      </c>
      <c r="E273" s="10"/>
      <c r="F273" s="10" t="s">
        <v>38</v>
      </c>
      <c r="G273" s="10" t="s">
        <v>39</v>
      </c>
      <c r="H273" s="10"/>
      <c r="I273" s="16" t="s">
        <v>184</v>
      </c>
      <c r="J273" s="10"/>
      <c r="K273" s="10"/>
      <c r="L273" s="16"/>
      <c r="M273" s="16"/>
      <c r="N273" s="16"/>
      <c r="O273" s="11">
        <v>0</v>
      </c>
      <c r="P273" s="11">
        <v>1</v>
      </c>
      <c r="Q273" s="11"/>
      <c r="R273" s="11"/>
      <c r="S273" s="12" t="s">
        <v>45</v>
      </c>
      <c r="T273" s="12" t="s">
        <v>46</v>
      </c>
      <c r="U273" s="12" t="s">
        <v>47</v>
      </c>
      <c r="V273" s="12" t="s">
        <v>48</v>
      </c>
      <c r="W273" s="12" t="s">
        <v>49</v>
      </c>
      <c r="X273" s="12" t="s">
        <v>50</v>
      </c>
      <c r="Y273" s="12" t="s">
        <v>50</v>
      </c>
      <c r="Z273" s="12" t="s">
        <v>50</v>
      </c>
      <c r="AA273" s="12" t="s">
        <v>50</v>
      </c>
      <c r="AB273" s="12" t="s">
        <v>51</v>
      </c>
      <c r="AC273" s="12" t="s">
        <v>50</v>
      </c>
      <c r="AD273" s="12" t="s">
        <v>50</v>
      </c>
      <c r="AE273" s="12" t="s">
        <v>52</v>
      </c>
      <c r="AF273" s="12" t="s">
        <v>53</v>
      </c>
      <c r="AG273" s="12" t="s">
        <v>50</v>
      </c>
      <c r="AH273" s="19" t="s">
        <v>54</v>
      </c>
    </row>
    <row r="274" spans="2:34" ht="22.5" customHeight="1" x14ac:dyDescent="0.25">
      <c r="B274" s="18" t="s">
        <v>275</v>
      </c>
      <c r="C274" s="9" t="s">
        <v>693</v>
      </c>
      <c r="D274" s="10" t="s">
        <v>697</v>
      </c>
      <c r="E274" s="10"/>
      <c r="F274" s="10" t="s">
        <v>38</v>
      </c>
      <c r="G274" s="10" t="s">
        <v>39</v>
      </c>
      <c r="H274" s="10"/>
      <c r="I274" s="16" t="s">
        <v>184</v>
      </c>
      <c r="J274" s="10"/>
      <c r="K274" s="10"/>
      <c r="L274" s="16"/>
      <c r="M274" s="16"/>
      <c r="N274" s="16"/>
      <c r="O274" s="11">
        <v>0</v>
      </c>
      <c r="P274" s="11">
        <v>1</v>
      </c>
      <c r="Q274" s="11"/>
      <c r="R274" s="11"/>
      <c r="S274" s="12" t="s">
        <v>45</v>
      </c>
      <c r="T274" s="12" t="s">
        <v>46</v>
      </c>
      <c r="U274" s="12" t="s">
        <v>47</v>
      </c>
      <c r="V274" s="12" t="s">
        <v>48</v>
      </c>
      <c r="W274" s="12" t="s">
        <v>49</v>
      </c>
      <c r="X274" s="12" t="s">
        <v>50</v>
      </c>
      <c r="Y274" s="12" t="s">
        <v>50</v>
      </c>
      <c r="Z274" s="12" t="s">
        <v>50</v>
      </c>
      <c r="AA274" s="12" t="s">
        <v>50</v>
      </c>
      <c r="AB274" s="12" t="s">
        <v>51</v>
      </c>
      <c r="AC274" s="12" t="s">
        <v>50</v>
      </c>
      <c r="AD274" s="12" t="s">
        <v>50</v>
      </c>
      <c r="AE274" s="12" t="s">
        <v>52</v>
      </c>
      <c r="AF274" s="12" t="s">
        <v>53</v>
      </c>
      <c r="AG274" s="12" t="s">
        <v>50</v>
      </c>
      <c r="AH274" s="19" t="s">
        <v>54</v>
      </c>
    </row>
    <row r="275" spans="2:34" ht="22.5" customHeight="1" x14ac:dyDescent="0.25">
      <c r="B275" s="18" t="s">
        <v>275</v>
      </c>
      <c r="C275" s="9" t="s">
        <v>693</v>
      </c>
      <c r="D275" s="10" t="s">
        <v>698</v>
      </c>
      <c r="E275" s="10"/>
      <c r="F275" s="10" t="s">
        <v>38</v>
      </c>
      <c r="G275" s="10" t="s">
        <v>39</v>
      </c>
      <c r="H275" s="10"/>
      <c r="I275" s="16" t="s">
        <v>184</v>
      </c>
      <c r="J275" s="10"/>
      <c r="K275" s="10"/>
      <c r="L275" s="16"/>
      <c r="M275" s="16"/>
      <c r="N275" s="16"/>
      <c r="O275" s="11">
        <v>0</v>
      </c>
      <c r="P275" s="11">
        <v>1</v>
      </c>
      <c r="Q275" s="11"/>
      <c r="R275" s="11"/>
      <c r="S275" s="12" t="s">
        <v>45</v>
      </c>
      <c r="T275" s="12" t="s">
        <v>46</v>
      </c>
      <c r="U275" s="12" t="s">
        <v>47</v>
      </c>
      <c r="V275" s="12" t="s">
        <v>48</v>
      </c>
      <c r="W275" s="12" t="s">
        <v>49</v>
      </c>
      <c r="X275" s="12" t="s">
        <v>50</v>
      </c>
      <c r="Y275" s="12" t="s">
        <v>50</v>
      </c>
      <c r="Z275" s="12" t="s">
        <v>50</v>
      </c>
      <c r="AA275" s="12" t="s">
        <v>50</v>
      </c>
      <c r="AB275" s="12" t="s">
        <v>51</v>
      </c>
      <c r="AC275" s="12" t="s">
        <v>50</v>
      </c>
      <c r="AD275" s="12" t="s">
        <v>50</v>
      </c>
      <c r="AE275" s="12" t="s">
        <v>52</v>
      </c>
      <c r="AF275" s="12" t="s">
        <v>53</v>
      </c>
      <c r="AG275" s="12" t="s">
        <v>50</v>
      </c>
      <c r="AH275" s="19" t="s">
        <v>54</v>
      </c>
    </row>
    <row r="276" spans="2:34" ht="22.5" customHeight="1" x14ac:dyDescent="0.25">
      <c r="B276" s="18" t="s">
        <v>275</v>
      </c>
      <c r="C276" s="9" t="s">
        <v>693</v>
      </c>
      <c r="D276" s="10" t="s">
        <v>699</v>
      </c>
      <c r="E276" s="10"/>
      <c r="F276" s="10" t="s">
        <v>38</v>
      </c>
      <c r="G276" s="10" t="s">
        <v>39</v>
      </c>
      <c r="H276" s="10"/>
      <c r="I276" s="16" t="s">
        <v>184</v>
      </c>
      <c r="J276" s="10"/>
      <c r="K276" s="10"/>
      <c r="L276" s="16"/>
      <c r="M276" s="16"/>
      <c r="N276" s="16"/>
      <c r="O276" s="11">
        <v>0</v>
      </c>
      <c r="P276" s="11">
        <v>1</v>
      </c>
      <c r="Q276" s="11"/>
      <c r="R276" s="11"/>
      <c r="S276" s="12" t="s">
        <v>45</v>
      </c>
      <c r="T276" s="12" t="s">
        <v>46</v>
      </c>
      <c r="U276" s="12" t="s">
        <v>47</v>
      </c>
      <c r="V276" s="12" t="s">
        <v>48</v>
      </c>
      <c r="W276" s="12" t="s">
        <v>49</v>
      </c>
      <c r="X276" s="12" t="s">
        <v>50</v>
      </c>
      <c r="Y276" s="12" t="s">
        <v>50</v>
      </c>
      <c r="Z276" s="12" t="s">
        <v>50</v>
      </c>
      <c r="AA276" s="12" t="s">
        <v>50</v>
      </c>
      <c r="AB276" s="12" t="s">
        <v>51</v>
      </c>
      <c r="AC276" s="12" t="s">
        <v>50</v>
      </c>
      <c r="AD276" s="12" t="s">
        <v>50</v>
      </c>
      <c r="AE276" s="12" t="s">
        <v>52</v>
      </c>
      <c r="AF276" s="12" t="s">
        <v>53</v>
      </c>
      <c r="AG276" s="12" t="s">
        <v>50</v>
      </c>
      <c r="AH276" s="19" t="s">
        <v>54</v>
      </c>
    </row>
    <row r="277" spans="2:34" ht="22.5" customHeight="1" x14ac:dyDescent="0.25">
      <c r="B277" s="18" t="s">
        <v>275</v>
      </c>
      <c r="C277" s="9" t="s">
        <v>700</v>
      </c>
      <c r="D277" s="10" t="s">
        <v>701</v>
      </c>
      <c r="E277" s="10"/>
      <c r="F277" s="10" t="s">
        <v>38</v>
      </c>
      <c r="G277" s="10" t="s">
        <v>39</v>
      </c>
      <c r="H277" s="10"/>
      <c r="I277" s="16" t="s">
        <v>184</v>
      </c>
      <c r="J277" s="10"/>
      <c r="K277" s="10"/>
      <c r="L277" s="16"/>
      <c r="M277" s="16"/>
      <c r="N277" s="16"/>
      <c r="O277" s="11">
        <v>0</v>
      </c>
      <c r="P277" s="11">
        <v>1</v>
      </c>
      <c r="Q277" s="11"/>
      <c r="R277" s="11"/>
      <c r="S277" s="12" t="s">
        <v>45</v>
      </c>
      <c r="T277" s="12" t="s">
        <v>46</v>
      </c>
      <c r="U277" s="12" t="s">
        <v>47</v>
      </c>
      <c r="V277" s="12" t="s">
        <v>48</v>
      </c>
      <c r="W277" s="12" t="s">
        <v>49</v>
      </c>
      <c r="X277" s="12" t="s">
        <v>50</v>
      </c>
      <c r="Y277" s="12" t="s">
        <v>50</v>
      </c>
      <c r="Z277" s="12" t="s">
        <v>50</v>
      </c>
      <c r="AA277" s="12" t="s">
        <v>50</v>
      </c>
      <c r="AB277" s="12" t="s">
        <v>51</v>
      </c>
      <c r="AC277" s="12" t="s">
        <v>50</v>
      </c>
      <c r="AD277" s="12" t="s">
        <v>50</v>
      </c>
      <c r="AE277" s="12" t="s">
        <v>52</v>
      </c>
      <c r="AF277" s="12" t="s">
        <v>53</v>
      </c>
      <c r="AG277" s="12" t="s">
        <v>50</v>
      </c>
      <c r="AH277" s="19" t="s">
        <v>54</v>
      </c>
    </row>
    <row r="278" spans="2:34" ht="22.5" customHeight="1" x14ac:dyDescent="0.25">
      <c r="B278" s="18" t="s">
        <v>275</v>
      </c>
      <c r="C278" s="9" t="s">
        <v>693</v>
      </c>
      <c r="D278" s="10" t="s">
        <v>702</v>
      </c>
      <c r="E278" s="10"/>
      <c r="F278" s="10" t="s">
        <v>38</v>
      </c>
      <c r="G278" s="10" t="s">
        <v>39</v>
      </c>
      <c r="H278" s="10"/>
      <c r="I278" s="16" t="s">
        <v>184</v>
      </c>
      <c r="J278" s="10"/>
      <c r="K278" s="10"/>
      <c r="L278" s="16"/>
      <c r="M278" s="16"/>
      <c r="N278" s="16"/>
      <c r="O278" s="11">
        <v>0</v>
      </c>
      <c r="P278" s="11">
        <v>1</v>
      </c>
      <c r="Q278" s="11"/>
      <c r="R278" s="11"/>
      <c r="S278" s="12" t="s">
        <v>45</v>
      </c>
      <c r="T278" s="12" t="s">
        <v>46</v>
      </c>
      <c r="U278" s="12" t="s">
        <v>47</v>
      </c>
      <c r="V278" s="12" t="s">
        <v>48</v>
      </c>
      <c r="W278" s="12" t="s">
        <v>49</v>
      </c>
      <c r="X278" s="12" t="s">
        <v>50</v>
      </c>
      <c r="Y278" s="12" t="s">
        <v>50</v>
      </c>
      <c r="Z278" s="12" t="s">
        <v>50</v>
      </c>
      <c r="AA278" s="12" t="s">
        <v>50</v>
      </c>
      <c r="AB278" s="12" t="s">
        <v>51</v>
      </c>
      <c r="AC278" s="12" t="s">
        <v>50</v>
      </c>
      <c r="AD278" s="12" t="s">
        <v>50</v>
      </c>
      <c r="AE278" s="12" t="s">
        <v>52</v>
      </c>
      <c r="AF278" s="12" t="s">
        <v>53</v>
      </c>
      <c r="AG278" s="12" t="s">
        <v>50</v>
      </c>
      <c r="AH278" s="19" t="s">
        <v>54</v>
      </c>
    </row>
    <row r="279" spans="2:34" ht="22.5" customHeight="1" x14ac:dyDescent="0.25">
      <c r="B279" s="18" t="s">
        <v>275</v>
      </c>
      <c r="C279" s="9" t="s">
        <v>693</v>
      </c>
      <c r="D279" s="10" t="s">
        <v>703</v>
      </c>
      <c r="E279" s="10"/>
      <c r="F279" s="10" t="s">
        <v>38</v>
      </c>
      <c r="G279" s="10" t="s">
        <v>39</v>
      </c>
      <c r="H279" s="10"/>
      <c r="I279" s="16" t="s">
        <v>184</v>
      </c>
      <c r="J279" s="10"/>
      <c r="K279" s="10"/>
      <c r="L279" s="16"/>
      <c r="M279" s="16"/>
      <c r="N279" s="16"/>
      <c r="O279" s="11">
        <v>0</v>
      </c>
      <c r="P279" s="11">
        <v>1</v>
      </c>
      <c r="Q279" s="11"/>
      <c r="R279" s="11"/>
      <c r="S279" s="12" t="s">
        <v>45</v>
      </c>
      <c r="T279" s="12" t="s">
        <v>46</v>
      </c>
      <c r="U279" s="12" t="s">
        <v>47</v>
      </c>
      <c r="V279" s="12" t="s">
        <v>48</v>
      </c>
      <c r="W279" s="12" t="s">
        <v>49</v>
      </c>
      <c r="X279" s="12" t="s">
        <v>50</v>
      </c>
      <c r="Y279" s="12" t="s">
        <v>50</v>
      </c>
      <c r="Z279" s="12" t="s">
        <v>50</v>
      </c>
      <c r="AA279" s="12" t="s">
        <v>50</v>
      </c>
      <c r="AB279" s="12" t="s">
        <v>51</v>
      </c>
      <c r="AC279" s="12" t="s">
        <v>50</v>
      </c>
      <c r="AD279" s="12" t="s">
        <v>50</v>
      </c>
      <c r="AE279" s="12" t="s">
        <v>52</v>
      </c>
      <c r="AF279" s="12" t="s">
        <v>53</v>
      </c>
      <c r="AG279" s="12" t="s">
        <v>50</v>
      </c>
      <c r="AH279" s="19" t="s">
        <v>54</v>
      </c>
    </row>
    <row r="280" spans="2:34" ht="22.5" customHeight="1" x14ac:dyDescent="0.25">
      <c r="B280" s="18" t="s">
        <v>275</v>
      </c>
      <c r="C280" s="9" t="s">
        <v>693</v>
      </c>
      <c r="D280" s="10" t="s">
        <v>704</v>
      </c>
      <c r="E280" s="10"/>
      <c r="F280" s="10" t="s">
        <v>38</v>
      </c>
      <c r="G280" s="10" t="s">
        <v>39</v>
      </c>
      <c r="H280" s="10"/>
      <c r="I280" s="16" t="s">
        <v>184</v>
      </c>
      <c r="J280" s="10"/>
      <c r="K280" s="10"/>
      <c r="L280" s="16"/>
      <c r="M280" s="16"/>
      <c r="N280" s="16"/>
      <c r="O280" s="11">
        <v>0</v>
      </c>
      <c r="P280" s="11">
        <v>1</v>
      </c>
      <c r="Q280" s="11"/>
      <c r="R280" s="11"/>
      <c r="S280" s="12" t="s">
        <v>45</v>
      </c>
      <c r="T280" s="12" t="s">
        <v>46</v>
      </c>
      <c r="U280" s="12" t="s">
        <v>47</v>
      </c>
      <c r="V280" s="12" t="s">
        <v>48</v>
      </c>
      <c r="W280" s="12" t="s">
        <v>49</v>
      </c>
      <c r="X280" s="12" t="s">
        <v>50</v>
      </c>
      <c r="Y280" s="12" t="s">
        <v>50</v>
      </c>
      <c r="Z280" s="12" t="s">
        <v>50</v>
      </c>
      <c r="AA280" s="12" t="s">
        <v>50</v>
      </c>
      <c r="AB280" s="12" t="s">
        <v>51</v>
      </c>
      <c r="AC280" s="12" t="s">
        <v>50</v>
      </c>
      <c r="AD280" s="12" t="s">
        <v>50</v>
      </c>
      <c r="AE280" s="12" t="s">
        <v>52</v>
      </c>
      <c r="AF280" s="12" t="s">
        <v>53</v>
      </c>
      <c r="AG280" s="12" t="s">
        <v>50</v>
      </c>
      <c r="AH280" s="19" t="s">
        <v>54</v>
      </c>
    </row>
    <row r="281" spans="2:34" ht="22.5" customHeight="1" x14ac:dyDescent="0.25">
      <c r="B281" s="18" t="s">
        <v>275</v>
      </c>
      <c r="C281" s="9" t="s">
        <v>705</v>
      </c>
      <c r="D281" s="10" t="s">
        <v>706</v>
      </c>
      <c r="E281" s="10"/>
      <c r="F281" s="10" t="s">
        <v>38</v>
      </c>
      <c r="G281" s="10" t="s">
        <v>39</v>
      </c>
      <c r="H281" s="10"/>
      <c r="I281" s="16" t="s">
        <v>184</v>
      </c>
      <c r="J281" s="10"/>
      <c r="K281" s="10"/>
      <c r="L281" s="16"/>
      <c r="M281" s="16"/>
      <c r="N281" s="16"/>
      <c r="O281" s="11">
        <v>0</v>
      </c>
      <c r="P281" s="11">
        <v>1</v>
      </c>
      <c r="Q281" s="11"/>
      <c r="R281" s="11"/>
      <c r="S281" s="12" t="s">
        <v>45</v>
      </c>
      <c r="T281" s="12" t="s">
        <v>46</v>
      </c>
      <c r="U281" s="12" t="s">
        <v>47</v>
      </c>
      <c r="V281" s="12" t="s">
        <v>48</v>
      </c>
      <c r="W281" s="12" t="s">
        <v>49</v>
      </c>
      <c r="X281" s="12" t="s">
        <v>50</v>
      </c>
      <c r="Y281" s="12" t="s">
        <v>50</v>
      </c>
      <c r="Z281" s="12" t="s">
        <v>50</v>
      </c>
      <c r="AA281" s="12" t="s">
        <v>50</v>
      </c>
      <c r="AB281" s="12" t="s">
        <v>51</v>
      </c>
      <c r="AC281" s="12" t="s">
        <v>50</v>
      </c>
      <c r="AD281" s="12" t="s">
        <v>50</v>
      </c>
      <c r="AE281" s="12" t="s">
        <v>52</v>
      </c>
      <c r="AF281" s="12" t="s">
        <v>53</v>
      </c>
      <c r="AG281" s="12" t="s">
        <v>50</v>
      </c>
      <c r="AH281" s="19" t="s">
        <v>54</v>
      </c>
    </row>
    <row r="282" spans="2:34" ht="22.5" customHeight="1" x14ac:dyDescent="0.25">
      <c r="B282" s="18" t="s">
        <v>275</v>
      </c>
      <c r="C282" s="9" t="s">
        <v>693</v>
      </c>
      <c r="D282" s="10" t="s">
        <v>707</v>
      </c>
      <c r="E282" s="10"/>
      <c r="F282" s="10" t="s">
        <v>38</v>
      </c>
      <c r="G282" s="10" t="s">
        <v>39</v>
      </c>
      <c r="H282" s="10"/>
      <c r="I282" s="16" t="s">
        <v>184</v>
      </c>
      <c r="J282" s="10"/>
      <c r="K282" s="10"/>
      <c r="L282" s="16"/>
      <c r="M282" s="16"/>
      <c r="N282" s="16"/>
      <c r="O282" s="11">
        <v>0</v>
      </c>
      <c r="P282" s="11">
        <v>1</v>
      </c>
      <c r="Q282" s="11"/>
      <c r="R282" s="11"/>
      <c r="S282" s="12" t="s">
        <v>45</v>
      </c>
      <c r="T282" s="12" t="s">
        <v>46</v>
      </c>
      <c r="U282" s="12" t="s">
        <v>47</v>
      </c>
      <c r="V282" s="12" t="s">
        <v>48</v>
      </c>
      <c r="W282" s="12" t="s">
        <v>49</v>
      </c>
      <c r="X282" s="12" t="s">
        <v>50</v>
      </c>
      <c r="Y282" s="12" t="s">
        <v>50</v>
      </c>
      <c r="Z282" s="12" t="s">
        <v>50</v>
      </c>
      <c r="AA282" s="12" t="s">
        <v>50</v>
      </c>
      <c r="AB282" s="12" t="s">
        <v>51</v>
      </c>
      <c r="AC282" s="12" t="s">
        <v>50</v>
      </c>
      <c r="AD282" s="12" t="s">
        <v>50</v>
      </c>
      <c r="AE282" s="12" t="s">
        <v>52</v>
      </c>
      <c r="AF282" s="12" t="s">
        <v>53</v>
      </c>
      <c r="AG282" s="12" t="s">
        <v>50</v>
      </c>
      <c r="AH282" s="19" t="s">
        <v>54</v>
      </c>
    </row>
    <row r="283" spans="2:34" ht="22.5" customHeight="1" x14ac:dyDescent="0.25">
      <c r="B283" s="18" t="s">
        <v>275</v>
      </c>
      <c r="C283" s="9" t="s">
        <v>708</v>
      </c>
      <c r="D283" s="10" t="s">
        <v>709</v>
      </c>
      <c r="E283" s="10"/>
      <c r="F283" s="10" t="s">
        <v>38</v>
      </c>
      <c r="G283" s="10" t="s">
        <v>39</v>
      </c>
      <c r="H283" s="10"/>
      <c r="I283" s="16" t="s">
        <v>184</v>
      </c>
      <c r="J283" s="10"/>
      <c r="K283" s="10"/>
      <c r="L283" s="16"/>
      <c r="M283" s="16"/>
      <c r="N283" s="16"/>
      <c r="O283" s="11">
        <v>0</v>
      </c>
      <c r="P283" s="11">
        <v>1</v>
      </c>
      <c r="Q283" s="11"/>
      <c r="R283" s="11"/>
      <c r="S283" s="12" t="s">
        <v>45</v>
      </c>
      <c r="T283" s="12" t="s">
        <v>46</v>
      </c>
      <c r="U283" s="12" t="s">
        <v>47</v>
      </c>
      <c r="V283" s="12" t="s">
        <v>48</v>
      </c>
      <c r="W283" s="12" t="s">
        <v>49</v>
      </c>
      <c r="X283" s="12" t="s">
        <v>50</v>
      </c>
      <c r="Y283" s="12" t="s">
        <v>50</v>
      </c>
      <c r="Z283" s="12" t="s">
        <v>50</v>
      </c>
      <c r="AA283" s="12" t="s">
        <v>50</v>
      </c>
      <c r="AB283" s="12" t="s">
        <v>51</v>
      </c>
      <c r="AC283" s="12" t="s">
        <v>50</v>
      </c>
      <c r="AD283" s="12" t="s">
        <v>50</v>
      </c>
      <c r="AE283" s="12" t="s">
        <v>52</v>
      </c>
      <c r="AF283" s="12" t="s">
        <v>53</v>
      </c>
      <c r="AG283" s="12" t="s">
        <v>50</v>
      </c>
      <c r="AH283" s="19" t="s">
        <v>54</v>
      </c>
    </row>
    <row r="284" spans="2:34" ht="22.5" customHeight="1" x14ac:dyDescent="0.25">
      <c r="B284" s="18" t="s">
        <v>275</v>
      </c>
      <c r="C284" s="9" t="s">
        <v>693</v>
      </c>
      <c r="D284" s="10" t="s">
        <v>710</v>
      </c>
      <c r="E284" s="10"/>
      <c r="F284" s="10" t="s">
        <v>38</v>
      </c>
      <c r="G284" s="10" t="s">
        <v>39</v>
      </c>
      <c r="H284" s="10"/>
      <c r="I284" s="16" t="s">
        <v>184</v>
      </c>
      <c r="J284" s="10"/>
      <c r="K284" s="10"/>
      <c r="L284" s="16"/>
      <c r="M284" s="16"/>
      <c r="N284" s="16"/>
      <c r="O284" s="11">
        <v>0</v>
      </c>
      <c r="P284" s="11">
        <v>1</v>
      </c>
      <c r="Q284" s="11"/>
      <c r="R284" s="11"/>
      <c r="S284" s="12" t="s">
        <v>45</v>
      </c>
      <c r="T284" s="12" t="s">
        <v>46</v>
      </c>
      <c r="U284" s="12" t="s">
        <v>47</v>
      </c>
      <c r="V284" s="12" t="s">
        <v>48</v>
      </c>
      <c r="W284" s="12" t="s">
        <v>49</v>
      </c>
      <c r="X284" s="12" t="s">
        <v>50</v>
      </c>
      <c r="Y284" s="12" t="s">
        <v>50</v>
      </c>
      <c r="Z284" s="12" t="s">
        <v>50</v>
      </c>
      <c r="AA284" s="12" t="s">
        <v>50</v>
      </c>
      <c r="AB284" s="12" t="s">
        <v>51</v>
      </c>
      <c r="AC284" s="12" t="s">
        <v>50</v>
      </c>
      <c r="AD284" s="12" t="s">
        <v>50</v>
      </c>
      <c r="AE284" s="12" t="s">
        <v>52</v>
      </c>
      <c r="AF284" s="12" t="s">
        <v>53</v>
      </c>
      <c r="AG284" s="12" t="s">
        <v>50</v>
      </c>
      <c r="AH284" s="19" t="s">
        <v>54</v>
      </c>
    </row>
    <row r="285" spans="2:34" ht="22.5" customHeight="1" x14ac:dyDescent="0.25">
      <c r="B285" s="18" t="s">
        <v>275</v>
      </c>
      <c r="C285" s="9" t="s">
        <v>693</v>
      </c>
      <c r="D285" s="10" t="s">
        <v>711</v>
      </c>
      <c r="E285" s="10"/>
      <c r="F285" s="10" t="s">
        <v>38</v>
      </c>
      <c r="G285" s="10" t="s">
        <v>39</v>
      </c>
      <c r="H285" s="10"/>
      <c r="I285" s="16" t="s">
        <v>184</v>
      </c>
      <c r="J285" s="10"/>
      <c r="K285" s="10"/>
      <c r="L285" s="16"/>
      <c r="M285" s="16"/>
      <c r="N285" s="16"/>
      <c r="O285" s="11">
        <v>0</v>
      </c>
      <c r="P285" s="11">
        <v>1</v>
      </c>
      <c r="Q285" s="11"/>
      <c r="R285" s="11"/>
      <c r="S285" s="12" t="s">
        <v>45</v>
      </c>
      <c r="T285" s="12" t="s">
        <v>46</v>
      </c>
      <c r="U285" s="12" t="s">
        <v>47</v>
      </c>
      <c r="V285" s="12" t="s">
        <v>48</v>
      </c>
      <c r="W285" s="12" t="s">
        <v>49</v>
      </c>
      <c r="X285" s="12" t="s">
        <v>50</v>
      </c>
      <c r="Y285" s="12" t="s">
        <v>50</v>
      </c>
      <c r="Z285" s="12" t="s">
        <v>50</v>
      </c>
      <c r="AA285" s="12" t="s">
        <v>50</v>
      </c>
      <c r="AB285" s="12" t="s">
        <v>51</v>
      </c>
      <c r="AC285" s="12" t="s">
        <v>50</v>
      </c>
      <c r="AD285" s="12" t="s">
        <v>50</v>
      </c>
      <c r="AE285" s="12" t="s">
        <v>52</v>
      </c>
      <c r="AF285" s="12" t="s">
        <v>53</v>
      </c>
      <c r="AG285" s="12" t="s">
        <v>50</v>
      </c>
      <c r="AH285" s="19" t="s">
        <v>54</v>
      </c>
    </row>
    <row r="286" spans="2:34" ht="22.5" customHeight="1" x14ac:dyDescent="0.25">
      <c r="B286" s="18" t="s">
        <v>275</v>
      </c>
      <c r="C286" s="9" t="s">
        <v>705</v>
      </c>
      <c r="D286" s="10" t="s">
        <v>712</v>
      </c>
      <c r="E286" s="10"/>
      <c r="F286" s="10" t="s">
        <v>38</v>
      </c>
      <c r="G286" s="10" t="s">
        <v>39</v>
      </c>
      <c r="H286" s="10"/>
      <c r="I286" s="16" t="s">
        <v>184</v>
      </c>
      <c r="J286" s="10"/>
      <c r="K286" s="10"/>
      <c r="L286" s="16"/>
      <c r="M286" s="16"/>
      <c r="N286" s="16"/>
      <c r="O286" s="11">
        <v>0</v>
      </c>
      <c r="P286" s="11">
        <v>1</v>
      </c>
      <c r="Q286" s="11"/>
      <c r="R286" s="11"/>
      <c r="S286" s="12" t="s">
        <v>45</v>
      </c>
      <c r="T286" s="12" t="s">
        <v>46</v>
      </c>
      <c r="U286" s="12" t="s">
        <v>47</v>
      </c>
      <c r="V286" s="12" t="s">
        <v>48</v>
      </c>
      <c r="W286" s="12" t="s">
        <v>49</v>
      </c>
      <c r="X286" s="12" t="s">
        <v>50</v>
      </c>
      <c r="Y286" s="12" t="s">
        <v>50</v>
      </c>
      <c r="Z286" s="12" t="s">
        <v>50</v>
      </c>
      <c r="AA286" s="12" t="s">
        <v>50</v>
      </c>
      <c r="AB286" s="12" t="s">
        <v>51</v>
      </c>
      <c r="AC286" s="12" t="s">
        <v>50</v>
      </c>
      <c r="AD286" s="12" t="s">
        <v>50</v>
      </c>
      <c r="AE286" s="12" t="s">
        <v>52</v>
      </c>
      <c r="AF286" s="12" t="s">
        <v>53</v>
      </c>
      <c r="AG286" s="12" t="s">
        <v>50</v>
      </c>
      <c r="AH286" s="19" t="s">
        <v>54</v>
      </c>
    </row>
    <row r="287" spans="2:34" ht="22.5" customHeight="1" x14ac:dyDescent="0.25">
      <c r="B287" s="18" t="s">
        <v>275</v>
      </c>
      <c r="C287" s="9" t="s">
        <v>708</v>
      </c>
      <c r="D287" s="10" t="s">
        <v>713</v>
      </c>
      <c r="E287" s="10"/>
      <c r="F287" s="10" t="s">
        <v>38</v>
      </c>
      <c r="G287" s="10" t="s">
        <v>39</v>
      </c>
      <c r="H287" s="10"/>
      <c r="I287" s="16" t="s">
        <v>184</v>
      </c>
      <c r="J287" s="10"/>
      <c r="K287" s="10"/>
      <c r="L287" s="16"/>
      <c r="M287" s="16"/>
      <c r="N287" s="16"/>
      <c r="O287" s="11">
        <v>0</v>
      </c>
      <c r="P287" s="11">
        <v>1</v>
      </c>
      <c r="Q287" s="11"/>
      <c r="R287" s="11"/>
      <c r="S287" s="12" t="s">
        <v>45</v>
      </c>
      <c r="T287" s="12" t="s">
        <v>46</v>
      </c>
      <c r="U287" s="12" t="s">
        <v>47</v>
      </c>
      <c r="V287" s="12" t="s">
        <v>48</v>
      </c>
      <c r="W287" s="12" t="s">
        <v>49</v>
      </c>
      <c r="X287" s="12" t="s">
        <v>50</v>
      </c>
      <c r="Y287" s="12" t="s">
        <v>50</v>
      </c>
      <c r="Z287" s="12" t="s">
        <v>50</v>
      </c>
      <c r="AA287" s="12" t="s">
        <v>50</v>
      </c>
      <c r="AB287" s="12" t="s">
        <v>51</v>
      </c>
      <c r="AC287" s="12" t="s">
        <v>50</v>
      </c>
      <c r="AD287" s="12" t="s">
        <v>50</v>
      </c>
      <c r="AE287" s="12" t="s">
        <v>52</v>
      </c>
      <c r="AF287" s="12" t="s">
        <v>53</v>
      </c>
      <c r="AG287" s="12" t="s">
        <v>50</v>
      </c>
      <c r="AH287" s="19" t="s">
        <v>54</v>
      </c>
    </row>
    <row r="288" spans="2:34" ht="22.5" customHeight="1" x14ac:dyDescent="0.25">
      <c r="B288" s="18" t="s">
        <v>275</v>
      </c>
      <c r="C288" s="9" t="s">
        <v>693</v>
      </c>
      <c r="D288" s="10" t="s">
        <v>714</v>
      </c>
      <c r="E288" s="10"/>
      <c r="F288" s="10" t="s">
        <v>38</v>
      </c>
      <c r="G288" s="10" t="s">
        <v>39</v>
      </c>
      <c r="H288" s="10"/>
      <c r="I288" s="16" t="s">
        <v>184</v>
      </c>
      <c r="J288" s="10"/>
      <c r="K288" s="10"/>
      <c r="L288" s="16"/>
      <c r="M288" s="16"/>
      <c r="N288" s="16"/>
      <c r="O288" s="11">
        <v>0</v>
      </c>
      <c r="P288" s="11">
        <v>1</v>
      </c>
      <c r="Q288" s="11"/>
      <c r="R288" s="11"/>
      <c r="S288" s="12" t="s">
        <v>45</v>
      </c>
      <c r="T288" s="12" t="s">
        <v>46</v>
      </c>
      <c r="U288" s="12" t="s">
        <v>47</v>
      </c>
      <c r="V288" s="12" t="s">
        <v>48</v>
      </c>
      <c r="W288" s="12" t="s">
        <v>49</v>
      </c>
      <c r="X288" s="12" t="s">
        <v>50</v>
      </c>
      <c r="Y288" s="12" t="s">
        <v>50</v>
      </c>
      <c r="Z288" s="12" t="s">
        <v>50</v>
      </c>
      <c r="AA288" s="12" t="s">
        <v>50</v>
      </c>
      <c r="AB288" s="12" t="s">
        <v>51</v>
      </c>
      <c r="AC288" s="12" t="s">
        <v>50</v>
      </c>
      <c r="AD288" s="12" t="s">
        <v>50</v>
      </c>
      <c r="AE288" s="12" t="s">
        <v>52</v>
      </c>
      <c r="AF288" s="12" t="s">
        <v>53</v>
      </c>
      <c r="AG288" s="12" t="s">
        <v>50</v>
      </c>
      <c r="AH288" s="19" t="s">
        <v>54</v>
      </c>
    </row>
    <row r="289" spans="2:34" ht="22.5" customHeight="1" x14ac:dyDescent="0.25">
      <c r="B289" s="18" t="s">
        <v>275</v>
      </c>
      <c r="C289" s="9" t="s">
        <v>693</v>
      </c>
      <c r="D289" s="10" t="s">
        <v>715</v>
      </c>
      <c r="E289" s="10"/>
      <c r="F289" s="10" t="s">
        <v>38</v>
      </c>
      <c r="G289" s="10" t="s">
        <v>39</v>
      </c>
      <c r="H289" s="10"/>
      <c r="I289" s="16" t="s">
        <v>184</v>
      </c>
      <c r="J289" s="10"/>
      <c r="K289" s="10"/>
      <c r="L289" s="16"/>
      <c r="M289" s="16"/>
      <c r="N289" s="16"/>
      <c r="O289" s="11">
        <v>0</v>
      </c>
      <c r="P289" s="11">
        <v>1</v>
      </c>
      <c r="Q289" s="11"/>
      <c r="R289" s="11"/>
      <c r="S289" s="12" t="s">
        <v>45</v>
      </c>
      <c r="T289" s="12" t="s">
        <v>46</v>
      </c>
      <c r="U289" s="12" t="s">
        <v>47</v>
      </c>
      <c r="V289" s="12" t="s">
        <v>48</v>
      </c>
      <c r="W289" s="12" t="s">
        <v>49</v>
      </c>
      <c r="X289" s="12" t="s">
        <v>50</v>
      </c>
      <c r="Y289" s="12" t="s">
        <v>50</v>
      </c>
      <c r="Z289" s="12" t="s">
        <v>50</v>
      </c>
      <c r="AA289" s="12" t="s">
        <v>50</v>
      </c>
      <c r="AB289" s="12" t="s">
        <v>51</v>
      </c>
      <c r="AC289" s="12" t="s">
        <v>50</v>
      </c>
      <c r="AD289" s="12" t="s">
        <v>50</v>
      </c>
      <c r="AE289" s="12" t="s">
        <v>52</v>
      </c>
      <c r="AF289" s="12" t="s">
        <v>53</v>
      </c>
      <c r="AG289" s="12" t="s">
        <v>50</v>
      </c>
      <c r="AH289" s="19" t="s">
        <v>54</v>
      </c>
    </row>
    <row r="290" spans="2:34" ht="22.5" customHeight="1" x14ac:dyDescent="0.25">
      <c r="B290" s="18" t="s">
        <v>275</v>
      </c>
      <c r="C290" s="9" t="s">
        <v>693</v>
      </c>
      <c r="D290" s="10" t="s">
        <v>716</v>
      </c>
      <c r="E290" s="10"/>
      <c r="F290" s="10" t="s">
        <v>38</v>
      </c>
      <c r="G290" s="10" t="s">
        <v>39</v>
      </c>
      <c r="H290" s="10"/>
      <c r="I290" s="16" t="s">
        <v>184</v>
      </c>
      <c r="J290" s="10"/>
      <c r="K290" s="10"/>
      <c r="L290" s="16"/>
      <c r="M290" s="16"/>
      <c r="N290" s="16"/>
      <c r="O290" s="11">
        <v>0</v>
      </c>
      <c r="P290" s="11">
        <v>1</v>
      </c>
      <c r="Q290" s="11"/>
      <c r="R290" s="11"/>
      <c r="S290" s="12" t="s">
        <v>45</v>
      </c>
      <c r="T290" s="12" t="s">
        <v>46</v>
      </c>
      <c r="U290" s="12" t="s">
        <v>47</v>
      </c>
      <c r="V290" s="12" t="s">
        <v>48</v>
      </c>
      <c r="W290" s="12" t="s">
        <v>49</v>
      </c>
      <c r="X290" s="12" t="s">
        <v>50</v>
      </c>
      <c r="Y290" s="12" t="s">
        <v>50</v>
      </c>
      <c r="Z290" s="12" t="s">
        <v>50</v>
      </c>
      <c r="AA290" s="12" t="s">
        <v>50</v>
      </c>
      <c r="AB290" s="12" t="s">
        <v>51</v>
      </c>
      <c r="AC290" s="12" t="s">
        <v>50</v>
      </c>
      <c r="AD290" s="12" t="s">
        <v>50</v>
      </c>
      <c r="AE290" s="12" t="s">
        <v>52</v>
      </c>
      <c r="AF290" s="12" t="s">
        <v>53</v>
      </c>
      <c r="AG290" s="12" t="s">
        <v>50</v>
      </c>
      <c r="AH290" s="19" t="s">
        <v>54</v>
      </c>
    </row>
    <row r="291" spans="2:34" ht="22.5" customHeight="1" x14ac:dyDescent="0.25">
      <c r="B291" s="18" t="s">
        <v>275</v>
      </c>
      <c r="C291" s="9" t="s">
        <v>693</v>
      </c>
      <c r="D291" s="10" t="s">
        <v>717</v>
      </c>
      <c r="E291" s="10"/>
      <c r="F291" s="10" t="s">
        <v>38</v>
      </c>
      <c r="G291" s="10" t="s">
        <v>39</v>
      </c>
      <c r="H291" s="10"/>
      <c r="I291" s="16" t="s">
        <v>184</v>
      </c>
      <c r="J291" s="10"/>
      <c r="K291" s="10"/>
      <c r="L291" s="16"/>
      <c r="M291" s="16"/>
      <c r="N291" s="16"/>
      <c r="O291" s="11">
        <v>0</v>
      </c>
      <c r="P291" s="11">
        <v>1</v>
      </c>
      <c r="Q291" s="11"/>
      <c r="R291" s="11"/>
      <c r="S291" s="12" t="s">
        <v>45</v>
      </c>
      <c r="T291" s="12" t="s">
        <v>46</v>
      </c>
      <c r="U291" s="12" t="s">
        <v>47</v>
      </c>
      <c r="V291" s="12" t="s">
        <v>48</v>
      </c>
      <c r="W291" s="12" t="s">
        <v>49</v>
      </c>
      <c r="X291" s="12" t="s">
        <v>50</v>
      </c>
      <c r="Y291" s="12" t="s">
        <v>50</v>
      </c>
      <c r="Z291" s="12" t="s">
        <v>50</v>
      </c>
      <c r="AA291" s="12" t="s">
        <v>50</v>
      </c>
      <c r="AB291" s="12" t="s">
        <v>51</v>
      </c>
      <c r="AC291" s="12" t="s">
        <v>50</v>
      </c>
      <c r="AD291" s="12" t="s">
        <v>50</v>
      </c>
      <c r="AE291" s="12" t="s">
        <v>52</v>
      </c>
      <c r="AF291" s="12" t="s">
        <v>53</v>
      </c>
      <c r="AG291" s="12" t="s">
        <v>50</v>
      </c>
      <c r="AH291" s="19" t="s">
        <v>54</v>
      </c>
    </row>
    <row r="292" spans="2:34" ht="22.5" customHeight="1" x14ac:dyDescent="0.25">
      <c r="B292" s="18" t="s">
        <v>275</v>
      </c>
      <c r="C292" s="9" t="s">
        <v>693</v>
      </c>
      <c r="D292" s="10" t="s">
        <v>718</v>
      </c>
      <c r="E292" s="10"/>
      <c r="F292" s="10" t="s">
        <v>38</v>
      </c>
      <c r="G292" s="10" t="s">
        <v>39</v>
      </c>
      <c r="H292" s="10"/>
      <c r="I292" s="16" t="s">
        <v>184</v>
      </c>
      <c r="J292" s="10"/>
      <c r="K292" s="10"/>
      <c r="L292" s="16"/>
      <c r="M292" s="16"/>
      <c r="N292" s="16"/>
      <c r="O292" s="11">
        <v>0</v>
      </c>
      <c r="P292" s="11">
        <v>1</v>
      </c>
      <c r="Q292" s="11"/>
      <c r="R292" s="11"/>
      <c r="S292" s="12" t="s">
        <v>45</v>
      </c>
      <c r="T292" s="12" t="s">
        <v>46</v>
      </c>
      <c r="U292" s="12" t="s">
        <v>47</v>
      </c>
      <c r="V292" s="12" t="s">
        <v>48</v>
      </c>
      <c r="W292" s="12" t="s">
        <v>49</v>
      </c>
      <c r="X292" s="12" t="s">
        <v>50</v>
      </c>
      <c r="Y292" s="12" t="s">
        <v>50</v>
      </c>
      <c r="Z292" s="12" t="s">
        <v>50</v>
      </c>
      <c r="AA292" s="12" t="s">
        <v>50</v>
      </c>
      <c r="AB292" s="12" t="s">
        <v>51</v>
      </c>
      <c r="AC292" s="12" t="s">
        <v>50</v>
      </c>
      <c r="AD292" s="12" t="s">
        <v>50</v>
      </c>
      <c r="AE292" s="12" t="s">
        <v>52</v>
      </c>
      <c r="AF292" s="12" t="s">
        <v>53</v>
      </c>
      <c r="AG292" s="12" t="s">
        <v>50</v>
      </c>
      <c r="AH292" s="19" t="s">
        <v>54</v>
      </c>
    </row>
    <row r="293" spans="2:34" ht="22.5" customHeight="1" x14ac:dyDescent="0.25">
      <c r="B293" s="18" t="s">
        <v>275</v>
      </c>
      <c r="C293" s="9" t="s">
        <v>693</v>
      </c>
      <c r="D293" s="10" t="s">
        <v>719</v>
      </c>
      <c r="E293" s="10"/>
      <c r="F293" s="10" t="s">
        <v>38</v>
      </c>
      <c r="G293" s="10" t="s">
        <v>39</v>
      </c>
      <c r="H293" s="10"/>
      <c r="I293" s="16" t="s">
        <v>184</v>
      </c>
      <c r="J293" s="10"/>
      <c r="K293" s="10"/>
      <c r="L293" s="16"/>
      <c r="M293" s="16"/>
      <c r="N293" s="16"/>
      <c r="O293" s="11">
        <v>0</v>
      </c>
      <c r="P293" s="11">
        <v>1</v>
      </c>
      <c r="Q293" s="11"/>
      <c r="R293" s="11"/>
      <c r="S293" s="12" t="s">
        <v>45</v>
      </c>
      <c r="T293" s="12" t="s">
        <v>46</v>
      </c>
      <c r="U293" s="12" t="s">
        <v>47</v>
      </c>
      <c r="V293" s="12" t="s">
        <v>48</v>
      </c>
      <c r="W293" s="12" t="s">
        <v>49</v>
      </c>
      <c r="X293" s="12" t="s">
        <v>50</v>
      </c>
      <c r="Y293" s="12" t="s">
        <v>50</v>
      </c>
      <c r="Z293" s="12" t="s">
        <v>50</v>
      </c>
      <c r="AA293" s="12" t="s">
        <v>50</v>
      </c>
      <c r="AB293" s="12" t="s">
        <v>51</v>
      </c>
      <c r="AC293" s="12" t="s">
        <v>50</v>
      </c>
      <c r="AD293" s="12" t="s">
        <v>50</v>
      </c>
      <c r="AE293" s="12" t="s">
        <v>52</v>
      </c>
      <c r="AF293" s="12" t="s">
        <v>53</v>
      </c>
      <c r="AG293" s="12" t="s">
        <v>50</v>
      </c>
      <c r="AH293" s="19" t="s">
        <v>54</v>
      </c>
    </row>
    <row r="294" spans="2:34" ht="22.5" customHeight="1" x14ac:dyDescent="0.25">
      <c r="B294" s="18" t="s">
        <v>275</v>
      </c>
      <c r="C294" s="9" t="s">
        <v>693</v>
      </c>
      <c r="D294" s="10" t="s">
        <v>720</v>
      </c>
      <c r="E294" s="10"/>
      <c r="F294" s="10" t="s">
        <v>38</v>
      </c>
      <c r="G294" s="10" t="s">
        <v>39</v>
      </c>
      <c r="H294" s="10"/>
      <c r="I294" s="16" t="s">
        <v>184</v>
      </c>
      <c r="J294" s="10"/>
      <c r="K294" s="10"/>
      <c r="L294" s="16"/>
      <c r="M294" s="16"/>
      <c r="N294" s="16"/>
      <c r="O294" s="11">
        <v>0</v>
      </c>
      <c r="P294" s="11">
        <v>1</v>
      </c>
      <c r="Q294" s="11"/>
      <c r="R294" s="11"/>
      <c r="S294" s="12" t="s">
        <v>45</v>
      </c>
      <c r="T294" s="12" t="s">
        <v>46</v>
      </c>
      <c r="U294" s="12" t="s">
        <v>47</v>
      </c>
      <c r="V294" s="12" t="s">
        <v>48</v>
      </c>
      <c r="W294" s="12" t="s">
        <v>49</v>
      </c>
      <c r="X294" s="12" t="s">
        <v>50</v>
      </c>
      <c r="Y294" s="12" t="s">
        <v>50</v>
      </c>
      <c r="Z294" s="12" t="s">
        <v>50</v>
      </c>
      <c r="AA294" s="12" t="s">
        <v>50</v>
      </c>
      <c r="AB294" s="12" t="s">
        <v>51</v>
      </c>
      <c r="AC294" s="12" t="s">
        <v>50</v>
      </c>
      <c r="AD294" s="12" t="s">
        <v>50</v>
      </c>
      <c r="AE294" s="12" t="s">
        <v>52</v>
      </c>
      <c r="AF294" s="12" t="s">
        <v>53</v>
      </c>
      <c r="AG294" s="12" t="s">
        <v>50</v>
      </c>
      <c r="AH294" s="19" t="s">
        <v>54</v>
      </c>
    </row>
    <row r="295" spans="2:34" ht="22.5" customHeight="1" x14ac:dyDescent="0.25">
      <c r="B295" s="18" t="s">
        <v>275</v>
      </c>
      <c r="C295" s="9" t="s">
        <v>705</v>
      </c>
      <c r="D295" s="10" t="s">
        <v>721</v>
      </c>
      <c r="E295" s="10"/>
      <c r="F295" s="10" t="s">
        <v>38</v>
      </c>
      <c r="G295" s="10" t="s">
        <v>39</v>
      </c>
      <c r="H295" s="10"/>
      <c r="I295" s="16" t="s">
        <v>184</v>
      </c>
      <c r="J295" s="10"/>
      <c r="K295" s="10"/>
      <c r="L295" s="16"/>
      <c r="M295" s="16"/>
      <c r="N295" s="16"/>
      <c r="O295" s="11">
        <v>0</v>
      </c>
      <c r="P295" s="11">
        <v>1</v>
      </c>
      <c r="Q295" s="11"/>
      <c r="R295" s="11"/>
      <c r="S295" s="12" t="s">
        <v>45</v>
      </c>
      <c r="T295" s="12" t="s">
        <v>46</v>
      </c>
      <c r="U295" s="12" t="s">
        <v>47</v>
      </c>
      <c r="V295" s="12" t="s">
        <v>48</v>
      </c>
      <c r="W295" s="12" t="s">
        <v>49</v>
      </c>
      <c r="X295" s="12" t="s">
        <v>50</v>
      </c>
      <c r="Y295" s="12" t="s">
        <v>50</v>
      </c>
      <c r="Z295" s="12" t="s">
        <v>50</v>
      </c>
      <c r="AA295" s="12" t="s">
        <v>50</v>
      </c>
      <c r="AB295" s="12" t="s">
        <v>51</v>
      </c>
      <c r="AC295" s="12" t="s">
        <v>50</v>
      </c>
      <c r="AD295" s="12" t="s">
        <v>50</v>
      </c>
      <c r="AE295" s="12" t="s">
        <v>52</v>
      </c>
      <c r="AF295" s="12" t="s">
        <v>53</v>
      </c>
      <c r="AG295" s="12" t="s">
        <v>50</v>
      </c>
      <c r="AH295" s="19" t="s">
        <v>54</v>
      </c>
    </row>
    <row r="296" spans="2:34" ht="22.5" customHeight="1" x14ac:dyDescent="0.25">
      <c r="B296" s="18" t="s">
        <v>275</v>
      </c>
      <c r="C296" s="9" t="s">
        <v>722</v>
      </c>
      <c r="D296" s="10" t="s">
        <v>723</v>
      </c>
      <c r="E296" s="10"/>
      <c r="F296" s="10" t="s">
        <v>38</v>
      </c>
      <c r="G296" s="10" t="s">
        <v>39</v>
      </c>
      <c r="H296" s="10"/>
      <c r="I296" s="16" t="s">
        <v>184</v>
      </c>
      <c r="J296" s="10"/>
      <c r="K296" s="10"/>
      <c r="L296" s="16"/>
      <c r="M296" s="16"/>
      <c r="N296" s="16"/>
      <c r="O296" s="11">
        <v>0</v>
      </c>
      <c r="P296" s="11">
        <v>1</v>
      </c>
      <c r="Q296" s="11"/>
      <c r="R296" s="11"/>
      <c r="S296" s="12" t="s">
        <v>45</v>
      </c>
      <c r="T296" s="12" t="s">
        <v>46</v>
      </c>
      <c r="U296" s="12" t="s">
        <v>47</v>
      </c>
      <c r="V296" s="12" t="s">
        <v>48</v>
      </c>
      <c r="W296" s="12" t="s">
        <v>49</v>
      </c>
      <c r="X296" s="12" t="s">
        <v>50</v>
      </c>
      <c r="Y296" s="12" t="s">
        <v>50</v>
      </c>
      <c r="Z296" s="12" t="s">
        <v>50</v>
      </c>
      <c r="AA296" s="12" t="s">
        <v>50</v>
      </c>
      <c r="AB296" s="12" t="s">
        <v>51</v>
      </c>
      <c r="AC296" s="12" t="s">
        <v>50</v>
      </c>
      <c r="AD296" s="12" t="s">
        <v>50</v>
      </c>
      <c r="AE296" s="12" t="s">
        <v>52</v>
      </c>
      <c r="AF296" s="12" t="s">
        <v>53</v>
      </c>
      <c r="AG296" s="12" t="s">
        <v>50</v>
      </c>
      <c r="AH296" s="19" t="s">
        <v>54</v>
      </c>
    </row>
    <row r="297" spans="2:34" ht="22.5" customHeight="1" x14ac:dyDescent="0.25">
      <c r="B297" s="18" t="s">
        <v>275</v>
      </c>
      <c r="C297" s="9" t="s">
        <v>722</v>
      </c>
      <c r="D297" s="10" t="s">
        <v>724</v>
      </c>
      <c r="E297" s="10"/>
      <c r="F297" s="10" t="s">
        <v>38</v>
      </c>
      <c r="G297" s="10" t="s">
        <v>39</v>
      </c>
      <c r="H297" s="10"/>
      <c r="I297" s="16" t="s">
        <v>184</v>
      </c>
      <c r="J297" s="10"/>
      <c r="K297" s="10"/>
      <c r="L297" s="16"/>
      <c r="M297" s="16"/>
      <c r="N297" s="16"/>
      <c r="O297" s="11">
        <v>0</v>
      </c>
      <c r="P297" s="11">
        <v>1</v>
      </c>
      <c r="Q297" s="11"/>
      <c r="R297" s="11"/>
      <c r="S297" s="12" t="s">
        <v>45</v>
      </c>
      <c r="T297" s="12" t="s">
        <v>46</v>
      </c>
      <c r="U297" s="12" t="s">
        <v>47</v>
      </c>
      <c r="V297" s="12" t="s">
        <v>48</v>
      </c>
      <c r="W297" s="12" t="s">
        <v>49</v>
      </c>
      <c r="X297" s="12" t="s">
        <v>50</v>
      </c>
      <c r="Y297" s="12" t="s">
        <v>50</v>
      </c>
      <c r="Z297" s="12" t="s">
        <v>50</v>
      </c>
      <c r="AA297" s="12" t="s">
        <v>50</v>
      </c>
      <c r="AB297" s="12" t="s">
        <v>51</v>
      </c>
      <c r="AC297" s="12" t="s">
        <v>50</v>
      </c>
      <c r="AD297" s="12" t="s">
        <v>50</v>
      </c>
      <c r="AE297" s="12" t="s">
        <v>52</v>
      </c>
      <c r="AF297" s="12" t="s">
        <v>53</v>
      </c>
      <c r="AG297" s="12" t="s">
        <v>50</v>
      </c>
      <c r="AH297" s="19" t="s">
        <v>54</v>
      </c>
    </row>
    <row r="298" spans="2:34" ht="22.5" customHeight="1" x14ac:dyDescent="0.25">
      <c r="B298" s="18" t="s">
        <v>275</v>
      </c>
      <c r="C298" s="9" t="s">
        <v>693</v>
      </c>
      <c r="D298" s="10" t="s">
        <v>725</v>
      </c>
      <c r="E298" s="10"/>
      <c r="F298" s="10" t="s">
        <v>38</v>
      </c>
      <c r="G298" s="10" t="s">
        <v>39</v>
      </c>
      <c r="H298" s="10"/>
      <c r="I298" s="16" t="s">
        <v>184</v>
      </c>
      <c r="J298" s="10"/>
      <c r="K298" s="10"/>
      <c r="L298" s="16"/>
      <c r="M298" s="16"/>
      <c r="N298" s="16"/>
      <c r="O298" s="11">
        <v>0</v>
      </c>
      <c r="P298" s="11">
        <v>1</v>
      </c>
      <c r="Q298" s="11"/>
      <c r="R298" s="11"/>
      <c r="S298" s="12" t="s">
        <v>45</v>
      </c>
      <c r="T298" s="12" t="s">
        <v>46</v>
      </c>
      <c r="U298" s="12" t="s">
        <v>47</v>
      </c>
      <c r="V298" s="12" t="s">
        <v>48</v>
      </c>
      <c r="W298" s="12" t="s">
        <v>49</v>
      </c>
      <c r="X298" s="12" t="s">
        <v>50</v>
      </c>
      <c r="Y298" s="12" t="s">
        <v>50</v>
      </c>
      <c r="Z298" s="12" t="s">
        <v>50</v>
      </c>
      <c r="AA298" s="12" t="s">
        <v>50</v>
      </c>
      <c r="AB298" s="12" t="s">
        <v>51</v>
      </c>
      <c r="AC298" s="12" t="s">
        <v>50</v>
      </c>
      <c r="AD298" s="12" t="s">
        <v>50</v>
      </c>
      <c r="AE298" s="12" t="s">
        <v>52</v>
      </c>
      <c r="AF298" s="12" t="s">
        <v>53</v>
      </c>
      <c r="AG298" s="12" t="s">
        <v>50</v>
      </c>
      <c r="AH298" s="19" t="s">
        <v>54</v>
      </c>
    </row>
    <row r="299" spans="2:34" ht="22.5" customHeight="1" x14ac:dyDescent="0.25">
      <c r="B299" s="18" t="s">
        <v>275</v>
      </c>
      <c r="C299" s="9" t="s">
        <v>693</v>
      </c>
      <c r="D299" s="10" t="s">
        <v>726</v>
      </c>
      <c r="E299" s="10"/>
      <c r="F299" s="10" t="s">
        <v>38</v>
      </c>
      <c r="G299" s="10" t="s">
        <v>39</v>
      </c>
      <c r="H299" s="10"/>
      <c r="I299" s="16" t="s">
        <v>184</v>
      </c>
      <c r="J299" s="10"/>
      <c r="K299" s="10"/>
      <c r="L299" s="16"/>
      <c r="M299" s="16"/>
      <c r="N299" s="16"/>
      <c r="O299" s="11">
        <v>0</v>
      </c>
      <c r="P299" s="11">
        <v>1</v>
      </c>
      <c r="Q299" s="11"/>
      <c r="R299" s="11"/>
      <c r="S299" s="12" t="s">
        <v>45</v>
      </c>
      <c r="T299" s="12" t="s">
        <v>46</v>
      </c>
      <c r="U299" s="12" t="s">
        <v>47</v>
      </c>
      <c r="V299" s="12" t="s">
        <v>48</v>
      </c>
      <c r="W299" s="12" t="s">
        <v>49</v>
      </c>
      <c r="X299" s="12" t="s">
        <v>50</v>
      </c>
      <c r="Y299" s="12" t="s">
        <v>50</v>
      </c>
      <c r="Z299" s="12" t="s">
        <v>50</v>
      </c>
      <c r="AA299" s="12" t="s">
        <v>50</v>
      </c>
      <c r="AB299" s="12" t="s">
        <v>51</v>
      </c>
      <c r="AC299" s="12" t="s">
        <v>50</v>
      </c>
      <c r="AD299" s="12" t="s">
        <v>50</v>
      </c>
      <c r="AE299" s="12" t="s">
        <v>52</v>
      </c>
      <c r="AF299" s="12" t="s">
        <v>53</v>
      </c>
      <c r="AG299" s="12" t="s">
        <v>50</v>
      </c>
      <c r="AH299" s="19" t="s">
        <v>54</v>
      </c>
    </row>
    <row r="300" spans="2:34" ht="22.5" customHeight="1" x14ac:dyDescent="0.25">
      <c r="B300" s="18" t="s">
        <v>275</v>
      </c>
      <c r="C300" s="9" t="s">
        <v>693</v>
      </c>
      <c r="D300" s="10" t="s">
        <v>727</v>
      </c>
      <c r="E300" s="10"/>
      <c r="F300" s="10" t="s">
        <v>38</v>
      </c>
      <c r="G300" s="10" t="s">
        <v>39</v>
      </c>
      <c r="H300" s="10"/>
      <c r="I300" s="16" t="s">
        <v>184</v>
      </c>
      <c r="J300" s="10"/>
      <c r="K300" s="10"/>
      <c r="L300" s="16"/>
      <c r="M300" s="16"/>
      <c r="N300" s="16"/>
      <c r="O300" s="11">
        <v>0</v>
      </c>
      <c r="P300" s="11">
        <v>1</v>
      </c>
      <c r="Q300" s="11"/>
      <c r="R300" s="11"/>
      <c r="S300" s="12" t="s">
        <v>45</v>
      </c>
      <c r="T300" s="12" t="s">
        <v>46</v>
      </c>
      <c r="U300" s="12" t="s">
        <v>47</v>
      </c>
      <c r="V300" s="12" t="s">
        <v>48</v>
      </c>
      <c r="W300" s="12" t="s">
        <v>49</v>
      </c>
      <c r="X300" s="12" t="s">
        <v>50</v>
      </c>
      <c r="Y300" s="12" t="s">
        <v>50</v>
      </c>
      <c r="Z300" s="12" t="s">
        <v>50</v>
      </c>
      <c r="AA300" s="12" t="s">
        <v>50</v>
      </c>
      <c r="AB300" s="12" t="s">
        <v>51</v>
      </c>
      <c r="AC300" s="12" t="s">
        <v>50</v>
      </c>
      <c r="AD300" s="12" t="s">
        <v>50</v>
      </c>
      <c r="AE300" s="12" t="s">
        <v>52</v>
      </c>
      <c r="AF300" s="12" t="s">
        <v>53</v>
      </c>
      <c r="AG300" s="12" t="s">
        <v>50</v>
      </c>
      <c r="AH300" s="19" t="s">
        <v>54</v>
      </c>
    </row>
    <row r="301" spans="2:34" ht="22.5" customHeight="1" x14ac:dyDescent="0.25">
      <c r="B301" s="18" t="s">
        <v>275</v>
      </c>
      <c r="C301" s="9" t="s">
        <v>693</v>
      </c>
      <c r="D301" s="10" t="s">
        <v>728</v>
      </c>
      <c r="E301" s="10"/>
      <c r="F301" s="10" t="s">
        <v>38</v>
      </c>
      <c r="G301" s="10" t="s">
        <v>39</v>
      </c>
      <c r="H301" s="10"/>
      <c r="I301" s="16" t="s">
        <v>184</v>
      </c>
      <c r="J301" s="10"/>
      <c r="K301" s="10"/>
      <c r="L301" s="16"/>
      <c r="M301" s="16"/>
      <c r="N301" s="16"/>
      <c r="O301" s="11">
        <v>0</v>
      </c>
      <c r="P301" s="11">
        <v>1</v>
      </c>
      <c r="Q301" s="11"/>
      <c r="R301" s="11"/>
      <c r="S301" s="12" t="s">
        <v>45</v>
      </c>
      <c r="T301" s="12" t="s">
        <v>46</v>
      </c>
      <c r="U301" s="12" t="s">
        <v>47</v>
      </c>
      <c r="V301" s="12" t="s">
        <v>48</v>
      </c>
      <c r="W301" s="12" t="s">
        <v>49</v>
      </c>
      <c r="X301" s="12" t="s">
        <v>50</v>
      </c>
      <c r="Y301" s="12" t="s">
        <v>50</v>
      </c>
      <c r="Z301" s="12" t="s">
        <v>50</v>
      </c>
      <c r="AA301" s="12" t="s">
        <v>50</v>
      </c>
      <c r="AB301" s="12" t="s">
        <v>51</v>
      </c>
      <c r="AC301" s="12" t="s">
        <v>50</v>
      </c>
      <c r="AD301" s="12" t="s">
        <v>50</v>
      </c>
      <c r="AE301" s="12" t="s">
        <v>52</v>
      </c>
      <c r="AF301" s="12" t="s">
        <v>53</v>
      </c>
      <c r="AG301" s="12" t="s">
        <v>50</v>
      </c>
      <c r="AH301" s="19" t="s">
        <v>54</v>
      </c>
    </row>
    <row r="302" spans="2:34" ht="22.5" customHeight="1" x14ac:dyDescent="0.25">
      <c r="B302" s="18" t="s">
        <v>275</v>
      </c>
      <c r="C302" s="9" t="s">
        <v>693</v>
      </c>
      <c r="D302" s="10" t="s">
        <v>729</v>
      </c>
      <c r="E302" s="10"/>
      <c r="F302" s="10" t="s">
        <v>38</v>
      </c>
      <c r="G302" s="10" t="s">
        <v>39</v>
      </c>
      <c r="H302" s="10"/>
      <c r="I302" s="16" t="s">
        <v>184</v>
      </c>
      <c r="J302" s="10"/>
      <c r="K302" s="10"/>
      <c r="L302" s="16"/>
      <c r="M302" s="16"/>
      <c r="N302" s="16"/>
      <c r="O302" s="11">
        <v>0</v>
      </c>
      <c r="P302" s="11">
        <v>1</v>
      </c>
      <c r="Q302" s="11"/>
      <c r="R302" s="11"/>
      <c r="S302" s="12" t="s">
        <v>45</v>
      </c>
      <c r="T302" s="12" t="s">
        <v>46</v>
      </c>
      <c r="U302" s="12" t="s">
        <v>47</v>
      </c>
      <c r="V302" s="12" t="s">
        <v>48</v>
      </c>
      <c r="W302" s="12" t="s">
        <v>49</v>
      </c>
      <c r="X302" s="12" t="s">
        <v>50</v>
      </c>
      <c r="Y302" s="12" t="s">
        <v>50</v>
      </c>
      <c r="Z302" s="12" t="s">
        <v>50</v>
      </c>
      <c r="AA302" s="12" t="s">
        <v>50</v>
      </c>
      <c r="AB302" s="12" t="s">
        <v>51</v>
      </c>
      <c r="AC302" s="12" t="s">
        <v>50</v>
      </c>
      <c r="AD302" s="12" t="s">
        <v>50</v>
      </c>
      <c r="AE302" s="12" t="s">
        <v>52</v>
      </c>
      <c r="AF302" s="12" t="s">
        <v>53</v>
      </c>
      <c r="AG302" s="12" t="s">
        <v>50</v>
      </c>
      <c r="AH302" s="19" t="s">
        <v>54</v>
      </c>
    </row>
    <row r="303" spans="2:34" ht="22.5" customHeight="1" x14ac:dyDescent="0.25">
      <c r="B303" s="18" t="s">
        <v>275</v>
      </c>
      <c r="C303" s="9" t="s">
        <v>693</v>
      </c>
      <c r="D303" s="10" t="s">
        <v>730</v>
      </c>
      <c r="E303" s="10"/>
      <c r="F303" s="10" t="s">
        <v>38</v>
      </c>
      <c r="G303" s="10" t="s">
        <v>39</v>
      </c>
      <c r="H303" s="10"/>
      <c r="I303" s="16" t="s">
        <v>184</v>
      </c>
      <c r="J303" s="10"/>
      <c r="K303" s="10"/>
      <c r="L303" s="16"/>
      <c r="M303" s="16"/>
      <c r="N303" s="16"/>
      <c r="O303" s="11">
        <v>0</v>
      </c>
      <c r="P303" s="11">
        <v>1</v>
      </c>
      <c r="Q303" s="11"/>
      <c r="R303" s="11"/>
      <c r="S303" s="12" t="s">
        <v>45</v>
      </c>
      <c r="T303" s="12" t="s">
        <v>46</v>
      </c>
      <c r="U303" s="12" t="s">
        <v>47</v>
      </c>
      <c r="V303" s="12" t="s">
        <v>48</v>
      </c>
      <c r="W303" s="12" t="s">
        <v>49</v>
      </c>
      <c r="X303" s="12" t="s">
        <v>50</v>
      </c>
      <c r="Y303" s="12" t="s">
        <v>50</v>
      </c>
      <c r="Z303" s="12" t="s">
        <v>50</v>
      </c>
      <c r="AA303" s="12" t="s">
        <v>50</v>
      </c>
      <c r="AB303" s="12" t="s">
        <v>51</v>
      </c>
      <c r="AC303" s="12" t="s">
        <v>50</v>
      </c>
      <c r="AD303" s="12" t="s">
        <v>50</v>
      </c>
      <c r="AE303" s="12" t="s">
        <v>52</v>
      </c>
      <c r="AF303" s="12" t="s">
        <v>53</v>
      </c>
      <c r="AG303" s="12" t="s">
        <v>50</v>
      </c>
      <c r="AH303" s="19" t="s">
        <v>54</v>
      </c>
    </row>
    <row r="304" spans="2:34" ht="22.5" customHeight="1" x14ac:dyDescent="0.25">
      <c r="B304" s="18" t="s">
        <v>275</v>
      </c>
      <c r="C304" s="9" t="s">
        <v>705</v>
      </c>
      <c r="D304" s="10" t="s">
        <v>731</v>
      </c>
      <c r="E304" s="10"/>
      <c r="F304" s="10" t="s">
        <v>38</v>
      </c>
      <c r="G304" s="10" t="s">
        <v>39</v>
      </c>
      <c r="H304" s="10"/>
      <c r="I304" s="16" t="s">
        <v>184</v>
      </c>
      <c r="J304" s="10"/>
      <c r="K304" s="10"/>
      <c r="L304" s="16"/>
      <c r="M304" s="16"/>
      <c r="N304" s="16"/>
      <c r="O304" s="11">
        <v>0</v>
      </c>
      <c r="P304" s="11">
        <v>1</v>
      </c>
      <c r="Q304" s="11"/>
      <c r="R304" s="11"/>
      <c r="S304" s="12" t="s">
        <v>45</v>
      </c>
      <c r="T304" s="12" t="s">
        <v>46</v>
      </c>
      <c r="U304" s="12" t="s">
        <v>47</v>
      </c>
      <c r="V304" s="12" t="s">
        <v>48</v>
      </c>
      <c r="W304" s="12" t="s">
        <v>49</v>
      </c>
      <c r="X304" s="12" t="s">
        <v>50</v>
      </c>
      <c r="Y304" s="12" t="s">
        <v>50</v>
      </c>
      <c r="Z304" s="12" t="s">
        <v>50</v>
      </c>
      <c r="AA304" s="12" t="s">
        <v>50</v>
      </c>
      <c r="AB304" s="12" t="s">
        <v>51</v>
      </c>
      <c r="AC304" s="12" t="s">
        <v>50</v>
      </c>
      <c r="AD304" s="12" t="s">
        <v>50</v>
      </c>
      <c r="AE304" s="12" t="s">
        <v>52</v>
      </c>
      <c r="AF304" s="12" t="s">
        <v>53</v>
      </c>
      <c r="AG304" s="12" t="s">
        <v>50</v>
      </c>
      <c r="AH304" s="19" t="s">
        <v>54</v>
      </c>
    </row>
    <row r="305" spans="2:34" ht="22.5" customHeight="1" x14ac:dyDescent="0.25">
      <c r="B305" s="18" t="s">
        <v>275</v>
      </c>
      <c r="C305" s="9" t="s">
        <v>693</v>
      </c>
      <c r="D305" s="10" t="s">
        <v>732</v>
      </c>
      <c r="E305" s="10"/>
      <c r="F305" s="10" t="s">
        <v>38</v>
      </c>
      <c r="G305" s="10" t="s">
        <v>39</v>
      </c>
      <c r="H305" s="10"/>
      <c r="I305" s="16" t="s">
        <v>184</v>
      </c>
      <c r="J305" s="10"/>
      <c r="K305" s="10"/>
      <c r="L305" s="16"/>
      <c r="M305" s="16"/>
      <c r="N305" s="16"/>
      <c r="O305" s="11">
        <v>0</v>
      </c>
      <c r="P305" s="11">
        <v>1</v>
      </c>
      <c r="Q305" s="11"/>
      <c r="R305" s="11"/>
      <c r="S305" s="12" t="s">
        <v>45</v>
      </c>
      <c r="T305" s="12" t="s">
        <v>46</v>
      </c>
      <c r="U305" s="12" t="s">
        <v>47</v>
      </c>
      <c r="V305" s="12" t="s">
        <v>48</v>
      </c>
      <c r="W305" s="12" t="s">
        <v>49</v>
      </c>
      <c r="X305" s="12" t="s">
        <v>50</v>
      </c>
      <c r="Y305" s="12" t="s">
        <v>50</v>
      </c>
      <c r="Z305" s="12" t="s">
        <v>50</v>
      </c>
      <c r="AA305" s="12" t="s">
        <v>50</v>
      </c>
      <c r="AB305" s="12" t="s">
        <v>51</v>
      </c>
      <c r="AC305" s="12" t="s">
        <v>50</v>
      </c>
      <c r="AD305" s="12" t="s">
        <v>50</v>
      </c>
      <c r="AE305" s="12" t="s">
        <v>52</v>
      </c>
      <c r="AF305" s="12" t="s">
        <v>53</v>
      </c>
      <c r="AG305" s="12" t="s">
        <v>50</v>
      </c>
      <c r="AH305" s="19" t="s">
        <v>54</v>
      </c>
    </row>
    <row r="306" spans="2:34" ht="22.5" customHeight="1" x14ac:dyDescent="0.25">
      <c r="B306" s="18" t="s">
        <v>275</v>
      </c>
      <c r="C306" s="9" t="s">
        <v>693</v>
      </c>
      <c r="D306" s="10" t="s">
        <v>733</v>
      </c>
      <c r="E306" s="10"/>
      <c r="F306" s="10" t="s">
        <v>38</v>
      </c>
      <c r="G306" s="10" t="s">
        <v>39</v>
      </c>
      <c r="H306" s="10"/>
      <c r="I306" s="16" t="s">
        <v>184</v>
      </c>
      <c r="J306" s="10"/>
      <c r="K306" s="10"/>
      <c r="L306" s="16"/>
      <c r="M306" s="16"/>
      <c r="N306" s="16"/>
      <c r="O306" s="11">
        <v>0</v>
      </c>
      <c r="P306" s="11">
        <v>1</v>
      </c>
      <c r="Q306" s="11"/>
      <c r="R306" s="11"/>
      <c r="S306" s="12" t="s">
        <v>45</v>
      </c>
      <c r="T306" s="12" t="s">
        <v>46</v>
      </c>
      <c r="U306" s="12" t="s">
        <v>47</v>
      </c>
      <c r="V306" s="12" t="s">
        <v>48</v>
      </c>
      <c r="W306" s="12" t="s">
        <v>49</v>
      </c>
      <c r="X306" s="12" t="s">
        <v>50</v>
      </c>
      <c r="Y306" s="12" t="s">
        <v>50</v>
      </c>
      <c r="Z306" s="12" t="s">
        <v>50</v>
      </c>
      <c r="AA306" s="12" t="s">
        <v>50</v>
      </c>
      <c r="AB306" s="12" t="s">
        <v>51</v>
      </c>
      <c r="AC306" s="12" t="s">
        <v>50</v>
      </c>
      <c r="AD306" s="12" t="s">
        <v>50</v>
      </c>
      <c r="AE306" s="12" t="s">
        <v>52</v>
      </c>
      <c r="AF306" s="12" t="s">
        <v>53</v>
      </c>
      <c r="AG306" s="12" t="s">
        <v>50</v>
      </c>
      <c r="AH306" s="19" t="s">
        <v>54</v>
      </c>
    </row>
    <row r="307" spans="2:34" ht="22.5" customHeight="1" x14ac:dyDescent="0.25">
      <c r="B307" s="18" t="s">
        <v>275</v>
      </c>
      <c r="C307" s="9" t="s">
        <v>734</v>
      </c>
      <c r="D307" s="10" t="s">
        <v>735</v>
      </c>
      <c r="E307" s="10"/>
      <c r="F307" s="10" t="s">
        <v>38</v>
      </c>
      <c r="G307" s="10" t="s">
        <v>39</v>
      </c>
      <c r="H307" s="10"/>
      <c r="I307" s="16" t="s">
        <v>184</v>
      </c>
      <c r="J307" s="10"/>
      <c r="K307" s="10"/>
      <c r="L307" s="16"/>
      <c r="M307" s="16"/>
      <c r="N307" s="16"/>
      <c r="O307" s="11">
        <v>0</v>
      </c>
      <c r="P307" s="11">
        <v>1</v>
      </c>
      <c r="Q307" s="11"/>
      <c r="R307" s="11"/>
      <c r="S307" s="12" t="s">
        <v>45</v>
      </c>
      <c r="T307" s="12" t="s">
        <v>46</v>
      </c>
      <c r="U307" s="12" t="s">
        <v>47</v>
      </c>
      <c r="V307" s="12" t="s">
        <v>48</v>
      </c>
      <c r="W307" s="12" t="s">
        <v>49</v>
      </c>
      <c r="X307" s="12" t="s">
        <v>50</v>
      </c>
      <c r="Y307" s="12" t="s">
        <v>50</v>
      </c>
      <c r="Z307" s="12" t="s">
        <v>50</v>
      </c>
      <c r="AA307" s="12" t="s">
        <v>50</v>
      </c>
      <c r="AB307" s="12" t="s">
        <v>51</v>
      </c>
      <c r="AC307" s="12" t="s">
        <v>50</v>
      </c>
      <c r="AD307" s="12" t="s">
        <v>50</v>
      </c>
      <c r="AE307" s="12" t="s">
        <v>52</v>
      </c>
      <c r="AF307" s="12" t="s">
        <v>53</v>
      </c>
      <c r="AG307" s="12" t="s">
        <v>50</v>
      </c>
      <c r="AH307" s="19" t="s">
        <v>54</v>
      </c>
    </row>
    <row r="308" spans="2:34" ht="22.5" customHeight="1" x14ac:dyDescent="0.25">
      <c r="B308" s="18" t="s">
        <v>275</v>
      </c>
      <c r="C308" s="9" t="s">
        <v>609</v>
      </c>
      <c r="D308" s="10" t="s">
        <v>736</v>
      </c>
      <c r="E308" s="10"/>
      <c r="F308" s="10" t="s">
        <v>38</v>
      </c>
      <c r="G308" s="10" t="s">
        <v>39</v>
      </c>
      <c r="H308" s="10"/>
      <c r="I308" s="16" t="s">
        <v>184</v>
      </c>
      <c r="J308" s="10"/>
      <c r="K308" s="10"/>
      <c r="L308" s="16"/>
      <c r="M308" s="16"/>
      <c r="N308" s="16"/>
      <c r="O308" s="11">
        <v>0</v>
      </c>
      <c r="P308" s="11">
        <v>1</v>
      </c>
      <c r="Q308" s="11"/>
      <c r="R308" s="11"/>
      <c r="S308" s="12" t="s">
        <v>45</v>
      </c>
      <c r="T308" s="12" t="s">
        <v>46</v>
      </c>
      <c r="U308" s="12" t="s">
        <v>47</v>
      </c>
      <c r="V308" s="12" t="s">
        <v>48</v>
      </c>
      <c r="W308" s="12" t="s">
        <v>49</v>
      </c>
      <c r="X308" s="12" t="s">
        <v>50</v>
      </c>
      <c r="Y308" s="12" t="s">
        <v>50</v>
      </c>
      <c r="Z308" s="12" t="s">
        <v>50</v>
      </c>
      <c r="AA308" s="12" t="s">
        <v>50</v>
      </c>
      <c r="AB308" s="12" t="s">
        <v>51</v>
      </c>
      <c r="AC308" s="12" t="s">
        <v>50</v>
      </c>
      <c r="AD308" s="12" t="s">
        <v>50</v>
      </c>
      <c r="AE308" s="12" t="s">
        <v>52</v>
      </c>
      <c r="AF308" s="12" t="s">
        <v>53</v>
      </c>
      <c r="AG308" s="12" t="s">
        <v>50</v>
      </c>
      <c r="AH308" s="19" t="s">
        <v>54</v>
      </c>
    </row>
    <row r="309" spans="2:34" ht="22.5" customHeight="1" x14ac:dyDescent="0.25">
      <c r="B309" s="18" t="s">
        <v>275</v>
      </c>
      <c r="C309" s="9" t="s">
        <v>705</v>
      </c>
      <c r="D309" s="10" t="s">
        <v>737</v>
      </c>
      <c r="E309" s="10"/>
      <c r="F309" s="10" t="s">
        <v>38</v>
      </c>
      <c r="G309" s="10" t="s">
        <v>39</v>
      </c>
      <c r="H309" s="10"/>
      <c r="I309" s="16" t="s">
        <v>184</v>
      </c>
      <c r="J309" s="10"/>
      <c r="K309" s="10"/>
      <c r="L309" s="16"/>
      <c r="M309" s="16"/>
      <c r="N309" s="16"/>
      <c r="O309" s="11">
        <v>0</v>
      </c>
      <c r="P309" s="11">
        <v>1</v>
      </c>
      <c r="Q309" s="11"/>
      <c r="R309" s="11"/>
      <c r="S309" s="12" t="s">
        <v>45</v>
      </c>
      <c r="T309" s="12" t="s">
        <v>46</v>
      </c>
      <c r="U309" s="12" t="s">
        <v>47</v>
      </c>
      <c r="V309" s="12" t="s">
        <v>48</v>
      </c>
      <c r="W309" s="12" t="s">
        <v>49</v>
      </c>
      <c r="X309" s="12" t="s">
        <v>50</v>
      </c>
      <c r="Y309" s="12" t="s">
        <v>50</v>
      </c>
      <c r="Z309" s="12" t="s">
        <v>50</v>
      </c>
      <c r="AA309" s="12" t="s">
        <v>50</v>
      </c>
      <c r="AB309" s="12" t="s">
        <v>51</v>
      </c>
      <c r="AC309" s="12" t="s">
        <v>50</v>
      </c>
      <c r="AD309" s="12" t="s">
        <v>50</v>
      </c>
      <c r="AE309" s="12" t="s">
        <v>52</v>
      </c>
      <c r="AF309" s="12" t="s">
        <v>53</v>
      </c>
      <c r="AG309" s="12" t="s">
        <v>50</v>
      </c>
      <c r="AH309" s="19" t="s">
        <v>54</v>
      </c>
    </row>
    <row r="310" spans="2:34" ht="22.5" customHeight="1" x14ac:dyDescent="0.25">
      <c r="B310" s="18" t="s">
        <v>275</v>
      </c>
      <c r="C310" s="9" t="s">
        <v>734</v>
      </c>
      <c r="D310" s="10" t="s">
        <v>738</v>
      </c>
      <c r="E310" s="10"/>
      <c r="F310" s="10" t="s">
        <v>38</v>
      </c>
      <c r="G310" s="10" t="s">
        <v>39</v>
      </c>
      <c r="H310" s="10"/>
      <c r="I310" s="16" t="s">
        <v>184</v>
      </c>
      <c r="J310" s="10"/>
      <c r="K310" s="10"/>
      <c r="L310" s="16"/>
      <c r="M310" s="16"/>
      <c r="N310" s="16"/>
      <c r="O310" s="11">
        <v>0</v>
      </c>
      <c r="P310" s="11">
        <v>1</v>
      </c>
      <c r="Q310" s="11"/>
      <c r="R310" s="11"/>
      <c r="S310" s="12" t="s">
        <v>45</v>
      </c>
      <c r="T310" s="12" t="s">
        <v>46</v>
      </c>
      <c r="U310" s="12" t="s">
        <v>47</v>
      </c>
      <c r="V310" s="12" t="s">
        <v>48</v>
      </c>
      <c r="W310" s="12" t="s">
        <v>49</v>
      </c>
      <c r="X310" s="12" t="s">
        <v>50</v>
      </c>
      <c r="Y310" s="12" t="s">
        <v>50</v>
      </c>
      <c r="Z310" s="12" t="s">
        <v>50</v>
      </c>
      <c r="AA310" s="12" t="s">
        <v>50</v>
      </c>
      <c r="AB310" s="12" t="s">
        <v>51</v>
      </c>
      <c r="AC310" s="12" t="s">
        <v>50</v>
      </c>
      <c r="AD310" s="12" t="s">
        <v>50</v>
      </c>
      <c r="AE310" s="12" t="s">
        <v>52</v>
      </c>
      <c r="AF310" s="12" t="s">
        <v>53</v>
      </c>
      <c r="AG310" s="12" t="s">
        <v>50</v>
      </c>
      <c r="AH310" s="19" t="s">
        <v>54</v>
      </c>
    </row>
    <row r="311" spans="2:34" ht="22.5" customHeight="1" x14ac:dyDescent="0.25">
      <c r="B311" s="18" t="s">
        <v>275</v>
      </c>
      <c r="C311" s="9" t="s">
        <v>734</v>
      </c>
      <c r="D311" s="10" t="s">
        <v>739</v>
      </c>
      <c r="E311" s="10"/>
      <c r="F311" s="10" t="s">
        <v>38</v>
      </c>
      <c r="G311" s="10" t="s">
        <v>39</v>
      </c>
      <c r="H311" s="10"/>
      <c r="I311" s="16" t="s">
        <v>184</v>
      </c>
      <c r="J311" s="10"/>
      <c r="K311" s="10"/>
      <c r="L311" s="16"/>
      <c r="M311" s="16"/>
      <c r="N311" s="16"/>
      <c r="O311" s="11">
        <v>0</v>
      </c>
      <c r="P311" s="11">
        <v>1</v>
      </c>
      <c r="Q311" s="11"/>
      <c r="R311" s="11"/>
      <c r="S311" s="12" t="s">
        <v>45</v>
      </c>
      <c r="T311" s="12" t="s">
        <v>46</v>
      </c>
      <c r="U311" s="12" t="s">
        <v>47</v>
      </c>
      <c r="V311" s="12" t="s">
        <v>48</v>
      </c>
      <c r="W311" s="12" t="s">
        <v>49</v>
      </c>
      <c r="X311" s="12" t="s">
        <v>50</v>
      </c>
      <c r="Y311" s="12" t="s">
        <v>50</v>
      </c>
      <c r="Z311" s="12" t="s">
        <v>50</v>
      </c>
      <c r="AA311" s="12" t="s">
        <v>50</v>
      </c>
      <c r="AB311" s="12" t="s">
        <v>51</v>
      </c>
      <c r="AC311" s="12" t="s">
        <v>50</v>
      </c>
      <c r="AD311" s="12" t="s">
        <v>50</v>
      </c>
      <c r="AE311" s="12" t="s">
        <v>52</v>
      </c>
      <c r="AF311" s="12" t="s">
        <v>53</v>
      </c>
      <c r="AG311" s="12" t="s">
        <v>50</v>
      </c>
      <c r="AH311" s="19" t="s">
        <v>54</v>
      </c>
    </row>
    <row r="312" spans="2:34" ht="22.5" customHeight="1" x14ac:dyDescent="0.25">
      <c r="B312" s="18" t="s">
        <v>275</v>
      </c>
      <c r="C312" s="9" t="s">
        <v>734</v>
      </c>
      <c r="D312" s="10" t="s">
        <v>740</v>
      </c>
      <c r="E312" s="10"/>
      <c r="F312" s="10" t="s">
        <v>38</v>
      </c>
      <c r="G312" s="10" t="s">
        <v>39</v>
      </c>
      <c r="H312" s="10"/>
      <c r="I312" s="16" t="s">
        <v>184</v>
      </c>
      <c r="J312" s="10"/>
      <c r="K312" s="10"/>
      <c r="L312" s="16"/>
      <c r="M312" s="16"/>
      <c r="N312" s="16"/>
      <c r="O312" s="11">
        <v>0</v>
      </c>
      <c r="P312" s="11">
        <v>1</v>
      </c>
      <c r="Q312" s="11"/>
      <c r="R312" s="11"/>
      <c r="S312" s="12" t="s">
        <v>45</v>
      </c>
      <c r="T312" s="12" t="s">
        <v>46</v>
      </c>
      <c r="U312" s="12" t="s">
        <v>47</v>
      </c>
      <c r="V312" s="12" t="s">
        <v>48</v>
      </c>
      <c r="W312" s="12" t="s">
        <v>49</v>
      </c>
      <c r="X312" s="12" t="s">
        <v>50</v>
      </c>
      <c r="Y312" s="12" t="s">
        <v>50</v>
      </c>
      <c r="Z312" s="12" t="s">
        <v>50</v>
      </c>
      <c r="AA312" s="12" t="s">
        <v>50</v>
      </c>
      <c r="AB312" s="12" t="s">
        <v>51</v>
      </c>
      <c r="AC312" s="12" t="s">
        <v>50</v>
      </c>
      <c r="AD312" s="12" t="s">
        <v>50</v>
      </c>
      <c r="AE312" s="12" t="s">
        <v>52</v>
      </c>
      <c r="AF312" s="12" t="s">
        <v>53</v>
      </c>
      <c r="AG312" s="12" t="s">
        <v>50</v>
      </c>
      <c r="AH312" s="19" t="s">
        <v>54</v>
      </c>
    </row>
    <row r="313" spans="2:34" ht="22.5" customHeight="1" x14ac:dyDescent="0.25">
      <c r="B313" s="18" t="s">
        <v>275</v>
      </c>
      <c r="C313" s="9" t="s">
        <v>734</v>
      </c>
      <c r="D313" s="10" t="s">
        <v>741</v>
      </c>
      <c r="E313" s="10"/>
      <c r="F313" s="10" t="s">
        <v>38</v>
      </c>
      <c r="G313" s="10" t="s">
        <v>39</v>
      </c>
      <c r="H313" s="10"/>
      <c r="I313" s="16" t="s">
        <v>184</v>
      </c>
      <c r="J313" s="10"/>
      <c r="K313" s="10"/>
      <c r="L313" s="16"/>
      <c r="M313" s="16"/>
      <c r="N313" s="16"/>
      <c r="O313" s="11">
        <v>0</v>
      </c>
      <c r="P313" s="11">
        <v>1</v>
      </c>
      <c r="Q313" s="11"/>
      <c r="R313" s="11"/>
      <c r="S313" s="12" t="s">
        <v>45</v>
      </c>
      <c r="T313" s="12" t="s">
        <v>46</v>
      </c>
      <c r="U313" s="12" t="s">
        <v>47</v>
      </c>
      <c r="V313" s="12" t="s">
        <v>48</v>
      </c>
      <c r="W313" s="12" t="s">
        <v>49</v>
      </c>
      <c r="X313" s="12" t="s">
        <v>50</v>
      </c>
      <c r="Y313" s="12" t="s">
        <v>50</v>
      </c>
      <c r="Z313" s="12" t="s">
        <v>50</v>
      </c>
      <c r="AA313" s="12" t="s">
        <v>50</v>
      </c>
      <c r="AB313" s="12" t="s">
        <v>51</v>
      </c>
      <c r="AC313" s="12" t="s">
        <v>50</v>
      </c>
      <c r="AD313" s="12" t="s">
        <v>50</v>
      </c>
      <c r="AE313" s="12" t="s">
        <v>52</v>
      </c>
      <c r="AF313" s="12" t="s">
        <v>53</v>
      </c>
      <c r="AG313" s="12" t="s">
        <v>50</v>
      </c>
      <c r="AH313" s="19" t="s">
        <v>54</v>
      </c>
    </row>
    <row r="314" spans="2:34" ht="22.5" customHeight="1" x14ac:dyDescent="0.25">
      <c r="B314" s="18" t="s">
        <v>275</v>
      </c>
      <c r="C314" s="9" t="s">
        <v>734</v>
      </c>
      <c r="D314" s="10" t="s">
        <v>742</v>
      </c>
      <c r="E314" s="10"/>
      <c r="F314" s="10" t="s">
        <v>38</v>
      </c>
      <c r="G314" s="10" t="s">
        <v>39</v>
      </c>
      <c r="H314" s="10"/>
      <c r="I314" s="16" t="s">
        <v>184</v>
      </c>
      <c r="J314" s="10"/>
      <c r="K314" s="10"/>
      <c r="L314" s="16"/>
      <c r="M314" s="16"/>
      <c r="N314" s="16"/>
      <c r="O314" s="11">
        <v>0</v>
      </c>
      <c r="P314" s="11">
        <v>1</v>
      </c>
      <c r="Q314" s="11"/>
      <c r="R314" s="11"/>
      <c r="S314" s="12" t="s">
        <v>45</v>
      </c>
      <c r="T314" s="12" t="s">
        <v>46</v>
      </c>
      <c r="U314" s="12" t="s">
        <v>47</v>
      </c>
      <c r="V314" s="12" t="s">
        <v>48</v>
      </c>
      <c r="W314" s="12" t="s">
        <v>49</v>
      </c>
      <c r="X314" s="12" t="s">
        <v>50</v>
      </c>
      <c r="Y314" s="12" t="s">
        <v>50</v>
      </c>
      <c r="Z314" s="12" t="s">
        <v>50</v>
      </c>
      <c r="AA314" s="12" t="s">
        <v>50</v>
      </c>
      <c r="AB314" s="12" t="s">
        <v>51</v>
      </c>
      <c r="AC314" s="12" t="s">
        <v>50</v>
      </c>
      <c r="AD314" s="12" t="s">
        <v>50</v>
      </c>
      <c r="AE314" s="12" t="s">
        <v>52</v>
      </c>
      <c r="AF314" s="12" t="s">
        <v>53</v>
      </c>
      <c r="AG314" s="12" t="s">
        <v>50</v>
      </c>
      <c r="AH314" s="19" t="s">
        <v>54</v>
      </c>
    </row>
    <row r="315" spans="2:34" ht="22.5" customHeight="1" x14ac:dyDescent="0.25">
      <c r="B315" s="18" t="s">
        <v>275</v>
      </c>
      <c r="C315" s="9" t="s">
        <v>705</v>
      </c>
      <c r="D315" s="10" t="s">
        <v>743</v>
      </c>
      <c r="E315" s="10"/>
      <c r="F315" s="10" t="s">
        <v>38</v>
      </c>
      <c r="G315" s="10" t="s">
        <v>39</v>
      </c>
      <c r="H315" s="10"/>
      <c r="I315" s="16" t="s">
        <v>184</v>
      </c>
      <c r="J315" s="10"/>
      <c r="K315" s="10"/>
      <c r="L315" s="16"/>
      <c r="M315" s="16"/>
      <c r="N315" s="16"/>
      <c r="O315" s="11">
        <v>0</v>
      </c>
      <c r="P315" s="11">
        <v>1</v>
      </c>
      <c r="Q315" s="11"/>
      <c r="R315" s="11"/>
      <c r="S315" s="12" t="s">
        <v>45</v>
      </c>
      <c r="T315" s="12" t="s">
        <v>46</v>
      </c>
      <c r="U315" s="12" t="s">
        <v>47</v>
      </c>
      <c r="V315" s="12" t="s">
        <v>48</v>
      </c>
      <c r="W315" s="12" t="s">
        <v>49</v>
      </c>
      <c r="X315" s="12" t="s">
        <v>50</v>
      </c>
      <c r="Y315" s="12" t="s">
        <v>50</v>
      </c>
      <c r="Z315" s="12" t="s">
        <v>50</v>
      </c>
      <c r="AA315" s="12" t="s">
        <v>50</v>
      </c>
      <c r="AB315" s="12" t="s">
        <v>51</v>
      </c>
      <c r="AC315" s="12" t="s">
        <v>50</v>
      </c>
      <c r="AD315" s="12" t="s">
        <v>50</v>
      </c>
      <c r="AE315" s="12" t="s">
        <v>52</v>
      </c>
      <c r="AF315" s="12" t="s">
        <v>53</v>
      </c>
      <c r="AG315" s="12" t="s">
        <v>50</v>
      </c>
      <c r="AH315" s="19" t="s">
        <v>54</v>
      </c>
    </row>
    <row r="316" spans="2:34" ht="22.5" customHeight="1" x14ac:dyDescent="0.25">
      <c r="B316" s="18" t="s">
        <v>275</v>
      </c>
      <c r="C316" s="9" t="s">
        <v>705</v>
      </c>
      <c r="D316" s="10" t="s">
        <v>744</v>
      </c>
      <c r="E316" s="10"/>
      <c r="F316" s="10" t="s">
        <v>38</v>
      </c>
      <c r="G316" s="10" t="s">
        <v>39</v>
      </c>
      <c r="H316" s="10"/>
      <c r="I316" s="16" t="s">
        <v>184</v>
      </c>
      <c r="J316" s="10"/>
      <c r="K316" s="10"/>
      <c r="L316" s="16"/>
      <c r="M316" s="16"/>
      <c r="N316" s="16"/>
      <c r="O316" s="11">
        <v>0</v>
      </c>
      <c r="P316" s="11">
        <v>1</v>
      </c>
      <c r="Q316" s="11"/>
      <c r="R316" s="11"/>
      <c r="S316" s="12" t="s">
        <v>45</v>
      </c>
      <c r="T316" s="12" t="s">
        <v>46</v>
      </c>
      <c r="U316" s="12" t="s">
        <v>47</v>
      </c>
      <c r="V316" s="12" t="s">
        <v>48</v>
      </c>
      <c r="W316" s="12" t="s">
        <v>49</v>
      </c>
      <c r="X316" s="12" t="s">
        <v>50</v>
      </c>
      <c r="Y316" s="12" t="s">
        <v>50</v>
      </c>
      <c r="Z316" s="12" t="s">
        <v>50</v>
      </c>
      <c r="AA316" s="12" t="s">
        <v>50</v>
      </c>
      <c r="AB316" s="12" t="s">
        <v>51</v>
      </c>
      <c r="AC316" s="12" t="s">
        <v>50</v>
      </c>
      <c r="AD316" s="12" t="s">
        <v>50</v>
      </c>
      <c r="AE316" s="12" t="s">
        <v>52</v>
      </c>
      <c r="AF316" s="12" t="s">
        <v>53</v>
      </c>
      <c r="AG316" s="12" t="s">
        <v>50</v>
      </c>
      <c r="AH316" s="19" t="s">
        <v>54</v>
      </c>
    </row>
    <row r="317" spans="2:34" ht="22.5" customHeight="1" x14ac:dyDescent="0.25">
      <c r="B317" s="18" t="s">
        <v>275</v>
      </c>
      <c r="C317" s="9" t="s">
        <v>705</v>
      </c>
      <c r="D317" s="10" t="s">
        <v>745</v>
      </c>
      <c r="E317" s="10"/>
      <c r="F317" s="10" t="s">
        <v>38</v>
      </c>
      <c r="G317" s="10" t="s">
        <v>39</v>
      </c>
      <c r="H317" s="10"/>
      <c r="I317" s="16" t="s">
        <v>184</v>
      </c>
      <c r="J317" s="10"/>
      <c r="K317" s="10"/>
      <c r="L317" s="16"/>
      <c r="M317" s="16"/>
      <c r="N317" s="16"/>
      <c r="O317" s="11">
        <v>0</v>
      </c>
      <c r="P317" s="11">
        <v>1</v>
      </c>
      <c r="Q317" s="11"/>
      <c r="R317" s="11"/>
      <c r="S317" s="12" t="s">
        <v>45</v>
      </c>
      <c r="T317" s="12" t="s">
        <v>46</v>
      </c>
      <c r="U317" s="12" t="s">
        <v>47</v>
      </c>
      <c r="V317" s="12" t="s">
        <v>48</v>
      </c>
      <c r="W317" s="12" t="s">
        <v>49</v>
      </c>
      <c r="X317" s="12" t="s">
        <v>50</v>
      </c>
      <c r="Y317" s="12" t="s">
        <v>50</v>
      </c>
      <c r="Z317" s="12" t="s">
        <v>50</v>
      </c>
      <c r="AA317" s="12" t="s">
        <v>50</v>
      </c>
      <c r="AB317" s="12" t="s">
        <v>51</v>
      </c>
      <c r="AC317" s="12" t="s">
        <v>50</v>
      </c>
      <c r="AD317" s="12" t="s">
        <v>50</v>
      </c>
      <c r="AE317" s="12" t="s">
        <v>52</v>
      </c>
      <c r="AF317" s="12" t="s">
        <v>53</v>
      </c>
      <c r="AG317" s="12" t="s">
        <v>50</v>
      </c>
      <c r="AH317" s="19" t="s">
        <v>54</v>
      </c>
    </row>
    <row r="318" spans="2:34" ht="22.5" customHeight="1" x14ac:dyDescent="0.25">
      <c r="B318" s="18" t="s">
        <v>275</v>
      </c>
      <c r="C318" s="9" t="s">
        <v>609</v>
      </c>
      <c r="D318" s="10" t="s">
        <v>746</v>
      </c>
      <c r="E318" s="10"/>
      <c r="F318" s="10" t="s">
        <v>38</v>
      </c>
      <c r="G318" s="10" t="s">
        <v>39</v>
      </c>
      <c r="H318" s="10"/>
      <c r="I318" s="16" t="s">
        <v>184</v>
      </c>
      <c r="J318" s="10"/>
      <c r="K318" s="10"/>
      <c r="L318" s="16"/>
      <c r="M318" s="16"/>
      <c r="N318" s="16"/>
      <c r="O318" s="11">
        <v>0</v>
      </c>
      <c r="P318" s="11">
        <v>1</v>
      </c>
      <c r="Q318" s="11"/>
      <c r="R318" s="11"/>
      <c r="S318" s="12" t="s">
        <v>45</v>
      </c>
      <c r="T318" s="12" t="s">
        <v>46</v>
      </c>
      <c r="U318" s="12" t="s">
        <v>47</v>
      </c>
      <c r="V318" s="12" t="s">
        <v>48</v>
      </c>
      <c r="W318" s="12" t="s">
        <v>49</v>
      </c>
      <c r="X318" s="12" t="s">
        <v>50</v>
      </c>
      <c r="Y318" s="12" t="s">
        <v>50</v>
      </c>
      <c r="Z318" s="12" t="s">
        <v>50</v>
      </c>
      <c r="AA318" s="12" t="s">
        <v>50</v>
      </c>
      <c r="AB318" s="12" t="s">
        <v>51</v>
      </c>
      <c r="AC318" s="12" t="s">
        <v>50</v>
      </c>
      <c r="AD318" s="12" t="s">
        <v>50</v>
      </c>
      <c r="AE318" s="12" t="s">
        <v>52</v>
      </c>
      <c r="AF318" s="12" t="s">
        <v>53</v>
      </c>
      <c r="AG318" s="12" t="s">
        <v>50</v>
      </c>
      <c r="AH318" s="19" t="s">
        <v>54</v>
      </c>
    </row>
    <row r="319" spans="2:34" ht="22.5" customHeight="1" x14ac:dyDescent="0.25">
      <c r="B319" s="18" t="s">
        <v>275</v>
      </c>
      <c r="C319" s="9" t="s">
        <v>734</v>
      </c>
      <c r="D319" s="10" t="s">
        <v>747</v>
      </c>
      <c r="E319" s="10"/>
      <c r="F319" s="10" t="s">
        <v>38</v>
      </c>
      <c r="G319" s="10" t="s">
        <v>39</v>
      </c>
      <c r="H319" s="10"/>
      <c r="I319" s="16" t="s">
        <v>184</v>
      </c>
      <c r="J319" s="10"/>
      <c r="K319" s="10"/>
      <c r="L319" s="16"/>
      <c r="M319" s="16"/>
      <c r="N319" s="16"/>
      <c r="O319" s="11">
        <v>0</v>
      </c>
      <c r="P319" s="11">
        <v>1</v>
      </c>
      <c r="Q319" s="11"/>
      <c r="R319" s="11"/>
      <c r="S319" s="12" t="s">
        <v>45</v>
      </c>
      <c r="T319" s="12" t="s">
        <v>46</v>
      </c>
      <c r="U319" s="12" t="s">
        <v>47</v>
      </c>
      <c r="V319" s="12" t="s">
        <v>48</v>
      </c>
      <c r="W319" s="12" t="s">
        <v>49</v>
      </c>
      <c r="X319" s="12" t="s">
        <v>50</v>
      </c>
      <c r="Y319" s="12" t="s">
        <v>50</v>
      </c>
      <c r="Z319" s="12" t="s">
        <v>50</v>
      </c>
      <c r="AA319" s="12" t="s">
        <v>50</v>
      </c>
      <c r="AB319" s="12" t="s">
        <v>51</v>
      </c>
      <c r="AC319" s="12" t="s">
        <v>50</v>
      </c>
      <c r="AD319" s="12" t="s">
        <v>50</v>
      </c>
      <c r="AE319" s="12" t="s">
        <v>52</v>
      </c>
      <c r="AF319" s="12" t="s">
        <v>53</v>
      </c>
      <c r="AG319" s="12" t="s">
        <v>50</v>
      </c>
      <c r="AH319" s="19" t="s">
        <v>54</v>
      </c>
    </row>
    <row r="320" spans="2:34" ht="22.5" customHeight="1" x14ac:dyDescent="0.25">
      <c r="B320" s="18" t="s">
        <v>275</v>
      </c>
      <c r="C320" s="9" t="s">
        <v>734</v>
      </c>
      <c r="D320" s="10" t="s">
        <v>748</v>
      </c>
      <c r="E320" s="10"/>
      <c r="F320" s="10" t="s">
        <v>38</v>
      </c>
      <c r="G320" s="10" t="s">
        <v>39</v>
      </c>
      <c r="H320" s="10"/>
      <c r="I320" s="16" t="s">
        <v>184</v>
      </c>
      <c r="J320" s="10"/>
      <c r="K320" s="10"/>
      <c r="L320" s="16"/>
      <c r="M320" s="16"/>
      <c r="N320" s="16"/>
      <c r="O320" s="11">
        <v>0</v>
      </c>
      <c r="P320" s="11">
        <v>1</v>
      </c>
      <c r="Q320" s="11"/>
      <c r="R320" s="11"/>
      <c r="S320" s="12" t="s">
        <v>45</v>
      </c>
      <c r="T320" s="12" t="s">
        <v>46</v>
      </c>
      <c r="U320" s="12" t="s">
        <v>47</v>
      </c>
      <c r="V320" s="12" t="s">
        <v>48</v>
      </c>
      <c r="W320" s="12" t="s">
        <v>49</v>
      </c>
      <c r="X320" s="12" t="s">
        <v>50</v>
      </c>
      <c r="Y320" s="12" t="s">
        <v>50</v>
      </c>
      <c r="Z320" s="12" t="s">
        <v>50</v>
      </c>
      <c r="AA320" s="12" t="s">
        <v>50</v>
      </c>
      <c r="AB320" s="12" t="s">
        <v>51</v>
      </c>
      <c r="AC320" s="12" t="s">
        <v>50</v>
      </c>
      <c r="AD320" s="12" t="s">
        <v>50</v>
      </c>
      <c r="AE320" s="12" t="s">
        <v>52</v>
      </c>
      <c r="AF320" s="12" t="s">
        <v>53</v>
      </c>
      <c r="AG320" s="12" t="s">
        <v>50</v>
      </c>
      <c r="AH320" s="19" t="s">
        <v>54</v>
      </c>
    </row>
    <row r="321" spans="2:34" ht="22.5" customHeight="1" x14ac:dyDescent="0.25">
      <c r="B321" s="18" t="s">
        <v>275</v>
      </c>
      <c r="C321" s="9" t="s">
        <v>734</v>
      </c>
      <c r="D321" s="10" t="s">
        <v>749</v>
      </c>
      <c r="E321" s="10"/>
      <c r="F321" s="10" t="s">
        <v>38</v>
      </c>
      <c r="G321" s="10" t="s">
        <v>39</v>
      </c>
      <c r="H321" s="10"/>
      <c r="I321" s="16" t="s">
        <v>184</v>
      </c>
      <c r="J321" s="10"/>
      <c r="K321" s="10"/>
      <c r="L321" s="16"/>
      <c r="M321" s="16"/>
      <c r="N321" s="16"/>
      <c r="O321" s="11">
        <v>0</v>
      </c>
      <c r="P321" s="11">
        <v>1</v>
      </c>
      <c r="Q321" s="11"/>
      <c r="R321" s="11"/>
      <c r="S321" s="12" t="s">
        <v>45</v>
      </c>
      <c r="T321" s="12" t="s">
        <v>46</v>
      </c>
      <c r="U321" s="12" t="s">
        <v>47</v>
      </c>
      <c r="V321" s="12" t="s">
        <v>48</v>
      </c>
      <c r="W321" s="12" t="s">
        <v>49</v>
      </c>
      <c r="X321" s="12" t="s">
        <v>50</v>
      </c>
      <c r="Y321" s="12" t="s">
        <v>50</v>
      </c>
      <c r="Z321" s="12" t="s">
        <v>50</v>
      </c>
      <c r="AA321" s="12" t="s">
        <v>50</v>
      </c>
      <c r="AB321" s="12" t="s">
        <v>51</v>
      </c>
      <c r="AC321" s="12" t="s">
        <v>50</v>
      </c>
      <c r="AD321" s="12" t="s">
        <v>50</v>
      </c>
      <c r="AE321" s="12" t="s">
        <v>52</v>
      </c>
      <c r="AF321" s="12" t="s">
        <v>53</v>
      </c>
      <c r="AG321" s="12" t="s">
        <v>50</v>
      </c>
      <c r="AH321" s="19" t="s">
        <v>54</v>
      </c>
    </row>
    <row r="322" spans="2:34" ht="22.5" customHeight="1" x14ac:dyDescent="0.25">
      <c r="B322" s="18" t="s">
        <v>275</v>
      </c>
      <c r="C322" s="9" t="s">
        <v>734</v>
      </c>
      <c r="D322" s="10" t="s">
        <v>750</v>
      </c>
      <c r="E322" s="10"/>
      <c r="F322" s="10" t="s">
        <v>38</v>
      </c>
      <c r="G322" s="10" t="s">
        <v>39</v>
      </c>
      <c r="H322" s="10"/>
      <c r="I322" s="16" t="s">
        <v>184</v>
      </c>
      <c r="J322" s="10"/>
      <c r="K322" s="10"/>
      <c r="L322" s="16"/>
      <c r="M322" s="16"/>
      <c r="N322" s="16"/>
      <c r="O322" s="11">
        <v>0</v>
      </c>
      <c r="P322" s="11">
        <v>1</v>
      </c>
      <c r="Q322" s="11"/>
      <c r="R322" s="11"/>
      <c r="S322" s="12" t="s">
        <v>45</v>
      </c>
      <c r="T322" s="12" t="s">
        <v>46</v>
      </c>
      <c r="U322" s="12" t="s">
        <v>47</v>
      </c>
      <c r="V322" s="12" t="s">
        <v>48</v>
      </c>
      <c r="W322" s="12" t="s">
        <v>49</v>
      </c>
      <c r="X322" s="12" t="s">
        <v>50</v>
      </c>
      <c r="Y322" s="12" t="s">
        <v>50</v>
      </c>
      <c r="Z322" s="12" t="s">
        <v>50</v>
      </c>
      <c r="AA322" s="12" t="s">
        <v>50</v>
      </c>
      <c r="AB322" s="12" t="s">
        <v>51</v>
      </c>
      <c r="AC322" s="12" t="s">
        <v>50</v>
      </c>
      <c r="AD322" s="12" t="s">
        <v>50</v>
      </c>
      <c r="AE322" s="12" t="s">
        <v>52</v>
      </c>
      <c r="AF322" s="12" t="s">
        <v>53</v>
      </c>
      <c r="AG322" s="12" t="s">
        <v>50</v>
      </c>
      <c r="AH322" s="19" t="s">
        <v>54</v>
      </c>
    </row>
    <row r="323" spans="2:34" ht="22.5" customHeight="1" x14ac:dyDescent="0.25">
      <c r="B323" s="18" t="s">
        <v>275</v>
      </c>
      <c r="C323" s="9" t="s">
        <v>734</v>
      </c>
      <c r="D323" s="10" t="s">
        <v>751</v>
      </c>
      <c r="E323" s="10"/>
      <c r="F323" s="10" t="s">
        <v>38</v>
      </c>
      <c r="G323" s="10" t="s">
        <v>39</v>
      </c>
      <c r="H323" s="10"/>
      <c r="I323" s="16" t="s">
        <v>184</v>
      </c>
      <c r="J323" s="10"/>
      <c r="K323" s="10"/>
      <c r="L323" s="16"/>
      <c r="M323" s="16"/>
      <c r="N323" s="16"/>
      <c r="O323" s="11">
        <v>0</v>
      </c>
      <c r="P323" s="11">
        <v>1</v>
      </c>
      <c r="Q323" s="11"/>
      <c r="R323" s="11"/>
      <c r="S323" s="12" t="s">
        <v>45</v>
      </c>
      <c r="T323" s="12" t="s">
        <v>46</v>
      </c>
      <c r="U323" s="12" t="s">
        <v>47</v>
      </c>
      <c r="V323" s="12" t="s">
        <v>48</v>
      </c>
      <c r="W323" s="12" t="s">
        <v>49</v>
      </c>
      <c r="X323" s="12" t="s">
        <v>50</v>
      </c>
      <c r="Y323" s="12" t="s">
        <v>50</v>
      </c>
      <c r="Z323" s="12" t="s">
        <v>50</v>
      </c>
      <c r="AA323" s="12" t="s">
        <v>50</v>
      </c>
      <c r="AB323" s="12" t="s">
        <v>51</v>
      </c>
      <c r="AC323" s="12" t="s">
        <v>50</v>
      </c>
      <c r="AD323" s="12" t="s">
        <v>50</v>
      </c>
      <c r="AE323" s="12" t="s">
        <v>52</v>
      </c>
      <c r="AF323" s="12" t="s">
        <v>53</v>
      </c>
      <c r="AG323" s="12" t="s">
        <v>50</v>
      </c>
      <c r="AH323" s="19" t="s">
        <v>54</v>
      </c>
    </row>
    <row r="324" spans="2:34" ht="22.5" customHeight="1" x14ac:dyDescent="0.25">
      <c r="B324" s="18" t="s">
        <v>275</v>
      </c>
      <c r="C324" s="9" t="s">
        <v>734</v>
      </c>
      <c r="D324" s="10" t="s">
        <v>752</v>
      </c>
      <c r="E324" s="10"/>
      <c r="F324" s="10" t="s">
        <v>38</v>
      </c>
      <c r="G324" s="10" t="s">
        <v>39</v>
      </c>
      <c r="H324" s="10"/>
      <c r="I324" s="16" t="s">
        <v>184</v>
      </c>
      <c r="J324" s="10"/>
      <c r="K324" s="10"/>
      <c r="L324" s="16"/>
      <c r="M324" s="16"/>
      <c r="N324" s="16"/>
      <c r="O324" s="11">
        <v>0</v>
      </c>
      <c r="P324" s="11">
        <v>1</v>
      </c>
      <c r="Q324" s="11"/>
      <c r="R324" s="11"/>
      <c r="S324" s="12" t="s">
        <v>45</v>
      </c>
      <c r="T324" s="12" t="s">
        <v>46</v>
      </c>
      <c r="U324" s="12" t="s">
        <v>47</v>
      </c>
      <c r="V324" s="12" t="s">
        <v>48</v>
      </c>
      <c r="W324" s="12" t="s">
        <v>49</v>
      </c>
      <c r="X324" s="12" t="s">
        <v>50</v>
      </c>
      <c r="Y324" s="12" t="s">
        <v>50</v>
      </c>
      <c r="Z324" s="12" t="s">
        <v>50</v>
      </c>
      <c r="AA324" s="12" t="s">
        <v>50</v>
      </c>
      <c r="AB324" s="12" t="s">
        <v>51</v>
      </c>
      <c r="AC324" s="12" t="s">
        <v>50</v>
      </c>
      <c r="AD324" s="12" t="s">
        <v>50</v>
      </c>
      <c r="AE324" s="12" t="s">
        <v>52</v>
      </c>
      <c r="AF324" s="12" t="s">
        <v>53</v>
      </c>
      <c r="AG324" s="12" t="s">
        <v>50</v>
      </c>
      <c r="AH324" s="19" t="s">
        <v>54</v>
      </c>
    </row>
    <row r="325" spans="2:34" ht="22.5" customHeight="1" x14ac:dyDescent="0.25">
      <c r="B325" s="18" t="s">
        <v>275</v>
      </c>
      <c r="C325" s="9" t="s">
        <v>734</v>
      </c>
      <c r="D325" s="10" t="s">
        <v>753</v>
      </c>
      <c r="E325" s="10"/>
      <c r="F325" s="10" t="s">
        <v>38</v>
      </c>
      <c r="G325" s="10" t="s">
        <v>39</v>
      </c>
      <c r="H325" s="10"/>
      <c r="I325" s="16" t="s">
        <v>184</v>
      </c>
      <c r="J325" s="10"/>
      <c r="K325" s="10"/>
      <c r="L325" s="16"/>
      <c r="M325" s="16"/>
      <c r="N325" s="16"/>
      <c r="O325" s="11">
        <v>0</v>
      </c>
      <c r="P325" s="11">
        <v>1</v>
      </c>
      <c r="Q325" s="11"/>
      <c r="R325" s="11"/>
      <c r="S325" s="12" t="s">
        <v>45</v>
      </c>
      <c r="T325" s="12" t="s">
        <v>46</v>
      </c>
      <c r="U325" s="12" t="s">
        <v>47</v>
      </c>
      <c r="V325" s="12" t="s">
        <v>48</v>
      </c>
      <c r="W325" s="12" t="s">
        <v>49</v>
      </c>
      <c r="X325" s="12" t="s">
        <v>50</v>
      </c>
      <c r="Y325" s="12" t="s">
        <v>50</v>
      </c>
      <c r="Z325" s="12" t="s">
        <v>50</v>
      </c>
      <c r="AA325" s="12" t="s">
        <v>50</v>
      </c>
      <c r="AB325" s="12" t="s">
        <v>51</v>
      </c>
      <c r="AC325" s="12" t="s">
        <v>50</v>
      </c>
      <c r="AD325" s="12" t="s">
        <v>50</v>
      </c>
      <c r="AE325" s="12" t="s">
        <v>52</v>
      </c>
      <c r="AF325" s="12" t="s">
        <v>53</v>
      </c>
      <c r="AG325" s="12" t="s">
        <v>50</v>
      </c>
      <c r="AH325" s="19" t="s">
        <v>54</v>
      </c>
    </row>
    <row r="326" spans="2:34" ht="22.5" customHeight="1" x14ac:dyDescent="0.25">
      <c r="B326" s="18" t="s">
        <v>275</v>
      </c>
      <c r="C326" s="9" t="s">
        <v>734</v>
      </c>
      <c r="D326" s="10" t="s">
        <v>754</v>
      </c>
      <c r="E326" s="10"/>
      <c r="F326" s="10" t="s">
        <v>38</v>
      </c>
      <c r="G326" s="10" t="s">
        <v>39</v>
      </c>
      <c r="H326" s="10"/>
      <c r="I326" s="16" t="s">
        <v>184</v>
      </c>
      <c r="J326" s="10"/>
      <c r="K326" s="10"/>
      <c r="L326" s="16"/>
      <c r="M326" s="16"/>
      <c r="N326" s="16"/>
      <c r="O326" s="11">
        <v>0</v>
      </c>
      <c r="P326" s="11">
        <v>1</v>
      </c>
      <c r="Q326" s="11"/>
      <c r="R326" s="11"/>
      <c r="S326" s="12" t="s">
        <v>45</v>
      </c>
      <c r="T326" s="12" t="s">
        <v>46</v>
      </c>
      <c r="U326" s="12" t="s">
        <v>47</v>
      </c>
      <c r="V326" s="12" t="s">
        <v>48</v>
      </c>
      <c r="W326" s="12" t="s">
        <v>49</v>
      </c>
      <c r="X326" s="12" t="s">
        <v>50</v>
      </c>
      <c r="Y326" s="12" t="s">
        <v>50</v>
      </c>
      <c r="Z326" s="12" t="s">
        <v>50</v>
      </c>
      <c r="AA326" s="12" t="s">
        <v>50</v>
      </c>
      <c r="AB326" s="12" t="s">
        <v>51</v>
      </c>
      <c r="AC326" s="12" t="s">
        <v>50</v>
      </c>
      <c r="AD326" s="12" t="s">
        <v>50</v>
      </c>
      <c r="AE326" s="12" t="s">
        <v>52</v>
      </c>
      <c r="AF326" s="12" t="s">
        <v>53</v>
      </c>
      <c r="AG326" s="12" t="s">
        <v>50</v>
      </c>
      <c r="AH326" s="19" t="s">
        <v>54</v>
      </c>
    </row>
    <row r="327" spans="2:34" ht="22.5" customHeight="1" x14ac:dyDescent="0.25">
      <c r="B327" s="18" t="s">
        <v>275</v>
      </c>
      <c r="C327" s="9" t="s">
        <v>734</v>
      </c>
      <c r="D327" s="10" t="s">
        <v>755</v>
      </c>
      <c r="E327" s="10"/>
      <c r="F327" s="10" t="s">
        <v>38</v>
      </c>
      <c r="G327" s="10" t="s">
        <v>39</v>
      </c>
      <c r="H327" s="10"/>
      <c r="I327" s="16" t="s">
        <v>184</v>
      </c>
      <c r="J327" s="10"/>
      <c r="K327" s="10"/>
      <c r="L327" s="16"/>
      <c r="M327" s="16"/>
      <c r="N327" s="16"/>
      <c r="O327" s="11">
        <v>0</v>
      </c>
      <c r="P327" s="11">
        <v>1</v>
      </c>
      <c r="Q327" s="11"/>
      <c r="R327" s="11"/>
      <c r="S327" s="12" t="s">
        <v>45</v>
      </c>
      <c r="T327" s="12" t="s">
        <v>46</v>
      </c>
      <c r="U327" s="12" t="s">
        <v>47</v>
      </c>
      <c r="V327" s="12" t="s">
        <v>48</v>
      </c>
      <c r="W327" s="12" t="s">
        <v>49</v>
      </c>
      <c r="X327" s="12" t="s">
        <v>50</v>
      </c>
      <c r="Y327" s="12" t="s">
        <v>50</v>
      </c>
      <c r="Z327" s="12" t="s">
        <v>50</v>
      </c>
      <c r="AA327" s="12" t="s">
        <v>50</v>
      </c>
      <c r="AB327" s="12" t="s">
        <v>51</v>
      </c>
      <c r="AC327" s="12" t="s">
        <v>50</v>
      </c>
      <c r="AD327" s="12" t="s">
        <v>50</v>
      </c>
      <c r="AE327" s="12" t="s">
        <v>52</v>
      </c>
      <c r="AF327" s="12" t="s">
        <v>53</v>
      </c>
      <c r="AG327" s="12" t="s">
        <v>50</v>
      </c>
      <c r="AH327" s="19" t="s">
        <v>54</v>
      </c>
    </row>
    <row r="328" spans="2:34" ht="22.5" customHeight="1" x14ac:dyDescent="0.25">
      <c r="B328" s="18" t="s">
        <v>275</v>
      </c>
      <c r="C328" s="9" t="s">
        <v>734</v>
      </c>
      <c r="D328" s="10" t="s">
        <v>756</v>
      </c>
      <c r="E328" s="10"/>
      <c r="F328" s="10" t="s">
        <v>38</v>
      </c>
      <c r="G328" s="10" t="s">
        <v>39</v>
      </c>
      <c r="H328" s="10"/>
      <c r="I328" s="16" t="s">
        <v>184</v>
      </c>
      <c r="J328" s="10"/>
      <c r="K328" s="10"/>
      <c r="L328" s="16"/>
      <c r="M328" s="16"/>
      <c r="N328" s="16"/>
      <c r="O328" s="11">
        <v>0</v>
      </c>
      <c r="P328" s="11">
        <v>1</v>
      </c>
      <c r="Q328" s="11"/>
      <c r="R328" s="11"/>
      <c r="S328" s="12" t="s">
        <v>45</v>
      </c>
      <c r="T328" s="12" t="s">
        <v>46</v>
      </c>
      <c r="U328" s="12" t="s">
        <v>47</v>
      </c>
      <c r="V328" s="12" t="s">
        <v>48</v>
      </c>
      <c r="W328" s="12" t="s">
        <v>49</v>
      </c>
      <c r="X328" s="12" t="s">
        <v>50</v>
      </c>
      <c r="Y328" s="12" t="s">
        <v>50</v>
      </c>
      <c r="Z328" s="12" t="s">
        <v>50</v>
      </c>
      <c r="AA328" s="12" t="s">
        <v>50</v>
      </c>
      <c r="AB328" s="12" t="s">
        <v>51</v>
      </c>
      <c r="AC328" s="12" t="s">
        <v>50</v>
      </c>
      <c r="AD328" s="12" t="s">
        <v>50</v>
      </c>
      <c r="AE328" s="12" t="s">
        <v>52</v>
      </c>
      <c r="AF328" s="12" t="s">
        <v>53</v>
      </c>
      <c r="AG328" s="12" t="s">
        <v>50</v>
      </c>
      <c r="AH328" s="19" t="s">
        <v>54</v>
      </c>
    </row>
    <row r="329" spans="2:34" ht="22.5" customHeight="1" x14ac:dyDescent="0.25">
      <c r="B329" s="18" t="s">
        <v>275</v>
      </c>
      <c r="C329" s="9" t="s">
        <v>734</v>
      </c>
      <c r="D329" s="10" t="s">
        <v>757</v>
      </c>
      <c r="E329" s="10"/>
      <c r="F329" s="10" t="s">
        <v>38</v>
      </c>
      <c r="G329" s="10" t="s">
        <v>39</v>
      </c>
      <c r="H329" s="10"/>
      <c r="I329" s="16" t="s">
        <v>184</v>
      </c>
      <c r="J329" s="10"/>
      <c r="K329" s="10"/>
      <c r="L329" s="16"/>
      <c r="M329" s="16"/>
      <c r="N329" s="16"/>
      <c r="O329" s="11">
        <v>0</v>
      </c>
      <c r="P329" s="11">
        <v>1</v>
      </c>
      <c r="Q329" s="11"/>
      <c r="R329" s="11"/>
      <c r="S329" s="12" t="s">
        <v>45</v>
      </c>
      <c r="T329" s="12" t="s">
        <v>46</v>
      </c>
      <c r="U329" s="12" t="s">
        <v>47</v>
      </c>
      <c r="V329" s="12" t="s">
        <v>48</v>
      </c>
      <c r="W329" s="12" t="s">
        <v>49</v>
      </c>
      <c r="X329" s="12" t="s">
        <v>50</v>
      </c>
      <c r="Y329" s="12" t="s">
        <v>50</v>
      </c>
      <c r="Z329" s="12" t="s">
        <v>50</v>
      </c>
      <c r="AA329" s="12" t="s">
        <v>50</v>
      </c>
      <c r="AB329" s="12" t="s">
        <v>51</v>
      </c>
      <c r="AC329" s="12" t="s">
        <v>50</v>
      </c>
      <c r="AD329" s="12" t="s">
        <v>50</v>
      </c>
      <c r="AE329" s="12" t="s">
        <v>52</v>
      </c>
      <c r="AF329" s="12" t="s">
        <v>53</v>
      </c>
      <c r="AG329" s="12" t="s">
        <v>50</v>
      </c>
      <c r="AH329" s="19" t="s">
        <v>54</v>
      </c>
    </row>
    <row r="330" spans="2:34" ht="22.5" customHeight="1" x14ac:dyDescent="0.25">
      <c r="B330" s="18" t="s">
        <v>275</v>
      </c>
      <c r="C330" s="9" t="s">
        <v>734</v>
      </c>
      <c r="D330" s="10" t="s">
        <v>758</v>
      </c>
      <c r="E330" s="10"/>
      <c r="F330" s="10" t="s">
        <v>38</v>
      </c>
      <c r="G330" s="10" t="s">
        <v>39</v>
      </c>
      <c r="H330" s="10"/>
      <c r="I330" s="16" t="s">
        <v>184</v>
      </c>
      <c r="J330" s="10"/>
      <c r="K330" s="10"/>
      <c r="L330" s="16"/>
      <c r="M330" s="16"/>
      <c r="N330" s="16"/>
      <c r="O330" s="11">
        <v>0</v>
      </c>
      <c r="P330" s="11">
        <v>1</v>
      </c>
      <c r="Q330" s="11"/>
      <c r="R330" s="11"/>
      <c r="S330" s="12" t="s">
        <v>45</v>
      </c>
      <c r="T330" s="12" t="s">
        <v>46</v>
      </c>
      <c r="U330" s="12" t="s">
        <v>47</v>
      </c>
      <c r="V330" s="12" t="s">
        <v>48</v>
      </c>
      <c r="W330" s="12" t="s">
        <v>49</v>
      </c>
      <c r="X330" s="12" t="s">
        <v>50</v>
      </c>
      <c r="Y330" s="12" t="s">
        <v>50</v>
      </c>
      <c r="Z330" s="12" t="s">
        <v>50</v>
      </c>
      <c r="AA330" s="12" t="s">
        <v>50</v>
      </c>
      <c r="AB330" s="12" t="s">
        <v>51</v>
      </c>
      <c r="AC330" s="12" t="s">
        <v>50</v>
      </c>
      <c r="AD330" s="12" t="s">
        <v>50</v>
      </c>
      <c r="AE330" s="12" t="s">
        <v>52</v>
      </c>
      <c r="AF330" s="12" t="s">
        <v>53</v>
      </c>
      <c r="AG330" s="12" t="s">
        <v>50</v>
      </c>
      <c r="AH330" s="19" t="s">
        <v>54</v>
      </c>
    </row>
    <row r="331" spans="2:34" ht="22.5" customHeight="1" x14ac:dyDescent="0.25">
      <c r="B331" s="18" t="s">
        <v>275</v>
      </c>
      <c r="C331" s="9" t="s">
        <v>364</v>
      </c>
      <c r="D331" s="10" t="s">
        <v>759</v>
      </c>
      <c r="E331" s="10"/>
      <c r="F331" s="10" t="s">
        <v>38</v>
      </c>
      <c r="G331" s="10" t="s">
        <v>39</v>
      </c>
      <c r="H331" s="10"/>
      <c r="I331" s="16" t="s">
        <v>184</v>
      </c>
      <c r="J331" s="10"/>
      <c r="K331" s="10"/>
      <c r="L331" s="16"/>
      <c r="M331" s="16"/>
      <c r="N331" s="16"/>
      <c r="O331" s="11">
        <v>0</v>
      </c>
      <c r="P331" s="11">
        <v>1</v>
      </c>
      <c r="Q331" s="11"/>
      <c r="R331" s="11"/>
      <c r="S331" s="12" t="s">
        <v>45</v>
      </c>
      <c r="T331" s="12" t="s">
        <v>46</v>
      </c>
      <c r="U331" s="12" t="s">
        <v>47</v>
      </c>
      <c r="V331" s="12" t="s">
        <v>48</v>
      </c>
      <c r="W331" s="12" t="s">
        <v>49</v>
      </c>
      <c r="X331" s="12" t="s">
        <v>50</v>
      </c>
      <c r="Y331" s="12" t="s">
        <v>50</v>
      </c>
      <c r="Z331" s="12" t="s">
        <v>50</v>
      </c>
      <c r="AA331" s="12" t="s">
        <v>50</v>
      </c>
      <c r="AB331" s="12" t="s">
        <v>51</v>
      </c>
      <c r="AC331" s="12" t="s">
        <v>50</v>
      </c>
      <c r="AD331" s="12" t="s">
        <v>50</v>
      </c>
      <c r="AE331" s="12" t="s">
        <v>52</v>
      </c>
      <c r="AF331" s="12" t="s">
        <v>53</v>
      </c>
      <c r="AG331" s="12" t="s">
        <v>50</v>
      </c>
      <c r="AH331" s="19" t="s">
        <v>54</v>
      </c>
    </row>
    <row r="332" spans="2:34" ht="22.5" customHeight="1" x14ac:dyDescent="0.25">
      <c r="B332" s="18" t="s">
        <v>501</v>
      </c>
      <c r="C332" s="9" t="s">
        <v>364</v>
      </c>
      <c r="D332" s="10" t="s">
        <v>760</v>
      </c>
      <c r="E332" s="10"/>
      <c r="F332" s="10" t="s">
        <v>38</v>
      </c>
      <c r="G332" s="10" t="s">
        <v>183</v>
      </c>
      <c r="H332" s="10"/>
      <c r="I332" s="16" t="s">
        <v>184</v>
      </c>
      <c r="J332" s="10"/>
      <c r="K332" s="10"/>
      <c r="L332" s="16"/>
      <c r="M332" s="16"/>
      <c r="N332" s="16"/>
      <c r="O332" s="11">
        <v>0</v>
      </c>
      <c r="P332" s="11">
        <v>1</v>
      </c>
      <c r="Q332" s="11"/>
      <c r="R332" s="11"/>
      <c r="S332" s="12" t="s">
        <v>45</v>
      </c>
      <c r="T332" s="12" t="s">
        <v>46</v>
      </c>
      <c r="U332" s="12" t="s">
        <v>47</v>
      </c>
      <c r="V332" s="12" t="s">
        <v>48</v>
      </c>
      <c r="W332" s="12" t="s">
        <v>49</v>
      </c>
      <c r="X332" s="12" t="s">
        <v>50</v>
      </c>
      <c r="Y332" s="12" t="s">
        <v>50</v>
      </c>
      <c r="Z332" s="12" t="s">
        <v>50</v>
      </c>
      <c r="AA332" s="12" t="s">
        <v>50</v>
      </c>
      <c r="AB332" s="12" t="s">
        <v>51</v>
      </c>
      <c r="AC332" s="12" t="s">
        <v>50</v>
      </c>
      <c r="AD332" s="12" t="s">
        <v>50</v>
      </c>
      <c r="AE332" s="12" t="s">
        <v>52</v>
      </c>
      <c r="AF332" s="12" t="s">
        <v>53</v>
      </c>
      <c r="AG332" s="12" t="s">
        <v>50</v>
      </c>
      <c r="AH332" s="19" t="s">
        <v>54</v>
      </c>
    </row>
    <row r="333" spans="2:34" ht="22.5" customHeight="1" x14ac:dyDescent="0.25">
      <c r="B333" s="18" t="s">
        <v>761</v>
      </c>
      <c r="C333" s="9" t="s">
        <v>185</v>
      </c>
      <c r="D333" s="10" t="s">
        <v>762</v>
      </c>
      <c r="E333" s="10"/>
      <c r="F333" s="10" t="s">
        <v>38</v>
      </c>
      <c r="G333" s="10" t="s">
        <v>39</v>
      </c>
      <c r="H333" s="38" t="s">
        <v>763</v>
      </c>
      <c r="I333" s="36">
        <v>4821</v>
      </c>
      <c r="J333" s="10" t="e">
        <f>VLOOKUP(I333,#REF!,7,FALSE)</f>
        <v>#REF!</v>
      </c>
      <c r="K333" s="10" t="s">
        <v>168</v>
      </c>
      <c r="L333" s="10" t="s">
        <v>179</v>
      </c>
      <c r="M333" s="10" t="s">
        <v>764</v>
      </c>
      <c r="N333" s="10" t="s">
        <v>303</v>
      </c>
      <c r="O333" s="11">
        <v>0</v>
      </c>
      <c r="P333" s="11">
        <v>1</v>
      </c>
      <c r="Q333" s="11"/>
      <c r="R333" s="11"/>
      <c r="S333" s="12" t="s">
        <v>45</v>
      </c>
      <c r="T333" s="12" t="s">
        <v>46</v>
      </c>
      <c r="U333" s="12" t="s">
        <v>47</v>
      </c>
      <c r="V333" s="12" t="s">
        <v>48</v>
      </c>
      <c r="W333" s="12" t="s">
        <v>49</v>
      </c>
      <c r="X333" s="12" t="s">
        <v>50</v>
      </c>
      <c r="Y333" s="12" t="s">
        <v>50</v>
      </c>
      <c r="Z333" s="12" t="s">
        <v>50</v>
      </c>
      <c r="AA333" s="12" t="s">
        <v>50</v>
      </c>
      <c r="AB333" s="12" t="s">
        <v>51</v>
      </c>
      <c r="AC333" s="12" t="s">
        <v>50</v>
      </c>
      <c r="AD333" s="12" t="s">
        <v>50</v>
      </c>
      <c r="AE333" s="12" t="s">
        <v>52</v>
      </c>
      <c r="AF333" s="12" t="s">
        <v>53</v>
      </c>
      <c r="AG333" s="12" t="s">
        <v>50</v>
      </c>
      <c r="AH333" s="19" t="s">
        <v>54</v>
      </c>
    </row>
    <row r="334" spans="2:34" ht="22.5" customHeight="1" x14ac:dyDescent="0.25">
      <c r="B334" s="18" t="s">
        <v>761</v>
      </c>
      <c r="C334" s="9" t="s">
        <v>185</v>
      </c>
      <c r="D334" s="10" t="s">
        <v>765</v>
      </c>
      <c r="E334" s="10"/>
      <c r="F334" s="10" t="s">
        <v>38</v>
      </c>
      <c r="G334" s="10" t="s">
        <v>39</v>
      </c>
      <c r="H334" s="38" t="s">
        <v>763</v>
      </c>
      <c r="I334" s="37">
        <v>4822</v>
      </c>
      <c r="J334" s="10" t="e">
        <f>VLOOKUP(I334,#REF!,7,FALSE)</f>
        <v>#REF!</v>
      </c>
      <c r="K334" s="10" t="s">
        <v>168</v>
      </c>
      <c r="L334" s="10" t="s">
        <v>179</v>
      </c>
      <c r="M334" s="10" t="s">
        <v>764</v>
      </c>
      <c r="N334" s="10" t="s">
        <v>303</v>
      </c>
      <c r="O334" s="11">
        <v>0</v>
      </c>
      <c r="P334" s="11">
        <v>1</v>
      </c>
      <c r="Q334" s="11"/>
      <c r="R334" s="11"/>
      <c r="S334" s="12" t="s">
        <v>45</v>
      </c>
      <c r="T334" s="12" t="s">
        <v>46</v>
      </c>
      <c r="U334" s="12" t="s">
        <v>47</v>
      </c>
      <c r="V334" s="12" t="s">
        <v>48</v>
      </c>
      <c r="W334" s="12" t="s">
        <v>49</v>
      </c>
      <c r="X334" s="12" t="s">
        <v>50</v>
      </c>
      <c r="Y334" s="12" t="s">
        <v>50</v>
      </c>
      <c r="Z334" s="12" t="s">
        <v>50</v>
      </c>
      <c r="AA334" s="12" t="s">
        <v>50</v>
      </c>
      <c r="AB334" s="12" t="s">
        <v>51</v>
      </c>
      <c r="AC334" s="12" t="s">
        <v>50</v>
      </c>
      <c r="AD334" s="12" t="s">
        <v>50</v>
      </c>
      <c r="AE334" s="12" t="s">
        <v>52</v>
      </c>
      <c r="AF334" s="12" t="s">
        <v>53</v>
      </c>
      <c r="AG334" s="12" t="s">
        <v>50</v>
      </c>
      <c r="AH334" s="19" t="s">
        <v>54</v>
      </c>
    </row>
    <row r="335" spans="2:34" ht="22.5" customHeight="1" x14ac:dyDescent="0.25">
      <c r="B335" s="18" t="s">
        <v>761</v>
      </c>
      <c r="C335" s="9" t="s">
        <v>185</v>
      </c>
      <c r="D335" s="10" t="s">
        <v>766</v>
      </c>
      <c r="E335" s="10"/>
      <c r="F335" s="10" t="s">
        <v>38</v>
      </c>
      <c r="G335" s="10" t="s">
        <v>39</v>
      </c>
      <c r="H335" s="38" t="s">
        <v>763</v>
      </c>
      <c r="I335" s="36">
        <v>4823</v>
      </c>
      <c r="J335" s="10" t="e">
        <f>VLOOKUP(I335,#REF!,7,FALSE)</f>
        <v>#REF!</v>
      </c>
      <c r="K335" s="10" t="s">
        <v>168</v>
      </c>
      <c r="L335" s="10" t="s">
        <v>179</v>
      </c>
      <c r="M335" s="10" t="s">
        <v>764</v>
      </c>
      <c r="N335" s="10" t="s">
        <v>303</v>
      </c>
      <c r="O335" s="11">
        <v>0</v>
      </c>
      <c r="P335" s="11">
        <v>1</v>
      </c>
      <c r="Q335" s="11"/>
      <c r="R335" s="11"/>
      <c r="S335" s="12" t="s">
        <v>45</v>
      </c>
      <c r="T335" s="12" t="s">
        <v>46</v>
      </c>
      <c r="U335" s="12" t="s">
        <v>47</v>
      </c>
      <c r="V335" s="12" t="s">
        <v>48</v>
      </c>
      <c r="W335" s="12" t="s">
        <v>49</v>
      </c>
      <c r="X335" s="12" t="s">
        <v>50</v>
      </c>
      <c r="Y335" s="12" t="s">
        <v>50</v>
      </c>
      <c r="Z335" s="12" t="s">
        <v>50</v>
      </c>
      <c r="AA335" s="12" t="s">
        <v>50</v>
      </c>
      <c r="AB335" s="12" t="s">
        <v>51</v>
      </c>
      <c r="AC335" s="12" t="s">
        <v>50</v>
      </c>
      <c r="AD335" s="12" t="s">
        <v>50</v>
      </c>
      <c r="AE335" s="12" t="s">
        <v>52</v>
      </c>
      <c r="AF335" s="12" t="s">
        <v>53</v>
      </c>
      <c r="AG335" s="12" t="s">
        <v>50</v>
      </c>
      <c r="AH335" s="19" t="s">
        <v>54</v>
      </c>
    </row>
    <row r="336" spans="2:34" ht="22.5" customHeight="1" x14ac:dyDescent="0.25">
      <c r="B336" s="18" t="s">
        <v>761</v>
      </c>
      <c r="C336" s="9" t="s">
        <v>185</v>
      </c>
      <c r="D336" s="10" t="s">
        <v>767</v>
      </c>
      <c r="E336" s="10"/>
      <c r="F336" s="10" t="s">
        <v>38</v>
      </c>
      <c r="G336" s="10" t="s">
        <v>39</v>
      </c>
      <c r="H336" s="38" t="s">
        <v>763</v>
      </c>
      <c r="I336" s="37">
        <v>4824</v>
      </c>
      <c r="J336" s="10" t="e">
        <f>VLOOKUP(I336,#REF!,7,FALSE)</f>
        <v>#REF!</v>
      </c>
      <c r="K336" s="10" t="s">
        <v>168</v>
      </c>
      <c r="L336" s="10" t="s">
        <v>179</v>
      </c>
      <c r="M336" s="10" t="s">
        <v>764</v>
      </c>
      <c r="N336" s="10" t="s">
        <v>303</v>
      </c>
      <c r="O336" s="11">
        <v>0</v>
      </c>
      <c r="P336" s="11">
        <v>1</v>
      </c>
      <c r="Q336" s="11"/>
      <c r="R336" s="11"/>
      <c r="S336" s="12" t="s">
        <v>45</v>
      </c>
      <c r="T336" s="12" t="s">
        <v>46</v>
      </c>
      <c r="U336" s="12" t="s">
        <v>47</v>
      </c>
      <c r="V336" s="12" t="s">
        <v>48</v>
      </c>
      <c r="W336" s="12" t="s">
        <v>49</v>
      </c>
      <c r="X336" s="12" t="s">
        <v>50</v>
      </c>
      <c r="Y336" s="12" t="s">
        <v>50</v>
      </c>
      <c r="Z336" s="12" t="s">
        <v>50</v>
      </c>
      <c r="AA336" s="12" t="s">
        <v>50</v>
      </c>
      <c r="AB336" s="12" t="s">
        <v>51</v>
      </c>
      <c r="AC336" s="12" t="s">
        <v>50</v>
      </c>
      <c r="AD336" s="12" t="s">
        <v>50</v>
      </c>
      <c r="AE336" s="12" t="s">
        <v>52</v>
      </c>
      <c r="AF336" s="12" t="s">
        <v>53</v>
      </c>
      <c r="AG336" s="12" t="s">
        <v>50</v>
      </c>
      <c r="AH336" s="19" t="s">
        <v>54</v>
      </c>
    </row>
    <row r="337" spans="2:34" ht="22.5" customHeight="1" x14ac:dyDescent="0.25">
      <c r="B337" s="18" t="s">
        <v>761</v>
      </c>
      <c r="C337" s="9" t="s">
        <v>185</v>
      </c>
      <c r="D337" s="10" t="s">
        <v>768</v>
      </c>
      <c r="E337" s="10"/>
      <c r="F337" s="10" t="s">
        <v>38</v>
      </c>
      <c r="G337" s="10" t="s">
        <v>39</v>
      </c>
      <c r="H337" s="38" t="s">
        <v>763</v>
      </c>
      <c r="I337" s="36">
        <v>4825</v>
      </c>
      <c r="J337" s="10" t="e">
        <f>VLOOKUP(I337,#REF!,7,FALSE)</f>
        <v>#REF!</v>
      </c>
      <c r="K337" s="10" t="s">
        <v>168</v>
      </c>
      <c r="L337" s="10" t="s">
        <v>179</v>
      </c>
      <c r="M337" s="10" t="s">
        <v>764</v>
      </c>
      <c r="N337" s="10" t="s">
        <v>303</v>
      </c>
      <c r="O337" s="11">
        <v>0</v>
      </c>
      <c r="P337" s="11">
        <v>1</v>
      </c>
      <c r="Q337" s="11"/>
      <c r="R337" s="11"/>
      <c r="S337" s="12" t="s">
        <v>45</v>
      </c>
      <c r="T337" s="12" t="s">
        <v>46</v>
      </c>
      <c r="U337" s="12" t="s">
        <v>47</v>
      </c>
      <c r="V337" s="12" t="s">
        <v>48</v>
      </c>
      <c r="W337" s="12" t="s">
        <v>49</v>
      </c>
      <c r="X337" s="12" t="s">
        <v>50</v>
      </c>
      <c r="Y337" s="12" t="s">
        <v>50</v>
      </c>
      <c r="Z337" s="12" t="s">
        <v>50</v>
      </c>
      <c r="AA337" s="12" t="s">
        <v>50</v>
      </c>
      <c r="AB337" s="12" t="s">
        <v>51</v>
      </c>
      <c r="AC337" s="12" t="s">
        <v>50</v>
      </c>
      <c r="AD337" s="12" t="s">
        <v>50</v>
      </c>
      <c r="AE337" s="12" t="s">
        <v>52</v>
      </c>
      <c r="AF337" s="12" t="s">
        <v>53</v>
      </c>
      <c r="AG337" s="12" t="s">
        <v>50</v>
      </c>
      <c r="AH337" s="19" t="s">
        <v>54</v>
      </c>
    </row>
    <row r="338" spans="2:34" ht="22.5" customHeight="1" x14ac:dyDescent="0.25">
      <c r="B338" s="18" t="s">
        <v>761</v>
      </c>
      <c r="C338" s="9" t="s">
        <v>185</v>
      </c>
      <c r="D338" s="10" t="s">
        <v>769</v>
      </c>
      <c r="E338" s="10"/>
      <c r="F338" s="10" t="s">
        <v>38</v>
      </c>
      <c r="G338" s="10" t="s">
        <v>39</v>
      </c>
      <c r="H338" s="38" t="s">
        <v>763</v>
      </c>
      <c r="I338" s="37">
        <v>4826</v>
      </c>
      <c r="J338" s="10" t="e">
        <f>VLOOKUP(I338,#REF!,7,FALSE)</f>
        <v>#REF!</v>
      </c>
      <c r="K338" s="10" t="s">
        <v>168</v>
      </c>
      <c r="L338" s="10" t="s">
        <v>179</v>
      </c>
      <c r="M338" s="10" t="s">
        <v>764</v>
      </c>
      <c r="N338" s="10" t="s">
        <v>303</v>
      </c>
      <c r="O338" s="11">
        <v>0</v>
      </c>
      <c r="P338" s="11">
        <v>1</v>
      </c>
      <c r="Q338" s="11"/>
      <c r="R338" s="11"/>
      <c r="S338" s="12" t="s">
        <v>45</v>
      </c>
      <c r="T338" s="12" t="s">
        <v>46</v>
      </c>
      <c r="U338" s="12" t="s">
        <v>47</v>
      </c>
      <c r="V338" s="12" t="s">
        <v>48</v>
      </c>
      <c r="W338" s="12" t="s">
        <v>49</v>
      </c>
      <c r="X338" s="12" t="s">
        <v>50</v>
      </c>
      <c r="Y338" s="12" t="s">
        <v>50</v>
      </c>
      <c r="Z338" s="12" t="s">
        <v>50</v>
      </c>
      <c r="AA338" s="12" t="s">
        <v>50</v>
      </c>
      <c r="AB338" s="12" t="s">
        <v>51</v>
      </c>
      <c r="AC338" s="12" t="s">
        <v>50</v>
      </c>
      <c r="AD338" s="12" t="s">
        <v>50</v>
      </c>
      <c r="AE338" s="12" t="s">
        <v>52</v>
      </c>
      <c r="AF338" s="12" t="s">
        <v>53</v>
      </c>
      <c r="AG338" s="12" t="s">
        <v>50</v>
      </c>
      <c r="AH338" s="19" t="s">
        <v>54</v>
      </c>
    </row>
    <row r="339" spans="2:34" ht="22.5" customHeight="1" x14ac:dyDescent="0.25">
      <c r="B339" s="18" t="s">
        <v>299</v>
      </c>
      <c r="C339" s="9" t="s">
        <v>640</v>
      </c>
      <c r="D339" s="10" t="s">
        <v>770</v>
      </c>
      <c r="E339" s="10"/>
      <c r="F339" s="13"/>
      <c r="G339" s="10" t="s">
        <v>39</v>
      </c>
      <c r="H339" s="10"/>
      <c r="I339" s="16" t="s">
        <v>184</v>
      </c>
      <c r="J339" s="10"/>
      <c r="K339" s="10"/>
      <c r="L339" s="16"/>
      <c r="M339" s="16"/>
      <c r="N339" s="16"/>
      <c r="O339" s="11">
        <v>0</v>
      </c>
      <c r="P339" s="11">
        <v>2</v>
      </c>
      <c r="Q339" s="11"/>
      <c r="R339" s="11"/>
      <c r="S339" s="12" t="s">
        <v>643</v>
      </c>
      <c r="T339" s="12" t="s">
        <v>50</v>
      </c>
      <c r="U339" s="12" t="s">
        <v>50</v>
      </c>
      <c r="V339" s="12" t="s">
        <v>50</v>
      </c>
      <c r="W339" s="12" t="s">
        <v>50</v>
      </c>
      <c r="X339" s="12" t="s">
        <v>50</v>
      </c>
      <c r="Y339" s="12" t="s">
        <v>50</v>
      </c>
      <c r="Z339" s="12" t="s">
        <v>50</v>
      </c>
      <c r="AA339" s="12" t="s">
        <v>50</v>
      </c>
      <c r="AB339" s="12" t="s">
        <v>50</v>
      </c>
      <c r="AC339" s="12" t="s">
        <v>50</v>
      </c>
      <c r="AD339" s="12" t="s">
        <v>50</v>
      </c>
      <c r="AE339" s="12" t="s">
        <v>52</v>
      </c>
      <c r="AF339" s="12" t="s">
        <v>50</v>
      </c>
      <c r="AG339" s="12" t="s">
        <v>50</v>
      </c>
      <c r="AH339" s="19" t="s">
        <v>54</v>
      </c>
    </row>
    <row r="340" spans="2:34" ht="22.5" customHeight="1" x14ac:dyDescent="0.25">
      <c r="B340" s="18" t="s">
        <v>299</v>
      </c>
      <c r="C340" s="9" t="s">
        <v>645</v>
      </c>
      <c r="D340" s="10" t="s">
        <v>771</v>
      </c>
      <c r="E340" s="10"/>
      <c r="F340" s="10" t="s">
        <v>654</v>
      </c>
      <c r="G340" s="10" t="s">
        <v>655</v>
      </c>
      <c r="H340" s="10"/>
      <c r="I340" s="16" t="s">
        <v>184</v>
      </c>
      <c r="J340" s="10"/>
      <c r="K340" s="10"/>
      <c r="L340" s="16"/>
      <c r="M340" s="16"/>
      <c r="N340" s="16"/>
      <c r="O340" s="11">
        <v>0</v>
      </c>
      <c r="P340" s="11">
        <v>2</v>
      </c>
      <c r="Q340" s="11"/>
      <c r="R340" s="11"/>
      <c r="S340" s="12" t="s">
        <v>643</v>
      </c>
      <c r="T340" s="12" t="s">
        <v>50</v>
      </c>
      <c r="U340" s="12" t="s">
        <v>50</v>
      </c>
      <c r="V340" s="12" t="s">
        <v>50</v>
      </c>
      <c r="W340" s="12" t="s">
        <v>50</v>
      </c>
      <c r="X340" s="12" t="s">
        <v>50</v>
      </c>
      <c r="Y340" s="12" t="s">
        <v>50</v>
      </c>
      <c r="Z340" s="12" t="s">
        <v>50</v>
      </c>
      <c r="AA340" s="12" t="s">
        <v>50</v>
      </c>
      <c r="AB340" s="12" t="s">
        <v>50</v>
      </c>
      <c r="AC340" s="12" t="s">
        <v>50</v>
      </c>
      <c r="AD340" s="12" t="s">
        <v>50</v>
      </c>
      <c r="AE340" s="12" t="s">
        <v>50</v>
      </c>
      <c r="AF340" s="12" t="s">
        <v>50</v>
      </c>
      <c r="AG340" s="12" t="s">
        <v>50</v>
      </c>
      <c r="AH340" s="19" t="s">
        <v>54</v>
      </c>
    </row>
    <row r="341" spans="2:34" ht="22.5" customHeight="1" x14ac:dyDescent="0.25">
      <c r="B341" s="18" t="s">
        <v>299</v>
      </c>
      <c r="C341" s="9" t="s">
        <v>174</v>
      </c>
      <c r="D341" s="10" t="s">
        <v>300</v>
      </c>
      <c r="E341" s="10"/>
      <c r="F341" s="10" t="s">
        <v>772</v>
      </c>
      <c r="G341" s="10" t="s">
        <v>123</v>
      </c>
      <c r="H341" s="10"/>
      <c r="I341" s="16" t="s">
        <v>184</v>
      </c>
      <c r="J341" s="10"/>
      <c r="K341" s="10"/>
      <c r="L341" s="16"/>
      <c r="M341" s="16"/>
      <c r="N341" s="16"/>
      <c r="O341" s="11">
        <v>0</v>
      </c>
      <c r="P341" s="11">
        <v>1</v>
      </c>
      <c r="Q341" s="11"/>
      <c r="R341" s="11"/>
      <c r="S341" s="12" t="s">
        <v>128</v>
      </c>
      <c r="T341" s="12" t="s">
        <v>46</v>
      </c>
      <c r="U341" s="12" t="s">
        <v>47</v>
      </c>
      <c r="V341" s="12" t="s">
        <v>48</v>
      </c>
      <c r="W341" s="12" t="s">
        <v>49</v>
      </c>
      <c r="X341" s="12" t="s">
        <v>54</v>
      </c>
      <c r="Y341" s="12" t="s">
        <v>129</v>
      </c>
      <c r="Z341" s="12" t="s">
        <v>130</v>
      </c>
      <c r="AA341" s="12" t="s">
        <v>50</v>
      </c>
      <c r="AB341" s="12" t="s">
        <v>132</v>
      </c>
      <c r="AC341" s="12" t="s">
        <v>50</v>
      </c>
      <c r="AD341" s="12" t="s">
        <v>50</v>
      </c>
      <c r="AE341" s="12" t="s">
        <v>52</v>
      </c>
      <c r="AF341" s="12" t="s">
        <v>50</v>
      </c>
      <c r="AG341" s="12" t="s">
        <v>773</v>
      </c>
      <c r="AH341" s="19" t="s">
        <v>54</v>
      </c>
    </row>
    <row r="342" spans="2:34" ht="22.5" customHeight="1" x14ac:dyDescent="0.25">
      <c r="B342" s="18" t="s">
        <v>299</v>
      </c>
      <c r="C342" s="9" t="s">
        <v>174</v>
      </c>
      <c r="D342" s="10" t="s">
        <v>300</v>
      </c>
      <c r="E342" s="10"/>
      <c r="F342" s="10" t="s">
        <v>301</v>
      </c>
      <c r="G342" s="10" t="s">
        <v>177</v>
      </c>
      <c r="H342" s="10"/>
      <c r="I342" s="16" t="s">
        <v>184</v>
      </c>
      <c r="J342" s="10"/>
      <c r="K342" s="10"/>
      <c r="L342" s="16"/>
      <c r="M342" s="16"/>
      <c r="N342" s="16"/>
      <c r="O342" s="11">
        <v>0</v>
      </c>
      <c r="P342" s="11">
        <v>1</v>
      </c>
      <c r="Q342" s="11"/>
      <c r="R342" s="11"/>
      <c r="S342" s="12" t="s">
        <v>45</v>
      </c>
      <c r="T342" s="12" t="s">
        <v>46</v>
      </c>
      <c r="U342" s="12" t="s">
        <v>47</v>
      </c>
      <c r="V342" s="12" t="s">
        <v>48</v>
      </c>
      <c r="W342" s="12" t="s">
        <v>49</v>
      </c>
      <c r="X342" s="12" t="s">
        <v>50</v>
      </c>
      <c r="Y342" s="12" t="s">
        <v>50</v>
      </c>
      <c r="Z342" s="12" t="s">
        <v>50</v>
      </c>
      <c r="AA342" s="12" t="s">
        <v>50</v>
      </c>
      <c r="AB342" s="12" t="s">
        <v>51</v>
      </c>
      <c r="AC342" s="12" t="s">
        <v>50</v>
      </c>
      <c r="AD342" s="12" t="s">
        <v>50</v>
      </c>
      <c r="AE342" s="12" t="s">
        <v>52</v>
      </c>
      <c r="AF342" s="12" t="s">
        <v>53</v>
      </c>
      <c r="AG342" s="12" t="s">
        <v>50</v>
      </c>
      <c r="AH342" s="19" t="s">
        <v>54</v>
      </c>
    </row>
    <row r="343" spans="2:34" ht="22.5" customHeight="1" x14ac:dyDescent="0.25">
      <c r="B343" s="18" t="s">
        <v>299</v>
      </c>
      <c r="C343" s="9" t="s">
        <v>174</v>
      </c>
      <c r="D343" s="10" t="s">
        <v>300</v>
      </c>
      <c r="E343" s="10"/>
      <c r="F343" s="10" t="s">
        <v>301</v>
      </c>
      <c r="G343" s="10" t="s">
        <v>177</v>
      </c>
      <c r="H343" s="10"/>
      <c r="I343" s="16" t="s">
        <v>184</v>
      </c>
      <c r="J343" s="10"/>
      <c r="K343" s="10"/>
      <c r="L343" s="16"/>
      <c r="M343" s="16"/>
      <c r="N343" s="16"/>
      <c r="O343" s="11">
        <v>0</v>
      </c>
      <c r="P343" s="11">
        <v>2</v>
      </c>
      <c r="Q343" s="11"/>
      <c r="R343" s="11"/>
      <c r="S343" s="12" t="s">
        <v>45</v>
      </c>
      <c r="T343" s="12" t="s">
        <v>46</v>
      </c>
      <c r="U343" s="12" t="s">
        <v>47</v>
      </c>
      <c r="V343" s="12" t="s">
        <v>48</v>
      </c>
      <c r="W343" s="12" t="s">
        <v>49</v>
      </c>
      <c r="X343" s="12" t="s">
        <v>50</v>
      </c>
      <c r="Y343" s="12" t="s">
        <v>50</v>
      </c>
      <c r="Z343" s="12" t="s">
        <v>50</v>
      </c>
      <c r="AA343" s="12" t="s">
        <v>50</v>
      </c>
      <c r="AB343" s="12" t="s">
        <v>51</v>
      </c>
      <c r="AC343" s="12" t="s">
        <v>50</v>
      </c>
      <c r="AD343" s="12" t="s">
        <v>50</v>
      </c>
      <c r="AE343" s="12" t="s">
        <v>52</v>
      </c>
      <c r="AF343" s="12" t="s">
        <v>53</v>
      </c>
      <c r="AG343" s="12" t="s">
        <v>50</v>
      </c>
      <c r="AH343" s="19" t="s">
        <v>54</v>
      </c>
    </row>
    <row r="344" spans="2:34" ht="22.5" customHeight="1" x14ac:dyDescent="0.25">
      <c r="B344" s="18" t="s">
        <v>299</v>
      </c>
      <c r="C344" s="9" t="s">
        <v>645</v>
      </c>
      <c r="D344" s="10" t="s">
        <v>771</v>
      </c>
      <c r="E344" s="10"/>
      <c r="F344" s="10" t="s">
        <v>649</v>
      </c>
      <c r="G344" s="10" t="s">
        <v>650</v>
      </c>
      <c r="H344" s="10"/>
      <c r="I344" s="16" t="s">
        <v>184</v>
      </c>
      <c r="J344" s="10"/>
      <c r="K344" s="10"/>
      <c r="L344" s="16"/>
      <c r="M344" s="16"/>
      <c r="N344" s="16"/>
      <c r="O344" s="11">
        <v>0</v>
      </c>
      <c r="P344" s="11">
        <v>1</v>
      </c>
      <c r="Q344" s="11"/>
      <c r="R344" s="11"/>
      <c r="S344" s="12" t="s">
        <v>651</v>
      </c>
      <c r="T344" s="12" t="s">
        <v>652</v>
      </c>
      <c r="U344" s="12" t="s">
        <v>50</v>
      </c>
      <c r="V344" s="12" t="s">
        <v>50</v>
      </c>
      <c r="W344" s="12" t="s">
        <v>49</v>
      </c>
      <c r="X344" s="12" t="s">
        <v>50</v>
      </c>
      <c r="Y344" s="12" t="s">
        <v>50</v>
      </c>
      <c r="Z344" s="12" t="s">
        <v>50</v>
      </c>
      <c r="AA344" s="12" t="s">
        <v>50</v>
      </c>
      <c r="AB344" s="12" t="s">
        <v>50</v>
      </c>
      <c r="AC344" s="12" t="s">
        <v>50</v>
      </c>
      <c r="AD344" s="12" t="s">
        <v>50</v>
      </c>
      <c r="AE344" s="12" t="s">
        <v>52</v>
      </c>
      <c r="AF344" s="12" t="s">
        <v>50</v>
      </c>
      <c r="AG344" s="12" t="s">
        <v>50</v>
      </c>
      <c r="AH344" s="19" t="s">
        <v>54</v>
      </c>
    </row>
    <row r="345" spans="2:34" ht="22.5" customHeight="1" x14ac:dyDescent="0.25">
      <c r="B345" s="18" t="s">
        <v>299</v>
      </c>
      <c r="C345" s="9" t="s">
        <v>645</v>
      </c>
      <c r="D345" s="10" t="s">
        <v>771</v>
      </c>
      <c r="E345" s="10"/>
      <c r="F345" s="10" t="s">
        <v>654</v>
      </c>
      <c r="G345" s="10" t="s">
        <v>655</v>
      </c>
      <c r="H345" s="10"/>
      <c r="I345" s="16" t="s">
        <v>184</v>
      </c>
      <c r="J345" s="10"/>
      <c r="K345" s="10"/>
      <c r="L345" s="16"/>
      <c r="M345" s="16"/>
      <c r="N345" s="16"/>
      <c r="O345" s="11">
        <v>0</v>
      </c>
      <c r="P345" s="11">
        <v>1</v>
      </c>
      <c r="Q345" s="11"/>
      <c r="R345" s="11"/>
      <c r="S345" s="12" t="s">
        <v>643</v>
      </c>
      <c r="T345" s="12" t="s">
        <v>50</v>
      </c>
      <c r="U345" s="12" t="s">
        <v>50</v>
      </c>
      <c r="V345" s="12" t="s">
        <v>50</v>
      </c>
      <c r="W345" s="12" t="s">
        <v>50</v>
      </c>
      <c r="X345" s="12" t="s">
        <v>50</v>
      </c>
      <c r="Y345" s="12" t="s">
        <v>50</v>
      </c>
      <c r="Z345" s="12" t="s">
        <v>50</v>
      </c>
      <c r="AA345" s="12" t="s">
        <v>50</v>
      </c>
      <c r="AB345" s="12" t="s">
        <v>50</v>
      </c>
      <c r="AC345" s="12" t="s">
        <v>50</v>
      </c>
      <c r="AD345" s="12" t="s">
        <v>50</v>
      </c>
      <c r="AE345" s="12" t="s">
        <v>50</v>
      </c>
      <c r="AF345" s="12" t="s">
        <v>50</v>
      </c>
      <c r="AG345" s="12" t="s">
        <v>50</v>
      </c>
      <c r="AH345" s="19" t="s">
        <v>54</v>
      </c>
    </row>
    <row r="346" spans="2:34" ht="22.5" customHeight="1" x14ac:dyDescent="0.25">
      <c r="B346" s="18" t="s">
        <v>299</v>
      </c>
      <c r="C346" s="9" t="s">
        <v>640</v>
      </c>
      <c r="D346" s="10" t="s">
        <v>774</v>
      </c>
      <c r="E346" s="10"/>
      <c r="F346" s="10" t="s">
        <v>642</v>
      </c>
      <c r="G346" s="10" t="s">
        <v>39</v>
      </c>
      <c r="H346" s="10" t="s">
        <v>775</v>
      </c>
      <c r="I346" s="16" t="s">
        <v>184</v>
      </c>
      <c r="J346" s="10"/>
      <c r="K346" s="10"/>
      <c r="L346" s="10"/>
      <c r="M346" s="10"/>
      <c r="N346" s="10"/>
      <c r="O346" s="11">
        <v>0</v>
      </c>
      <c r="P346" s="11">
        <v>1</v>
      </c>
      <c r="Q346" s="11"/>
      <c r="R346" s="11"/>
      <c r="S346" s="12"/>
      <c r="T346" s="12"/>
      <c r="U346" s="12"/>
      <c r="V346" s="12"/>
      <c r="W346" s="12"/>
      <c r="X346" s="12"/>
      <c r="Y346" s="12"/>
      <c r="Z346" s="12"/>
      <c r="AA346" s="12"/>
      <c r="AB346" s="12"/>
      <c r="AC346" s="12"/>
      <c r="AD346" s="12"/>
      <c r="AE346" s="12"/>
      <c r="AF346" s="12"/>
      <c r="AG346" s="12"/>
      <c r="AH346" s="19"/>
    </row>
    <row r="347" spans="2:34" ht="22.5" customHeight="1" x14ac:dyDescent="0.25">
      <c r="B347" s="18" t="s">
        <v>299</v>
      </c>
      <c r="C347" s="9" t="s">
        <v>640</v>
      </c>
      <c r="D347" s="10" t="s">
        <v>770</v>
      </c>
      <c r="E347" s="10"/>
      <c r="F347" s="10" t="s">
        <v>642</v>
      </c>
      <c r="G347" s="10" t="s">
        <v>39</v>
      </c>
      <c r="H347" s="10" t="s">
        <v>775</v>
      </c>
      <c r="I347" s="16" t="s">
        <v>184</v>
      </c>
      <c r="J347" s="10"/>
      <c r="K347" s="10"/>
      <c r="L347" s="10"/>
      <c r="M347" s="10"/>
      <c r="N347" s="10"/>
      <c r="O347" s="11">
        <v>0</v>
      </c>
      <c r="P347" s="11">
        <v>1</v>
      </c>
      <c r="Q347" s="11"/>
      <c r="R347" s="11"/>
      <c r="S347" s="12"/>
      <c r="T347" s="12"/>
      <c r="U347" s="12"/>
      <c r="V347" s="12"/>
      <c r="W347" s="12"/>
      <c r="X347" s="12"/>
      <c r="Y347" s="12"/>
      <c r="Z347" s="12"/>
      <c r="AA347" s="12"/>
      <c r="AB347" s="12"/>
      <c r="AC347" s="12"/>
      <c r="AD347" s="12"/>
      <c r="AE347" s="12"/>
      <c r="AF347" s="12"/>
      <c r="AG347" s="12"/>
      <c r="AH347" s="19"/>
    </row>
    <row r="348" spans="2:34" ht="22.5" customHeight="1" x14ac:dyDescent="0.25">
      <c r="B348" s="18" t="s">
        <v>299</v>
      </c>
      <c r="C348" s="9" t="s">
        <v>645</v>
      </c>
      <c r="D348" s="10" t="s">
        <v>776</v>
      </c>
      <c r="E348" s="10"/>
      <c r="F348" s="10" t="s">
        <v>649</v>
      </c>
      <c r="G348" s="10" t="s">
        <v>650</v>
      </c>
      <c r="H348" s="10"/>
      <c r="I348" s="16" t="s">
        <v>184</v>
      </c>
      <c r="J348" s="10"/>
      <c r="K348" s="10"/>
      <c r="L348" s="16"/>
      <c r="M348" s="16"/>
      <c r="N348" s="16"/>
      <c r="O348" s="11">
        <v>0</v>
      </c>
      <c r="P348" s="11">
        <v>1</v>
      </c>
      <c r="Q348" s="11"/>
      <c r="R348" s="11"/>
      <c r="S348" s="12" t="s">
        <v>651</v>
      </c>
      <c r="T348" s="12" t="s">
        <v>652</v>
      </c>
      <c r="U348" s="12" t="s">
        <v>50</v>
      </c>
      <c r="V348" s="12" t="s">
        <v>50</v>
      </c>
      <c r="W348" s="12" t="s">
        <v>49</v>
      </c>
      <c r="X348" s="12" t="s">
        <v>50</v>
      </c>
      <c r="Y348" s="12" t="s">
        <v>50</v>
      </c>
      <c r="Z348" s="12" t="s">
        <v>50</v>
      </c>
      <c r="AA348" s="12" t="s">
        <v>50</v>
      </c>
      <c r="AB348" s="12" t="s">
        <v>50</v>
      </c>
      <c r="AC348" s="12" t="s">
        <v>50</v>
      </c>
      <c r="AD348" s="12" t="s">
        <v>50</v>
      </c>
      <c r="AE348" s="12" t="s">
        <v>52</v>
      </c>
      <c r="AF348" s="12" t="s">
        <v>50</v>
      </c>
      <c r="AG348" s="12" t="s">
        <v>50</v>
      </c>
      <c r="AH348" s="19" t="s">
        <v>54</v>
      </c>
    </row>
    <row r="349" spans="2:34" ht="22.5" customHeight="1" x14ac:dyDescent="0.25">
      <c r="B349" s="18" t="s">
        <v>528</v>
      </c>
      <c r="C349" s="9" t="s">
        <v>594</v>
      </c>
      <c r="D349" s="10" t="s">
        <v>777</v>
      </c>
      <c r="E349" s="10"/>
      <c r="F349" s="10" t="s">
        <v>38</v>
      </c>
      <c r="G349" s="10" t="s">
        <v>39</v>
      </c>
      <c r="H349" s="10"/>
      <c r="I349" s="16" t="s">
        <v>184</v>
      </c>
      <c r="J349" s="10"/>
      <c r="K349" s="10"/>
      <c r="L349" s="16"/>
      <c r="M349" s="16"/>
      <c r="N349" s="16"/>
      <c r="O349" s="11">
        <v>0</v>
      </c>
      <c r="P349" s="11">
        <v>1</v>
      </c>
      <c r="Q349" s="11"/>
      <c r="R349" s="11"/>
      <c r="S349" s="12" t="s">
        <v>45</v>
      </c>
      <c r="T349" s="12" t="s">
        <v>46</v>
      </c>
      <c r="U349" s="12" t="s">
        <v>47</v>
      </c>
      <c r="V349" s="12" t="s">
        <v>48</v>
      </c>
      <c r="W349" s="12" t="s">
        <v>49</v>
      </c>
      <c r="X349" s="12" t="s">
        <v>50</v>
      </c>
      <c r="Y349" s="12" t="s">
        <v>50</v>
      </c>
      <c r="Z349" s="12" t="s">
        <v>50</v>
      </c>
      <c r="AA349" s="12" t="s">
        <v>50</v>
      </c>
      <c r="AB349" s="12" t="s">
        <v>51</v>
      </c>
      <c r="AC349" s="12" t="s">
        <v>50</v>
      </c>
      <c r="AD349" s="12" t="s">
        <v>50</v>
      </c>
      <c r="AE349" s="12" t="s">
        <v>52</v>
      </c>
      <c r="AF349" s="12" t="s">
        <v>53</v>
      </c>
      <c r="AG349" s="12" t="s">
        <v>50</v>
      </c>
      <c r="AH349" s="19" t="s">
        <v>54</v>
      </c>
    </row>
    <row r="350" spans="2:34" ht="22.5" customHeight="1" x14ac:dyDescent="0.25">
      <c r="B350" s="18" t="s">
        <v>528</v>
      </c>
      <c r="C350" s="9" t="s">
        <v>471</v>
      </c>
      <c r="D350" s="10" t="s">
        <v>778</v>
      </c>
      <c r="E350" s="10"/>
      <c r="F350" s="10" t="s">
        <v>38</v>
      </c>
      <c r="G350" s="10" t="s">
        <v>39</v>
      </c>
      <c r="H350" s="10"/>
      <c r="I350" s="16" t="s">
        <v>184</v>
      </c>
      <c r="J350" s="10"/>
      <c r="K350" s="10"/>
      <c r="L350" s="16"/>
      <c r="M350" s="16"/>
      <c r="N350" s="16"/>
      <c r="O350" s="11">
        <v>0</v>
      </c>
      <c r="P350" s="11">
        <v>1</v>
      </c>
      <c r="Q350" s="11"/>
      <c r="R350" s="11"/>
      <c r="S350" s="12" t="s">
        <v>45</v>
      </c>
      <c r="T350" s="12" t="s">
        <v>46</v>
      </c>
      <c r="U350" s="12" t="s">
        <v>47</v>
      </c>
      <c r="V350" s="12" t="s">
        <v>48</v>
      </c>
      <c r="W350" s="12" t="s">
        <v>49</v>
      </c>
      <c r="X350" s="12" t="s">
        <v>50</v>
      </c>
      <c r="Y350" s="12" t="s">
        <v>50</v>
      </c>
      <c r="Z350" s="12" t="s">
        <v>50</v>
      </c>
      <c r="AA350" s="12" t="s">
        <v>50</v>
      </c>
      <c r="AB350" s="12" t="s">
        <v>51</v>
      </c>
      <c r="AC350" s="12" t="s">
        <v>50</v>
      </c>
      <c r="AD350" s="12" t="s">
        <v>50</v>
      </c>
      <c r="AE350" s="12" t="s">
        <v>52</v>
      </c>
      <c r="AF350" s="12" t="s">
        <v>53</v>
      </c>
      <c r="AG350" s="12" t="s">
        <v>50</v>
      </c>
      <c r="AH350" s="19" t="s">
        <v>54</v>
      </c>
    </row>
    <row r="351" spans="2:34" ht="22.5" customHeight="1" x14ac:dyDescent="0.25">
      <c r="B351" s="18" t="s">
        <v>368</v>
      </c>
      <c r="C351" s="9" t="s">
        <v>779</v>
      </c>
      <c r="D351" s="10" t="s">
        <v>780</v>
      </c>
      <c r="E351" s="10"/>
      <c r="F351" s="10" t="s">
        <v>772</v>
      </c>
      <c r="G351" s="10" t="s">
        <v>123</v>
      </c>
      <c r="H351" s="10"/>
      <c r="I351" s="16" t="s">
        <v>184</v>
      </c>
      <c r="J351" s="10"/>
      <c r="K351" s="10"/>
      <c r="L351" s="16"/>
      <c r="M351" s="16"/>
      <c r="N351" s="16"/>
      <c r="O351" s="11">
        <v>0</v>
      </c>
      <c r="P351" s="11">
        <v>1</v>
      </c>
      <c r="Q351" s="11"/>
      <c r="R351" s="11"/>
      <c r="S351" s="12" t="s">
        <v>128</v>
      </c>
      <c r="T351" s="12" t="s">
        <v>46</v>
      </c>
      <c r="U351" s="12" t="s">
        <v>47</v>
      </c>
      <c r="V351" s="12" t="s">
        <v>48</v>
      </c>
      <c r="W351" s="12" t="s">
        <v>49</v>
      </c>
      <c r="X351" s="12" t="s">
        <v>54</v>
      </c>
      <c r="Y351" s="12" t="s">
        <v>129</v>
      </c>
      <c r="Z351" s="12" t="s">
        <v>130</v>
      </c>
      <c r="AA351" s="12" t="s">
        <v>50</v>
      </c>
      <c r="AB351" s="12" t="s">
        <v>132</v>
      </c>
      <c r="AC351" s="12" t="s">
        <v>50</v>
      </c>
      <c r="AD351" s="12" t="s">
        <v>50</v>
      </c>
      <c r="AE351" s="12" t="s">
        <v>52</v>
      </c>
      <c r="AF351" s="12" t="s">
        <v>50</v>
      </c>
      <c r="AG351" s="12" t="s">
        <v>773</v>
      </c>
      <c r="AH351" s="19" t="s">
        <v>54</v>
      </c>
    </row>
    <row r="352" spans="2:34" ht="22.5" customHeight="1" x14ac:dyDescent="0.25">
      <c r="B352" s="18" t="s">
        <v>368</v>
      </c>
      <c r="C352" s="9" t="s">
        <v>779</v>
      </c>
      <c r="D352" s="10" t="s">
        <v>781</v>
      </c>
      <c r="E352" s="10"/>
      <c r="F352" s="10" t="s">
        <v>772</v>
      </c>
      <c r="G352" s="10" t="s">
        <v>123</v>
      </c>
      <c r="H352" s="10"/>
      <c r="I352" s="16" t="s">
        <v>184</v>
      </c>
      <c r="J352" s="10"/>
      <c r="K352" s="10"/>
      <c r="L352" s="16"/>
      <c r="M352" s="16"/>
      <c r="N352" s="16"/>
      <c r="O352" s="11">
        <v>0</v>
      </c>
      <c r="P352" s="11">
        <v>1</v>
      </c>
      <c r="Q352" s="11"/>
      <c r="R352" s="11"/>
      <c r="S352" s="12" t="s">
        <v>128</v>
      </c>
      <c r="T352" s="12" t="s">
        <v>46</v>
      </c>
      <c r="U352" s="12" t="s">
        <v>47</v>
      </c>
      <c r="V352" s="12" t="s">
        <v>48</v>
      </c>
      <c r="W352" s="12" t="s">
        <v>49</v>
      </c>
      <c r="X352" s="12" t="s">
        <v>54</v>
      </c>
      <c r="Y352" s="12" t="s">
        <v>129</v>
      </c>
      <c r="Z352" s="12" t="s">
        <v>130</v>
      </c>
      <c r="AA352" s="12" t="s">
        <v>50</v>
      </c>
      <c r="AB352" s="12" t="s">
        <v>132</v>
      </c>
      <c r="AC352" s="12" t="s">
        <v>50</v>
      </c>
      <c r="AD352" s="12" t="s">
        <v>50</v>
      </c>
      <c r="AE352" s="12" t="s">
        <v>52</v>
      </c>
      <c r="AF352" s="12" t="s">
        <v>50</v>
      </c>
      <c r="AG352" s="12" t="s">
        <v>773</v>
      </c>
      <c r="AH352" s="19" t="s">
        <v>54</v>
      </c>
    </row>
    <row r="353" spans="2:34" ht="22.5" customHeight="1" x14ac:dyDescent="0.25">
      <c r="B353" s="18" t="s">
        <v>368</v>
      </c>
      <c r="C353" s="9" t="s">
        <v>779</v>
      </c>
      <c r="D353" s="10" t="s">
        <v>782</v>
      </c>
      <c r="E353" s="10"/>
      <c r="F353" s="10" t="s">
        <v>772</v>
      </c>
      <c r="G353" s="10" t="s">
        <v>123</v>
      </c>
      <c r="H353" s="10"/>
      <c r="I353" s="16" t="s">
        <v>184</v>
      </c>
      <c r="J353" s="10"/>
      <c r="K353" s="10"/>
      <c r="L353" s="16"/>
      <c r="M353" s="16"/>
      <c r="N353" s="16"/>
      <c r="O353" s="11">
        <v>0</v>
      </c>
      <c r="P353" s="11">
        <v>1</v>
      </c>
      <c r="Q353" s="11"/>
      <c r="R353" s="11"/>
      <c r="S353" s="12" t="s">
        <v>128</v>
      </c>
      <c r="T353" s="12" t="s">
        <v>46</v>
      </c>
      <c r="U353" s="12" t="s">
        <v>47</v>
      </c>
      <c r="V353" s="12" t="s">
        <v>48</v>
      </c>
      <c r="W353" s="12" t="s">
        <v>49</v>
      </c>
      <c r="X353" s="12" t="s">
        <v>54</v>
      </c>
      <c r="Y353" s="12" t="s">
        <v>129</v>
      </c>
      <c r="Z353" s="12" t="s">
        <v>130</v>
      </c>
      <c r="AA353" s="12" t="s">
        <v>50</v>
      </c>
      <c r="AB353" s="12" t="s">
        <v>132</v>
      </c>
      <c r="AC353" s="12" t="s">
        <v>50</v>
      </c>
      <c r="AD353" s="12" t="s">
        <v>50</v>
      </c>
      <c r="AE353" s="12" t="s">
        <v>52</v>
      </c>
      <c r="AF353" s="12" t="s">
        <v>50</v>
      </c>
      <c r="AG353" s="12" t="s">
        <v>773</v>
      </c>
      <c r="AH353" s="19" t="s">
        <v>54</v>
      </c>
    </row>
    <row r="354" spans="2:34" ht="22.5" customHeight="1" x14ac:dyDescent="0.25">
      <c r="B354" s="18" t="s">
        <v>368</v>
      </c>
      <c r="C354" s="9" t="s">
        <v>783</v>
      </c>
      <c r="D354" s="10" t="s">
        <v>784</v>
      </c>
      <c r="E354" s="10"/>
      <c r="F354" s="10" t="s">
        <v>681</v>
      </c>
      <c r="G354" s="10" t="s">
        <v>657</v>
      </c>
      <c r="H354" s="10"/>
      <c r="I354" s="16" t="s">
        <v>184</v>
      </c>
      <c r="J354" s="10"/>
      <c r="K354" s="10"/>
      <c r="L354" s="16"/>
      <c r="M354" s="16"/>
      <c r="N354" s="16"/>
      <c r="O354" s="11">
        <v>0</v>
      </c>
      <c r="P354" s="11">
        <v>1</v>
      </c>
      <c r="Q354" s="11"/>
      <c r="R354" s="11"/>
      <c r="S354" s="12" t="s">
        <v>683</v>
      </c>
      <c r="T354" s="12" t="s">
        <v>50</v>
      </c>
      <c r="U354" s="12" t="s">
        <v>50</v>
      </c>
      <c r="V354" s="12" t="s">
        <v>50</v>
      </c>
      <c r="W354" s="12" t="s">
        <v>50</v>
      </c>
      <c r="X354" s="12" t="s">
        <v>50</v>
      </c>
      <c r="Y354" s="12" t="s">
        <v>50</v>
      </c>
      <c r="Z354" s="12" t="s">
        <v>50</v>
      </c>
      <c r="AA354" s="12" t="s">
        <v>50</v>
      </c>
      <c r="AB354" s="12" t="s">
        <v>50</v>
      </c>
      <c r="AC354" s="12" t="s">
        <v>50</v>
      </c>
      <c r="AD354" s="12" t="s">
        <v>50</v>
      </c>
      <c r="AE354" s="12" t="s">
        <v>50</v>
      </c>
      <c r="AF354" s="12" t="s">
        <v>50</v>
      </c>
      <c r="AG354" s="12" t="s">
        <v>50</v>
      </c>
      <c r="AH354" s="19" t="s">
        <v>54</v>
      </c>
    </row>
    <row r="355" spans="2:34" ht="22.5" customHeight="1" x14ac:dyDescent="0.25">
      <c r="B355" s="18" t="s">
        <v>368</v>
      </c>
      <c r="C355" s="9" t="s">
        <v>783</v>
      </c>
      <c r="D355" s="10" t="s">
        <v>784</v>
      </c>
      <c r="E355" s="10"/>
      <c r="F355" s="10" t="s">
        <v>681</v>
      </c>
      <c r="G355" s="10" t="s">
        <v>682</v>
      </c>
      <c r="H355" s="10"/>
      <c r="I355" s="16" t="s">
        <v>184</v>
      </c>
      <c r="J355" s="10"/>
      <c r="K355" s="10"/>
      <c r="L355" s="16"/>
      <c r="M355" s="16"/>
      <c r="N355" s="16"/>
      <c r="O355" s="11">
        <v>0</v>
      </c>
      <c r="P355" s="11">
        <v>1</v>
      </c>
      <c r="Q355" s="11"/>
      <c r="R355" s="11"/>
      <c r="S355" s="12" t="s">
        <v>683</v>
      </c>
      <c r="T355" s="12" t="s">
        <v>50</v>
      </c>
      <c r="U355" s="12" t="s">
        <v>50</v>
      </c>
      <c r="V355" s="12" t="s">
        <v>50</v>
      </c>
      <c r="W355" s="12" t="s">
        <v>50</v>
      </c>
      <c r="X355" s="12" t="s">
        <v>50</v>
      </c>
      <c r="Y355" s="12" t="s">
        <v>50</v>
      </c>
      <c r="Z355" s="12" t="s">
        <v>50</v>
      </c>
      <c r="AA355" s="12" t="s">
        <v>50</v>
      </c>
      <c r="AB355" s="12" t="s">
        <v>50</v>
      </c>
      <c r="AC355" s="12" t="s">
        <v>50</v>
      </c>
      <c r="AD355" s="12" t="s">
        <v>50</v>
      </c>
      <c r="AE355" s="12" t="s">
        <v>50</v>
      </c>
      <c r="AF355" s="12" t="s">
        <v>50</v>
      </c>
      <c r="AG355" s="12" t="s">
        <v>50</v>
      </c>
      <c r="AH355" s="19" t="s">
        <v>54</v>
      </c>
    </row>
    <row r="356" spans="2:34" ht="22.5" customHeight="1" x14ac:dyDescent="0.25">
      <c r="B356" s="18" t="s">
        <v>368</v>
      </c>
      <c r="C356" s="9" t="s">
        <v>785</v>
      </c>
      <c r="D356" s="10" t="s">
        <v>786</v>
      </c>
      <c r="E356" s="10"/>
      <c r="F356" s="10" t="s">
        <v>681</v>
      </c>
      <c r="G356" s="10" t="s">
        <v>657</v>
      </c>
      <c r="H356" s="10"/>
      <c r="I356" s="16" t="s">
        <v>184</v>
      </c>
      <c r="J356" s="10"/>
      <c r="K356" s="10"/>
      <c r="L356" s="16"/>
      <c r="M356" s="16"/>
      <c r="N356" s="16"/>
      <c r="O356" s="11">
        <v>0</v>
      </c>
      <c r="P356" s="11">
        <v>1</v>
      </c>
      <c r="Q356" s="11"/>
      <c r="R356" s="11"/>
      <c r="S356" s="12" t="s">
        <v>683</v>
      </c>
      <c r="T356" s="12" t="s">
        <v>50</v>
      </c>
      <c r="U356" s="12" t="s">
        <v>50</v>
      </c>
      <c r="V356" s="12" t="s">
        <v>50</v>
      </c>
      <c r="W356" s="12" t="s">
        <v>50</v>
      </c>
      <c r="X356" s="12" t="s">
        <v>50</v>
      </c>
      <c r="Y356" s="12" t="s">
        <v>50</v>
      </c>
      <c r="Z356" s="12" t="s">
        <v>50</v>
      </c>
      <c r="AA356" s="12" t="s">
        <v>50</v>
      </c>
      <c r="AB356" s="12" t="s">
        <v>50</v>
      </c>
      <c r="AC356" s="12" t="s">
        <v>50</v>
      </c>
      <c r="AD356" s="12" t="s">
        <v>50</v>
      </c>
      <c r="AE356" s="12" t="s">
        <v>50</v>
      </c>
      <c r="AF356" s="12" t="s">
        <v>50</v>
      </c>
      <c r="AG356" s="12" t="s">
        <v>50</v>
      </c>
      <c r="AH356" s="19" t="s">
        <v>54</v>
      </c>
    </row>
    <row r="357" spans="2:34" ht="22.5" customHeight="1" x14ac:dyDescent="0.25">
      <c r="B357" s="18" t="s">
        <v>368</v>
      </c>
      <c r="C357" s="9" t="s">
        <v>787</v>
      </c>
      <c r="D357" s="10" t="s">
        <v>788</v>
      </c>
      <c r="E357" s="10"/>
      <c r="F357" s="10" t="s">
        <v>681</v>
      </c>
      <c r="G357" s="10" t="s">
        <v>657</v>
      </c>
      <c r="H357" s="10"/>
      <c r="I357" s="16" t="s">
        <v>184</v>
      </c>
      <c r="J357" s="10"/>
      <c r="K357" s="10"/>
      <c r="L357" s="16"/>
      <c r="M357" s="16"/>
      <c r="N357" s="16"/>
      <c r="O357" s="11">
        <v>0</v>
      </c>
      <c r="P357" s="11">
        <v>2</v>
      </c>
      <c r="Q357" s="11"/>
      <c r="R357" s="11"/>
      <c r="S357" s="12" t="s">
        <v>683</v>
      </c>
      <c r="T357" s="12" t="s">
        <v>50</v>
      </c>
      <c r="U357" s="12" t="s">
        <v>50</v>
      </c>
      <c r="V357" s="12" t="s">
        <v>50</v>
      </c>
      <c r="W357" s="12" t="s">
        <v>50</v>
      </c>
      <c r="X357" s="12" t="s">
        <v>50</v>
      </c>
      <c r="Y357" s="12" t="s">
        <v>50</v>
      </c>
      <c r="Z357" s="12" t="s">
        <v>50</v>
      </c>
      <c r="AA357" s="12" t="s">
        <v>50</v>
      </c>
      <c r="AB357" s="12" t="s">
        <v>50</v>
      </c>
      <c r="AC357" s="12" t="s">
        <v>50</v>
      </c>
      <c r="AD357" s="12" t="s">
        <v>50</v>
      </c>
      <c r="AE357" s="12" t="s">
        <v>50</v>
      </c>
      <c r="AF357" s="12" t="s">
        <v>50</v>
      </c>
      <c r="AG357" s="12" t="s">
        <v>50</v>
      </c>
      <c r="AH357" s="19" t="s">
        <v>54</v>
      </c>
    </row>
    <row r="358" spans="2:34" ht="22.5" customHeight="1" x14ac:dyDescent="0.25">
      <c r="B358" s="18" t="s">
        <v>368</v>
      </c>
      <c r="C358" s="9" t="s">
        <v>789</v>
      </c>
      <c r="D358" s="10" t="s">
        <v>790</v>
      </c>
      <c r="E358" s="10"/>
      <c r="F358" s="10" t="s">
        <v>681</v>
      </c>
      <c r="G358" s="10" t="s">
        <v>657</v>
      </c>
      <c r="H358" s="10"/>
      <c r="I358" s="16" t="s">
        <v>184</v>
      </c>
      <c r="J358" s="10"/>
      <c r="K358" s="10"/>
      <c r="L358" s="16"/>
      <c r="M358" s="16"/>
      <c r="N358" s="16"/>
      <c r="O358" s="11">
        <v>0</v>
      </c>
      <c r="P358" s="11">
        <v>1</v>
      </c>
      <c r="Q358" s="11"/>
      <c r="R358" s="11"/>
      <c r="S358" s="12" t="s">
        <v>683</v>
      </c>
      <c r="T358" s="12" t="s">
        <v>50</v>
      </c>
      <c r="U358" s="12" t="s">
        <v>50</v>
      </c>
      <c r="V358" s="12" t="s">
        <v>50</v>
      </c>
      <c r="W358" s="12" t="s">
        <v>50</v>
      </c>
      <c r="X358" s="12" t="s">
        <v>50</v>
      </c>
      <c r="Y358" s="12" t="s">
        <v>50</v>
      </c>
      <c r="Z358" s="12" t="s">
        <v>50</v>
      </c>
      <c r="AA358" s="12" t="s">
        <v>50</v>
      </c>
      <c r="AB358" s="12" t="s">
        <v>50</v>
      </c>
      <c r="AC358" s="12" t="s">
        <v>50</v>
      </c>
      <c r="AD358" s="12" t="s">
        <v>50</v>
      </c>
      <c r="AE358" s="12" t="s">
        <v>50</v>
      </c>
      <c r="AF358" s="12" t="s">
        <v>50</v>
      </c>
      <c r="AG358" s="12" t="s">
        <v>50</v>
      </c>
      <c r="AH358" s="19" t="s">
        <v>54</v>
      </c>
    </row>
    <row r="359" spans="2:34" ht="22.5" customHeight="1" x14ac:dyDescent="0.25">
      <c r="B359" s="18" t="s">
        <v>368</v>
      </c>
      <c r="C359" s="9" t="s">
        <v>789</v>
      </c>
      <c r="D359" s="10" t="s">
        <v>791</v>
      </c>
      <c r="E359" s="10"/>
      <c r="F359" s="10" t="s">
        <v>681</v>
      </c>
      <c r="G359" s="10" t="s">
        <v>657</v>
      </c>
      <c r="H359" s="10"/>
      <c r="I359" s="16" t="s">
        <v>184</v>
      </c>
      <c r="J359" s="10"/>
      <c r="K359" s="10"/>
      <c r="L359" s="16"/>
      <c r="M359" s="16"/>
      <c r="N359" s="16"/>
      <c r="O359" s="11">
        <v>0</v>
      </c>
      <c r="P359" s="11">
        <v>1</v>
      </c>
      <c r="Q359" s="11"/>
      <c r="R359" s="11"/>
      <c r="S359" s="12" t="s">
        <v>683</v>
      </c>
      <c r="T359" s="12" t="s">
        <v>50</v>
      </c>
      <c r="U359" s="12" t="s">
        <v>50</v>
      </c>
      <c r="V359" s="12" t="s">
        <v>50</v>
      </c>
      <c r="W359" s="12" t="s">
        <v>50</v>
      </c>
      <c r="X359" s="12" t="s">
        <v>50</v>
      </c>
      <c r="Y359" s="12" t="s">
        <v>50</v>
      </c>
      <c r="Z359" s="12" t="s">
        <v>50</v>
      </c>
      <c r="AA359" s="12" t="s">
        <v>50</v>
      </c>
      <c r="AB359" s="12" t="s">
        <v>50</v>
      </c>
      <c r="AC359" s="12" t="s">
        <v>50</v>
      </c>
      <c r="AD359" s="12" t="s">
        <v>50</v>
      </c>
      <c r="AE359" s="12" t="s">
        <v>50</v>
      </c>
      <c r="AF359" s="12" t="s">
        <v>50</v>
      </c>
      <c r="AG359" s="12" t="s">
        <v>50</v>
      </c>
      <c r="AH359" s="19" t="s">
        <v>54</v>
      </c>
    </row>
    <row r="360" spans="2:34" ht="22.5" customHeight="1" x14ac:dyDescent="0.25">
      <c r="B360" s="18" t="s">
        <v>368</v>
      </c>
      <c r="C360" s="9" t="s">
        <v>792</v>
      </c>
      <c r="D360" s="10" t="s">
        <v>793</v>
      </c>
      <c r="E360" s="10"/>
      <c r="F360" s="10" t="s">
        <v>681</v>
      </c>
      <c r="G360" s="10" t="s">
        <v>657</v>
      </c>
      <c r="H360" s="10"/>
      <c r="I360" s="16" t="s">
        <v>184</v>
      </c>
      <c r="J360" s="10"/>
      <c r="K360" s="10"/>
      <c r="L360" s="16"/>
      <c r="M360" s="16"/>
      <c r="N360" s="16"/>
      <c r="O360" s="11">
        <v>0</v>
      </c>
      <c r="P360" s="11">
        <v>1</v>
      </c>
      <c r="Q360" s="11"/>
      <c r="R360" s="11"/>
      <c r="S360" s="12" t="s">
        <v>683</v>
      </c>
      <c r="T360" s="12" t="s">
        <v>50</v>
      </c>
      <c r="U360" s="12" t="s">
        <v>50</v>
      </c>
      <c r="V360" s="12" t="s">
        <v>50</v>
      </c>
      <c r="W360" s="12" t="s">
        <v>50</v>
      </c>
      <c r="X360" s="12" t="s">
        <v>50</v>
      </c>
      <c r="Y360" s="12" t="s">
        <v>50</v>
      </c>
      <c r="Z360" s="12" t="s">
        <v>50</v>
      </c>
      <c r="AA360" s="12" t="s">
        <v>50</v>
      </c>
      <c r="AB360" s="12" t="s">
        <v>50</v>
      </c>
      <c r="AC360" s="12" t="s">
        <v>50</v>
      </c>
      <c r="AD360" s="12" t="s">
        <v>50</v>
      </c>
      <c r="AE360" s="12" t="s">
        <v>50</v>
      </c>
      <c r="AF360" s="12" t="s">
        <v>50</v>
      </c>
      <c r="AG360" s="12" t="s">
        <v>50</v>
      </c>
      <c r="AH360" s="19" t="s">
        <v>54</v>
      </c>
    </row>
    <row r="361" spans="2:34" ht="22.5" customHeight="1" x14ac:dyDescent="0.25">
      <c r="B361" s="18" t="s">
        <v>368</v>
      </c>
      <c r="C361" s="9" t="s">
        <v>792</v>
      </c>
      <c r="D361" s="10" t="s">
        <v>794</v>
      </c>
      <c r="E361" s="10"/>
      <c r="F361" s="10" t="s">
        <v>681</v>
      </c>
      <c r="G361" s="10" t="s">
        <v>657</v>
      </c>
      <c r="H361" s="10"/>
      <c r="I361" s="16" t="s">
        <v>184</v>
      </c>
      <c r="J361" s="10"/>
      <c r="K361" s="10"/>
      <c r="L361" s="16"/>
      <c r="M361" s="16"/>
      <c r="N361" s="16"/>
      <c r="O361" s="11">
        <v>0</v>
      </c>
      <c r="P361" s="11">
        <v>1</v>
      </c>
      <c r="Q361" s="11"/>
      <c r="R361" s="11"/>
      <c r="S361" s="12" t="s">
        <v>683</v>
      </c>
      <c r="T361" s="12" t="s">
        <v>50</v>
      </c>
      <c r="U361" s="12" t="s">
        <v>50</v>
      </c>
      <c r="V361" s="12" t="s">
        <v>50</v>
      </c>
      <c r="W361" s="12" t="s">
        <v>50</v>
      </c>
      <c r="X361" s="12" t="s">
        <v>50</v>
      </c>
      <c r="Y361" s="12" t="s">
        <v>50</v>
      </c>
      <c r="Z361" s="12" t="s">
        <v>50</v>
      </c>
      <c r="AA361" s="12" t="s">
        <v>50</v>
      </c>
      <c r="AB361" s="12" t="s">
        <v>50</v>
      </c>
      <c r="AC361" s="12" t="s">
        <v>50</v>
      </c>
      <c r="AD361" s="12" t="s">
        <v>50</v>
      </c>
      <c r="AE361" s="12" t="s">
        <v>50</v>
      </c>
      <c r="AF361" s="12" t="s">
        <v>50</v>
      </c>
      <c r="AG361" s="12" t="s">
        <v>50</v>
      </c>
      <c r="AH361" s="19" t="s">
        <v>54</v>
      </c>
    </row>
    <row r="362" spans="2:34" ht="22.5" customHeight="1" x14ac:dyDescent="0.25">
      <c r="B362" s="18" t="s">
        <v>368</v>
      </c>
      <c r="C362" s="9" t="s">
        <v>792</v>
      </c>
      <c r="D362" s="10" t="s">
        <v>795</v>
      </c>
      <c r="E362" s="10"/>
      <c r="F362" s="10" t="s">
        <v>681</v>
      </c>
      <c r="G362" s="10" t="s">
        <v>657</v>
      </c>
      <c r="H362" s="10"/>
      <c r="I362" s="16" t="s">
        <v>184</v>
      </c>
      <c r="J362" s="10"/>
      <c r="K362" s="10"/>
      <c r="L362" s="16"/>
      <c r="M362" s="16"/>
      <c r="N362" s="16"/>
      <c r="O362" s="11">
        <v>0</v>
      </c>
      <c r="P362" s="11">
        <v>1</v>
      </c>
      <c r="Q362" s="11"/>
      <c r="R362" s="11"/>
      <c r="S362" s="12" t="s">
        <v>683</v>
      </c>
      <c r="T362" s="12" t="s">
        <v>50</v>
      </c>
      <c r="U362" s="12" t="s">
        <v>50</v>
      </c>
      <c r="V362" s="12" t="s">
        <v>50</v>
      </c>
      <c r="W362" s="12" t="s">
        <v>50</v>
      </c>
      <c r="X362" s="12" t="s">
        <v>50</v>
      </c>
      <c r="Y362" s="12" t="s">
        <v>50</v>
      </c>
      <c r="Z362" s="12" t="s">
        <v>50</v>
      </c>
      <c r="AA362" s="12" t="s">
        <v>50</v>
      </c>
      <c r="AB362" s="12" t="s">
        <v>50</v>
      </c>
      <c r="AC362" s="12" t="s">
        <v>50</v>
      </c>
      <c r="AD362" s="12" t="s">
        <v>50</v>
      </c>
      <c r="AE362" s="12" t="s">
        <v>50</v>
      </c>
      <c r="AF362" s="12" t="s">
        <v>50</v>
      </c>
      <c r="AG362" s="12" t="s">
        <v>50</v>
      </c>
      <c r="AH362" s="19" t="s">
        <v>54</v>
      </c>
    </row>
    <row r="363" spans="2:34" ht="22.5" customHeight="1" x14ac:dyDescent="0.25">
      <c r="B363" s="18" t="s">
        <v>35</v>
      </c>
      <c r="C363" s="9" t="s">
        <v>796</v>
      </c>
      <c r="D363" s="10" t="s">
        <v>797</v>
      </c>
      <c r="E363" s="10"/>
      <c r="F363" s="10" t="s">
        <v>681</v>
      </c>
      <c r="G363" s="10" t="s">
        <v>657</v>
      </c>
      <c r="H363" s="10"/>
      <c r="I363" s="16" t="s">
        <v>184</v>
      </c>
      <c r="J363" s="10"/>
      <c r="K363" s="10"/>
      <c r="L363" s="16"/>
      <c r="M363" s="16"/>
      <c r="N363" s="16"/>
      <c r="O363" s="11">
        <v>0</v>
      </c>
      <c r="P363" s="11">
        <v>1</v>
      </c>
      <c r="Q363" s="11"/>
      <c r="R363" s="11"/>
      <c r="S363" s="12" t="s">
        <v>683</v>
      </c>
      <c r="T363" s="12" t="s">
        <v>50</v>
      </c>
      <c r="U363" s="12" t="s">
        <v>50</v>
      </c>
      <c r="V363" s="12" t="s">
        <v>50</v>
      </c>
      <c r="W363" s="12" t="s">
        <v>50</v>
      </c>
      <c r="X363" s="12" t="s">
        <v>50</v>
      </c>
      <c r="Y363" s="12" t="s">
        <v>50</v>
      </c>
      <c r="Z363" s="12" t="s">
        <v>50</v>
      </c>
      <c r="AA363" s="12" t="s">
        <v>50</v>
      </c>
      <c r="AB363" s="12" t="s">
        <v>50</v>
      </c>
      <c r="AC363" s="12" t="s">
        <v>50</v>
      </c>
      <c r="AD363" s="12" t="s">
        <v>50</v>
      </c>
      <c r="AE363" s="12" t="s">
        <v>50</v>
      </c>
      <c r="AF363" s="12" t="s">
        <v>50</v>
      </c>
      <c r="AG363" s="12" t="s">
        <v>50</v>
      </c>
      <c r="AH363" s="19" t="s">
        <v>54</v>
      </c>
    </row>
    <row r="364" spans="2:34" ht="22.5" customHeight="1" x14ac:dyDescent="0.25">
      <c r="B364" s="18" t="s">
        <v>35</v>
      </c>
      <c r="C364" s="9" t="s">
        <v>796</v>
      </c>
      <c r="D364" s="10" t="s">
        <v>797</v>
      </c>
      <c r="E364" s="10"/>
      <c r="F364" s="10" t="s">
        <v>681</v>
      </c>
      <c r="G364" s="10" t="s">
        <v>682</v>
      </c>
      <c r="H364" s="10"/>
      <c r="I364" s="16" t="s">
        <v>184</v>
      </c>
      <c r="J364" s="10"/>
      <c r="K364" s="10"/>
      <c r="L364" s="16"/>
      <c r="M364" s="16"/>
      <c r="N364" s="16"/>
      <c r="O364" s="11">
        <v>0</v>
      </c>
      <c r="P364" s="11">
        <v>2</v>
      </c>
      <c r="Q364" s="11"/>
      <c r="R364" s="11"/>
      <c r="S364" s="12" t="s">
        <v>683</v>
      </c>
      <c r="T364" s="12" t="s">
        <v>50</v>
      </c>
      <c r="U364" s="12" t="s">
        <v>50</v>
      </c>
      <c r="V364" s="12" t="s">
        <v>50</v>
      </c>
      <c r="W364" s="12" t="s">
        <v>50</v>
      </c>
      <c r="X364" s="12" t="s">
        <v>50</v>
      </c>
      <c r="Y364" s="12" t="s">
        <v>50</v>
      </c>
      <c r="Z364" s="12" t="s">
        <v>50</v>
      </c>
      <c r="AA364" s="12" t="s">
        <v>50</v>
      </c>
      <c r="AB364" s="12" t="s">
        <v>50</v>
      </c>
      <c r="AC364" s="12" t="s">
        <v>50</v>
      </c>
      <c r="AD364" s="12" t="s">
        <v>50</v>
      </c>
      <c r="AE364" s="12" t="s">
        <v>50</v>
      </c>
      <c r="AF364" s="12" t="s">
        <v>50</v>
      </c>
      <c r="AG364" s="12" t="s">
        <v>50</v>
      </c>
      <c r="AH364" s="19" t="s">
        <v>54</v>
      </c>
    </row>
    <row r="365" spans="2:34" ht="22.5" customHeight="1" x14ac:dyDescent="0.25">
      <c r="B365" s="18" t="s">
        <v>35</v>
      </c>
      <c r="C365" s="9" t="s">
        <v>609</v>
      </c>
      <c r="D365" s="10" t="s">
        <v>798</v>
      </c>
      <c r="E365" s="10"/>
      <c r="F365" s="10" t="s">
        <v>38</v>
      </c>
      <c r="G365" s="10" t="s">
        <v>39</v>
      </c>
      <c r="H365" s="10"/>
      <c r="I365" s="16" t="s">
        <v>184</v>
      </c>
      <c r="J365" s="10"/>
      <c r="K365" s="10"/>
      <c r="L365" s="16"/>
      <c r="M365" s="16"/>
      <c r="N365" s="16"/>
      <c r="O365" s="11">
        <v>0</v>
      </c>
      <c r="P365" s="11">
        <v>1</v>
      </c>
      <c r="Q365" s="11"/>
      <c r="R365" s="11"/>
      <c r="S365" s="12" t="s">
        <v>45</v>
      </c>
      <c r="T365" s="12" t="s">
        <v>46</v>
      </c>
      <c r="U365" s="12" t="s">
        <v>47</v>
      </c>
      <c r="V365" s="12" t="s">
        <v>48</v>
      </c>
      <c r="W365" s="12" t="s">
        <v>49</v>
      </c>
      <c r="X365" s="12" t="s">
        <v>50</v>
      </c>
      <c r="Y365" s="12" t="s">
        <v>50</v>
      </c>
      <c r="Z365" s="12" t="s">
        <v>50</v>
      </c>
      <c r="AA365" s="12" t="s">
        <v>50</v>
      </c>
      <c r="AB365" s="12" t="s">
        <v>51</v>
      </c>
      <c r="AC365" s="12" t="s">
        <v>50</v>
      </c>
      <c r="AD365" s="12" t="s">
        <v>50</v>
      </c>
      <c r="AE365" s="12" t="s">
        <v>52</v>
      </c>
      <c r="AF365" s="12" t="s">
        <v>53</v>
      </c>
      <c r="AG365" s="12" t="s">
        <v>50</v>
      </c>
      <c r="AH365" s="19" t="s">
        <v>54</v>
      </c>
    </row>
    <row r="366" spans="2:34" ht="22.5" customHeight="1" x14ac:dyDescent="0.25">
      <c r="B366" s="18" t="s">
        <v>35</v>
      </c>
      <c r="C366" s="9" t="s">
        <v>609</v>
      </c>
      <c r="D366" s="10" t="s">
        <v>799</v>
      </c>
      <c r="E366" s="10"/>
      <c r="F366" s="10" t="s">
        <v>38</v>
      </c>
      <c r="G366" s="10" t="s">
        <v>39</v>
      </c>
      <c r="H366" s="10"/>
      <c r="I366" s="16" t="s">
        <v>184</v>
      </c>
      <c r="J366" s="10"/>
      <c r="K366" s="10"/>
      <c r="L366" s="16"/>
      <c r="M366" s="16"/>
      <c r="N366" s="16"/>
      <c r="O366" s="11">
        <v>0</v>
      </c>
      <c r="P366" s="11">
        <v>1</v>
      </c>
      <c r="Q366" s="11"/>
      <c r="R366" s="11"/>
      <c r="S366" s="12" t="s">
        <v>45</v>
      </c>
      <c r="T366" s="12" t="s">
        <v>46</v>
      </c>
      <c r="U366" s="12" t="s">
        <v>47</v>
      </c>
      <c r="V366" s="12" t="s">
        <v>48</v>
      </c>
      <c r="W366" s="12" t="s">
        <v>49</v>
      </c>
      <c r="X366" s="12" t="s">
        <v>50</v>
      </c>
      <c r="Y366" s="12" t="s">
        <v>50</v>
      </c>
      <c r="Z366" s="12" t="s">
        <v>50</v>
      </c>
      <c r="AA366" s="12" t="s">
        <v>50</v>
      </c>
      <c r="AB366" s="12" t="s">
        <v>51</v>
      </c>
      <c r="AC366" s="12" t="s">
        <v>50</v>
      </c>
      <c r="AD366" s="12" t="s">
        <v>50</v>
      </c>
      <c r="AE366" s="12" t="s">
        <v>52</v>
      </c>
      <c r="AF366" s="12" t="s">
        <v>53</v>
      </c>
      <c r="AG366" s="12" t="s">
        <v>50</v>
      </c>
      <c r="AH366" s="19" t="s">
        <v>54</v>
      </c>
    </row>
    <row r="367" spans="2:34" ht="22.5" customHeight="1" x14ac:dyDescent="0.25">
      <c r="B367" s="18" t="s">
        <v>35</v>
      </c>
      <c r="C367" s="9" t="s">
        <v>58</v>
      </c>
      <c r="D367" s="10" t="s">
        <v>800</v>
      </c>
      <c r="E367" s="10"/>
      <c r="F367" s="10" t="s">
        <v>38</v>
      </c>
      <c r="G367" s="10" t="s">
        <v>39</v>
      </c>
      <c r="H367" s="10"/>
      <c r="I367" s="16" t="s">
        <v>184</v>
      </c>
      <c r="J367" s="10"/>
      <c r="K367" s="10"/>
      <c r="L367" s="16"/>
      <c r="M367" s="16"/>
      <c r="N367" s="16"/>
      <c r="O367" s="11">
        <v>0</v>
      </c>
      <c r="P367" s="11">
        <v>1</v>
      </c>
      <c r="Q367" s="11"/>
      <c r="R367" s="11"/>
      <c r="S367" s="12" t="s">
        <v>45</v>
      </c>
      <c r="T367" s="12" t="s">
        <v>46</v>
      </c>
      <c r="U367" s="12" t="s">
        <v>47</v>
      </c>
      <c r="V367" s="12" t="s">
        <v>48</v>
      </c>
      <c r="W367" s="12" t="s">
        <v>49</v>
      </c>
      <c r="X367" s="12" t="s">
        <v>50</v>
      </c>
      <c r="Y367" s="12" t="s">
        <v>50</v>
      </c>
      <c r="Z367" s="12" t="s">
        <v>50</v>
      </c>
      <c r="AA367" s="12" t="s">
        <v>50</v>
      </c>
      <c r="AB367" s="12" t="s">
        <v>51</v>
      </c>
      <c r="AC367" s="12" t="s">
        <v>50</v>
      </c>
      <c r="AD367" s="12" t="s">
        <v>50</v>
      </c>
      <c r="AE367" s="12" t="s">
        <v>52</v>
      </c>
      <c r="AF367" s="12" t="s">
        <v>53</v>
      </c>
      <c r="AG367" s="12" t="s">
        <v>50</v>
      </c>
      <c r="AH367" s="19" t="s">
        <v>54</v>
      </c>
    </row>
    <row r="368" spans="2:34" ht="22.5" customHeight="1" x14ac:dyDescent="0.25">
      <c r="B368" s="18" t="s">
        <v>35</v>
      </c>
      <c r="C368" s="9" t="s">
        <v>58</v>
      </c>
      <c r="D368" s="10" t="s">
        <v>801</v>
      </c>
      <c r="E368" s="10"/>
      <c r="F368" s="10" t="s">
        <v>38</v>
      </c>
      <c r="G368" s="10" t="s">
        <v>39</v>
      </c>
      <c r="H368" s="10"/>
      <c r="I368" s="16" t="s">
        <v>184</v>
      </c>
      <c r="J368" s="10"/>
      <c r="K368" s="10"/>
      <c r="L368" s="16"/>
      <c r="M368" s="16"/>
      <c r="N368" s="16"/>
      <c r="O368" s="11">
        <v>0</v>
      </c>
      <c r="P368" s="11">
        <v>1</v>
      </c>
      <c r="Q368" s="11"/>
      <c r="R368" s="11"/>
      <c r="S368" s="12" t="s">
        <v>45</v>
      </c>
      <c r="T368" s="12" t="s">
        <v>46</v>
      </c>
      <c r="U368" s="12" t="s">
        <v>47</v>
      </c>
      <c r="V368" s="12" t="s">
        <v>48</v>
      </c>
      <c r="W368" s="12" t="s">
        <v>49</v>
      </c>
      <c r="X368" s="12" t="s">
        <v>50</v>
      </c>
      <c r="Y368" s="12" t="s">
        <v>50</v>
      </c>
      <c r="Z368" s="12" t="s">
        <v>50</v>
      </c>
      <c r="AA368" s="12" t="s">
        <v>50</v>
      </c>
      <c r="AB368" s="12" t="s">
        <v>51</v>
      </c>
      <c r="AC368" s="12" t="s">
        <v>50</v>
      </c>
      <c r="AD368" s="12" t="s">
        <v>50</v>
      </c>
      <c r="AE368" s="12" t="s">
        <v>52</v>
      </c>
      <c r="AF368" s="12" t="s">
        <v>53</v>
      </c>
      <c r="AG368" s="12" t="s">
        <v>50</v>
      </c>
      <c r="AH368" s="19" t="s">
        <v>54</v>
      </c>
    </row>
    <row r="369" spans="2:34" ht="22.5" customHeight="1" x14ac:dyDescent="0.25">
      <c r="B369" s="18" t="s">
        <v>35</v>
      </c>
      <c r="C369" s="9" t="s">
        <v>58</v>
      </c>
      <c r="D369" s="10" t="s">
        <v>802</v>
      </c>
      <c r="E369" s="10"/>
      <c r="F369" s="10" t="s">
        <v>38</v>
      </c>
      <c r="G369" s="10" t="s">
        <v>39</v>
      </c>
      <c r="H369" s="10"/>
      <c r="I369" s="16" t="s">
        <v>184</v>
      </c>
      <c r="J369" s="10"/>
      <c r="K369" s="10"/>
      <c r="L369" s="16"/>
      <c r="M369" s="16"/>
      <c r="N369" s="16"/>
      <c r="O369" s="11">
        <v>0</v>
      </c>
      <c r="P369" s="11">
        <v>1</v>
      </c>
      <c r="Q369" s="11"/>
      <c r="R369" s="11"/>
      <c r="S369" s="12" t="s">
        <v>45</v>
      </c>
      <c r="T369" s="12" t="s">
        <v>46</v>
      </c>
      <c r="U369" s="12" t="s">
        <v>47</v>
      </c>
      <c r="V369" s="12" t="s">
        <v>48</v>
      </c>
      <c r="W369" s="12" t="s">
        <v>49</v>
      </c>
      <c r="X369" s="12" t="s">
        <v>50</v>
      </c>
      <c r="Y369" s="12" t="s">
        <v>50</v>
      </c>
      <c r="Z369" s="12" t="s">
        <v>50</v>
      </c>
      <c r="AA369" s="12" t="s">
        <v>50</v>
      </c>
      <c r="AB369" s="12" t="s">
        <v>51</v>
      </c>
      <c r="AC369" s="12" t="s">
        <v>50</v>
      </c>
      <c r="AD369" s="12" t="s">
        <v>50</v>
      </c>
      <c r="AE369" s="12" t="s">
        <v>52</v>
      </c>
      <c r="AF369" s="12" t="s">
        <v>53</v>
      </c>
      <c r="AG369" s="12" t="s">
        <v>50</v>
      </c>
      <c r="AH369" s="19" t="s">
        <v>54</v>
      </c>
    </row>
    <row r="370" spans="2:34" ht="22.5" customHeight="1" x14ac:dyDescent="0.25">
      <c r="B370" s="18" t="s">
        <v>35</v>
      </c>
      <c r="C370" s="9" t="s">
        <v>803</v>
      </c>
      <c r="D370" s="10" t="s">
        <v>804</v>
      </c>
      <c r="E370" s="10"/>
      <c r="F370" s="10" t="s">
        <v>38</v>
      </c>
      <c r="G370" s="10" t="s">
        <v>39</v>
      </c>
      <c r="H370" s="10"/>
      <c r="I370" s="16" t="s">
        <v>184</v>
      </c>
      <c r="J370" s="10"/>
      <c r="K370" s="10"/>
      <c r="L370" s="16"/>
      <c r="M370" s="16"/>
      <c r="N370" s="16"/>
      <c r="O370" s="11">
        <v>0</v>
      </c>
      <c r="P370" s="11">
        <v>1</v>
      </c>
      <c r="Q370" s="11"/>
      <c r="R370" s="11"/>
      <c r="S370" s="12" t="s">
        <v>45</v>
      </c>
      <c r="T370" s="12" t="s">
        <v>46</v>
      </c>
      <c r="U370" s="12" t="s">
        <v>47</v>
      </c>
      <c r="V370" s="12" t="s">
        <v>48</v>
      </c>
      <c r="W370" s="12" t="s">
        <v>49</v>
      </c>
      <c r="X370" s="12" t="s">
        <v>50</v>
      </c>
      <c r="Y370" s="12" t="s">
        <v>50</v>
      </c>
      <c r="Z370" s="12" t="s">
        <v>50</v>
      </c>
      <c r="AA370" s="12" t="s">
        <v>50</v>
      </c>
      <c r="AB370" s="12" t="s">
        <v>51</v>
      </c>
      <c r="AC370" s="12" t="s">
        <v>50</v>
      </c>
      <c r="AD370" s="12" t="s">
        <v>50</v>
      </c>
      <c r="AE370" s="12" t="s">
        <v>52</v>
      </c>
      <c r="AF370" s="12" t="s">
        <v>53</v>
      </c>
      <c r="AG370" s="12" t="s">
        <v>50</v>
      </c>
      <c r="AH370" s="19" t="s">
        <v>54</v>
      </c>
    </row>
    <row r="371" spans="2:34" ht="22.5" customHeight="1" x14ac:dyDescent="0.25">
      <c r="B371" s="18" t="s">
        <v>35</v>
      </c>
      <c r="C371" s="9" t="s">
        <v>803</v>
      </c>
      <c r="D371" s="10" t="s">
        <v>805</v>
      </c>
      <c r="E371" s="10"/>
      <c r="F371" s="10" t="s">
        <v>38</v>
      </c>
      <c r="G371" s="10" t="s">
        <v>39</v>
      </c>
      <c r="H371" s="10"/>
      <c r="I371" s="16" t="s">
        <v>184</v>
      </c>
      <c r="J371" s="10"/>
      <c r="K371" s="10"/>
      <c r="L371" s="16"/>
      <c r="M371" s="16"/>
      <c r="N371" s="16"/>
      <c r="O371" s="11">
        <v>0</v>
      </c>
      <c r="P371" s="11">
        <v>1</v>
      </c>
      <c r="Q371" s="11"/>
      <c r="R371" s="11"/>
      <c r="S371" s="12" t="s">
        <v>45</v>
      </c>
      <c r="T371" s="12" t="s">
        <v>46</v>
      </c>
      <c r="U371" s="12" t="s">
        <v>47</v>
      </c>
      <c r="V371" s="12" t="s">
        <v>48</v>
      </c>
      <c r="W371" s="12" t="s">
        <v>49</v>
      </c>
      <c r="X371" s="12" t="s">
        <v>50</v>
      </c>
      <c r="Y371" s="12" t="s">
        <v>50</v>
      </c>
      <c r="Z371" s="12" t="s">
        <v>50</v>
      </c>
      <c r="AA371" s="12" t="s">
        <v>50</v>
      </c>
      <c r="AB371" s="12" t="s">
        <v>51</v>
      </c>
      <c r="AC371" s="12" t="s">
        <v>50</v>
      </c>
      <c r="AD371" s="12" t="s">
        <v>50</v>
      </c>
      <c r="AE371" s="12" t="s">
        <v>52</v>
      </c>
      <c r="AF371" s="12" t="s">
        <v>53</v>
      </c>
      <c r="AG371" s="12" t="s">
        <v>50</v>
      </c>
      <c r="AH371" s="19" t="s">
        <v>54</v>
      </c>
    </row>
    <row r="372" spans="2:34" ht="22.5" customHeight="1" x14ac:dyDescent="0.25">
      <c r="B372" s="18" t="s">
        <v>35</v>
      </c>
      <c r="C372" s="9" t="s">
        <v>803</v>
      </c>
      <c r="D372" s="10" t="s">
        <v>806</v>
      </c>
      <c r="E372" s="10"/>
      <c r="F372" s="10" t="s">
        <v>38</v>
      </c>
      <c r="G372" s="10" t="s">
        <v>39</v>
      </c>
      <c r="H372" s="10"/>
      <c r="I372" s="16" t="s">
        <v>184</v>
      </c>
      <c r="J372" s="10"/>
      <c r="K372" s="10"/>
      <c r="L372" s="16"/>
      <c r="M372" s="16"/>
      <c r="N372" s="16"/>
      <c r="O372" s="11">
        <v>0</v>
      </c>
      <c r="P372" s="11">
        <v>1</v>
      </c>
      <c r="Q372" s="11"/>
      <c r="R372" s="11"/>
      <c r="S372" s="12" t="s">
        <v>45</v>
      </c>
      <c r="T372" s="12" t="s">
        <v>46</v>
      </c>
      <c r="U372" s="12" t="s">
        <v>47</v>
      </c>
      <c r="V372" s="12" t="s">
        <v>48</v>
      </c>
      <c r="W372" s="12" t="s">
        <v>49</v>
      </c>
      <c r="X372" s="12" t="s">
        <v>50</v>
      </c>
      <c r="Y372" s="12" t="s">
        <v>50</v>
      </c>
      <c r="Z372" s="12" t="s">
        <v>50</v>
      </c>
      <c r="AA372" s="12" t="s">
        <v>50</v>
      </c>
      <c r="AB372" s="12" t="s">
        <v>51</v>
      </c>
      <c r="AC372" s="12" t="s">
        <v>50</v>
      </c>
      <c r="AD372" s="12" t="s">
        <v>50</v>
      </c>
      <c r="AE372" s="12" t="s">
        <v>52</v>
      </c>
      <c r="AF372" s="12" t="s">
        <v>53</v>
      </c>
      <c r="AG372" s="12" t="s">
        <v>50</v>
      </c>
      <c r="AH372" s="19" t="s">
        <v>54</v>
      </c>
    </row>
    <row r="373" spans="2:34" ht="22.5" customHeight="1" x14ac:dyDescent="0.25">
      <c r="B373" s="18" t="s">
        <v>35</v>
      </c>
      <c r="C373" s="9" t="s">
        <v>807</v>
      </c>
      <c r="D373" s="10" t="s">
        <v>808</v>
      </c>
      <c r="E373" s="10"/>
      <c r="F373" s="10" t="s">
        <v>38</v>
      </c>
      <c r="G373" s="10" t="s">
        <v>39</v>
      </c>
      <c r="H373" s="10"/>
      <c r="I373" s="16" t="s">
        <v>184</v>
      </c>
      <c r="J373" s="10"/>
      <c r="K373" s="10"/>
      <c r="L373" s="16"/>
      <c r="M373" s="16"/>
      <c r="N373" s="16"/>
      <c r="O373" s="11">
        <v>0</v>
      </c>
      <c r="P373" s="11">
        <v>1</v>
      </c>
      <c r="Q373" s="11"/>
      <c r="R373" s="11"/>
      <c r="S373" s="12" t="s">
        <v>45</v>
      </c>
      <c r="T373" s="12" t="s">
        <v>46</v>
      </c>
      <c r="U373" s="12" t="s">
        <v>47</v>
      </c>
      <c r="V373" s="12" t="s">
        <v>48</v>
      </c>
      <c r="W373" s="12" t="s">
        <v>49</v>
      </c>
      <c r="X373" s="12" t="s">
        <v>50</v>
      </c>
      <c r="Y373" s="12" t="s">
        <v>50</v>
      </c>
      <c r="Z373" s="12" t="s">
        <v>50</v>
      </c>
      <c r="AA373" s="12" t="s">
        <v>50</v>
      </c>
      <c r="AB373" s="12" t="s">
        <v>51</v>
      </c>
      <c r="AC373" s="12" t="s">
        <v>50</v>
      </c>
      <c r="AD373" s="12" t="s">
        <v>50</v>
      </c>
      <c r="AE373" s="12" t="s">
        <v>52</v>
      </c>
      <c r="AF373" s="12" t="s">
        <v>53</v>
      </c>
      <c r="AG373" s="12" t="s">
        <v>50</v>
      </c>
      <c r="AH373" s="19" t="s">
        <v>54</v>
      </c>
    </row>
    <row r="374" spans="2:34" ht="22.5" customHeight="1" x14ac:dyDescent="0.25">
      <c r="B374" s="18" t="s">
        <v>35</v>
      </c>
      <c r="C374" s="9" t="s">
        <v>807</v>
      </c>
      <c r="D374" s="10" t="s">
        <v>809</v>
      </c>
      <c r="E374" s="10"/>
      <c r="F374" s="10" t="s">
        <v>38</v>
      </c>
      <c r="G374" s="10" t="s">
        <v>39</v>
      </c>
      <c r="H374" s="10"/>
      <c r="I374" s="16" t="s">
        <v>184</v>
      </c>
      <c r="J374" s="10"/>
      <c r="K374" s="10"/>
      <c r="L374" s="16"/>
      <c r="M374" s="16"/>
      <c r="N374" s="16"/>
      <c r="O374" s="11">
        <v>0</v>
      </c>
      <c r="P374" s="11">
        <v>1</v>
      </c>
      <c r="Q374" s="11"/>
      <c r="R374" s="11"/>
      <c r="S374" s="12" t="s">
        <v>45</v>
      </c>
      <c r="T374" s="12" t="s">
        <v>46</v>
      </c>
      <c r="U374" s="12" t="s">
        <v>47</v>
      </c>
      <c r="V374" s="12" t="s">
        <v>48</v>
      </c>
      <c r="W374" s="12" t="s">
        <v>49</v>
      </c>
      <c r="X374" s="12" t="s">
        <v>50</v>
      </c>
      <c r="Y374" s="12" t="s">
        <v>50</v>
      </c>
      <c r="Z374" s="12" t="s">
        <v>50</v>
      </c>
      <c r="AA374" s="12" t="s">
        <v>50</v>
      </c>
      <c r="AB374" s="12" t="s">
        <v>51</v>
      </c>
      <c r="AC374" s="12" t="s">
        <v>50</v>
      </c>
      <c r="AD374" s="12" t="s">
        <v>50</v>
      </c>
      <c r="AE374" s="12" t="s">
        <v>52</v>
      </c>
      <c r="AF374" s="12" t="s">
        <v>53</v>
      </c>
      <c r="AG374" s="12" t="s">
        <v>50</v>
      </c>
      <c r="AH374" s="19" t="s">
        <v>54</v>
      </c>
    </row>
    <row r="375" spans="2:34" ht="22.5" customHeight="1" x14ac:dyDescent="0.25">
      <c r="B375" s="18" t="s">
        <v>35</v>
      </c>
      <c r="C375" s="9" t="s">
        <v>803</v>
      </c>
      <c r="D375" s="10" t="s">
        <v>810</v>
      </c>
      <c r="E375" s="10"/>
      <c r="F375" s="10" t="s">
        <v>38</v>
      </c>
      <c r="G375" s="10" t="s">
        <v>39</v>
      </c>
      <c r="H375" s="10"/>
      <c r="I375" s="16" t="s">
        <v>184</v>
      </c>
      <c r="J375" s="10"/>
      <c r="K375" s="10"/>
      <c r="L375" s="16"/>
      <c r="M375" s="16"/>
      <c r="N375" s="16"/>
      <c r="O375" s="11">
        <v>0</v>
      </c>
      <c r="P375" s="11">
        <v>1</v>
      </c>
      <c r="Q375" s="11"/>
      <c r="R375" s="11"/>
      <c r="S375" s="12" t="s">
        <v>45</v>
      </c>
      <c r="T375" s="12" t="s">
        <v>46</v>
      </c>
      <c r="U375" s="12" t="s">
        <v>47</v>
      </c>
      <c r="V375" s="12" t="s">
        <v>48</v>
      </c>
      <c r="W375" s="12" t="s">
        <v>49</v>
      </c>
      <c r="X375" s="12" t="s">
        <v>50</v>
      </c>
      <c r="Y375" s="12" t="s">
        <v>50</v>
      </c>
      <c r="Z375" s="12" t="s">
        <v>50</v>
      </c>
      <c r="AA375" s="12" t="s">
        <v>50</v>
      </c>
      <c r="AB375" s="12" t="s">
        <v>51</v>
      </c>
      <c r="AC375" s="12" t="s">
        <v>50</v>
      </c>
      <c r="AD375" s="12" t="s">
        <v>50</v>
      </c>
      <c r="AE375" s="12" t="s">
        <v>52</v>
      </c>
      <c r="AF375" s="12" t="s">
        <v>53</v>
      </c>
      <c r="AG375" s="12" t="s">
        <v>50</v>
      </c>
      <c r="AH375" s="19" t="s">
        <v>54</v>
      </c>
    </row>
    <row r="376" spans="2:34" ht="22.5" customHeight="1" x14ac:dyDescent="0.25">
      <c r="B376" s="18" t="s">
        <v>35</v>
      </c>
      <c r="C376" s="9" t="s">
        <v>803</v>
      </c>
      <c r="D376" s="10" t="s">
        <v>811</v>
      </c>
      <c r="E376" s="10"/>
      <c r="F376" s="10" t="s">
        <v>38</v>
      </c>
      <c r="G376" s="10" t="s">
        <v>39</v>
      </c>
      <c r="H376" s="10"/>
      <c r="I376" s="16" t="s">
        <v>184</v>
      </c>
      <c r="J376" s="10"/>
      <c r="K376" s="10"/>
      <c r="L376" s="16"/>
      <c r="M376" s="16"/>
      <c r="N376" s="16"/>
      <c r="O376" s="11">
        <v>0</v>
      </c>
      <c r="P376" s="11">
        <v>1</v>
      </c>
      <c r="Q376" s="11"/>
      <c r="R376" s="11"/>
      <c r="S376" s="12" t="s">
        <v>45</v>
      </c>
      <c r="T376" s="12" t="s">
        <v>46</v>
      </c>
      <c r="U376" s="12" t="s">
        <v>47</v>
      </c>
      <c r="V376" s="12" t="s">
        <v>48</v>
      </c>
      <c r="W376" s="12" t="s">
        <v>49</v>
      </c>
      <c r="X376" s="12" t="s">
        <v>50</v>
      </c>
      <c r="Y376" s="12" t="s">
        <v>50</v>
      </c>
      <c r="Z376" s="12" t="s">
        <v>50</v>
      </c>
      <c r="AA376" s="12" t="s">
        <v>50</v>
      </c>
      <c r="AB376" s="12" t="s">
        <v>51</v>
      </c>
      <c r="AC376" s="12" t="s">
        <v>50</v>
      </c>
      <c r="AD376" s="12" t="s">
        <v>50</v>
      </c>
      <c r="AE376" s="12" t="s">
        <v>52</v>
      </c>
      <c r="AF376" s="12" t="s">
        <v>53</v>
      </c>
      <c r="AG376" s="12" t="s">
        <v>50</v>
      </c>
      <c r="AH376" s="19" t="s">
        <v>54</v>
      </c>
    </row>
    <row r="377" spans="2:34" ht="22.5" customHeight="1" x14ac:dyDescent="0.25">
      <c r="B377" s="18" t="s">
        <v>35</v>
      </c>
      <c r="C377" s="9" t="s">
        <v>803</v>
      </c>
      <c r="D377" s="10" t="s">
        <v>812</v>
      </c>
      <c r="E377" s="10"/>
      <c r="F377" s="10" t="s">
        <v>38</v>
      </c>
      <c r="G377" s="10" t="s">
        <v>39</v>
      </c>
      <c r="H377" s="10"/>
      <c r="I377" s="16" t="s">
        <v>184</v>
      </c>
      <c r="J377" s="10"/>
      <c r="K377" s="10"/>
      <c r="L377" s="16"/>
      <c r="M377" s="16"/>
      <c r="N377" s="16"/>
      <c r="O377" s="11">
        <v>0</v>
      </c>
      <c r="P377" s="11">
        <v>1</v>
      </c>
      <c r="Q377" s="11"/>
      <c r="R377" s="11"/>
      <c r="S377" s="12" t="s">
        <v>45</v>
      </c>
      <c r="T377" s="12" t="s">
        <v>46</v>
      </c>
      <c r="U377" s="12" t="s">
        <v>47</v>
      </c>
      <c r="V377" s="12" t="s">
        <v>48</v>
      </c>
      <c r="W377" s="12" t="s">
        <v>49</v>
      </c>
      <c r="X377" s="12" t="s">
        <v>50</v>
      </c>
      <c r="Y377" s="12" t="s">
        <v>50</v>
      </c>
      <c r="Z377" s="12" t="s">
        <v>50</v>
      </c>
      <c r="AA377" s="12" t="s">
        <v>50</v>
      </c>
      <c r="AB377" s="12" t="s">
        <v>51</v>
      </c>
      <c r="AC377" s="12" t="s">
        <v>50</v>
      </c>
      <c r="AD377" s="12" t="s">
        <v>50</v>
      </c>
      <c r="AE377" s="12" t="s">
        <v>52</v>
      </c>
      <c r="AF377" s="12" t="s">
        <v>53</v>
      </c>
      <c r="AG377" s="12" t="s">
        <v>50</v>
      </c>
      <c r="AH377" s="19" t="s">
        <v>54</v>
      </c>
    </row>
    <row r="378" spans="2:34" ht="22.5" customHeight="1" x14ac:dyDescent="0.25">
      <c r="B378" s="18" t="s">
        <v>35</v>
      </c>
      <c r="C378" s="9" t="s">
        <v>803</v>
      </c>
      <c r="D378" s="10" t="s">
        <v>813</v>
      </c>
      <c r="E378" s="10"/>
      <c r="F378" s="10" t="s">
        <v>38</v>
      </c>
      <c r="G378" s="10" t="s">
        <v>39</v>
      </c>
      <c r="H378" s="10"/>
      <c r="I378" s="16" t="s">
        <v>184</v>
      </c>
      <c r="J378" s="10"/>
      <c r="K378" s="10"/>
      <c r="L378" s="16"/>
      <c r="M378" s="16"/>
      <c r="N378" s="16"/>
      <c r="O378" s="11">
        <v>0</v>
      </c>
      <c r="P378" s="11">
        <v>1</v>
      </c>
      <c r="Q378" s="11"/>
      <c r="R378" s="11"/>
      <c r="S378" s="12" t="s">
        <v>45</v>
      </c>
      <c r="T378" s="12" t="s">
        <v>46</v>
      </c>
      <c r="U378" s="12" t="s">
        <v>47</v>
      </c>
      <c r="V378" s="12" t="s">
        <v>48</v>
      </c>
      <c r="W378" s="12" t="s">
        <v>49</v>
      </c>
      <c r="X378" s="12" t="s">
        <v>50</v>
      </c>
      <c r="Y378" s="12" t="s">
        <v>50</v>
      </c>
      <c r="Z378" s="12" t="s">
        <v>50</v>
      </c>
      <c r="AA378" s="12" t="s">
        <v>50</v>
      </c>
      <c r="AB378" s="12" t="s">
        <v>51</v>
      </c>
      <c r="AC378" s="12" t="s">
        <v>50</v>
      </c>
      <c r="AD378" s="12" t="s">
        <v>50</v>
      </c>
      <c r="AE378" s="12" t="s">
        <v>52</v>
      </c>
      <c r="AF378" s="12" t="s">
        <v>53</v>
      </c>
      <c r="AG378" s="12" t="s">
        <v>50</v>
      </c>
      <c r="AH378" s="19" t="s">
        <v>54</v>
      </c>
    </row>
    <row r="379" spans="2:34" ht="22.5" customHeight="1" x14ac:dyDescent="0.25">
      <c r="B379" s="18" t="s">
        <v>35</v>
      </c>
      <c r="C379" s="9" t="s">
        <v>803</v>
      </c>
      <c r="D379" s="10" t="s">
        <v>814</v>
      </c>
      <c r="E379" s="10"/>
      <c r="F379" s="10" t="s">
        <v>38</v>
      </c>
      <c r="G379" s="10" t="s">
        <v>39</v>
      </c>
      <c r="H379" s="10"/>
      <c r="I379" s="16" t="s">
        <v>184</v>
      </c>
      <c r="J379" s="10"/>
      <c r="K379" s="10"/>
      <c r="L379" s="16"/>
      <c r="M379" s="16"/>
      <c r="N379" s="16"/>
      <c r="O379" s="11">
        <v>0</v>
      </c>
      <c r="P379" s="11">
        <v>1</v>
      </c>
      <c r="Q379" s="11"/>
      <c r="R379" s="11"/>
      <c r="S379" s="12" t="s">
        <v>45</v>
      </c>
      <c r="T379" s="12" t="s">
        <v>46</v>
      </c>
      <c r="U379" s="12" t="s">
        <v>47</v>
      </c>
      <c r="V379" s="12" t="s">
        <v>48</v>
      </c>
      <c r="W379" s="12" t="s">
        <v>49</v>
      </c>
      <c r="X379" s="12" t="s">
        <v>50</v>
      </c>
      <c r="Y379" s="12" t="s">
        <v>50</v>
      </c>
      <c r="Z379" s="12" t="s">
        <v>50</v>
      </c>
      <c r="AA379" s="12" t="s">
        <v>50</v>
      </c>
      <c r="AB379" s="12" t="s">
        <v>51</v>
      </c>
      <c r="AC379" s="12" t="s">
        <v>50</v>
      </c>
      <c r="AD379" s="12" t="s">
        <v>50</v>
      </c>
      <c r="AE379" s="12" t="s">
        <v>52</v>
      </c>
      <c r="AF379" s="12" t="s">
        <v>53</v>
      </c>
      <c r="AG379" s="12" t="s">
        <v>50</v>
      </c>
      <c r="AH379" s="19" t="s">
        <v>54</v>
      </c>
    </row>
    <row r="380" spans="2:34" ht="22.5" customHeight="1" x14ac:dyDescent="0.25">
      <c r="B380" s="18" t="s">
        <v>35</v>
      </c>
      <c r="C380" s="9" t="s">
        <v>410</v>
      </c>
      <c r="D380" s="10" t="s">
        <v>815</v>
      </c>
      <c r="E380" s="10"/>
      <c r="F380" s="10" t="s">
        <v>816</v>
      </c>
      <c r="G380" s="10" t="s">
        <v>183</v>
      </c>
      <c r="H380" s="10"/>
      <c r="I380" s="16" t="s">
        <v>184</v>
      </c>
      <c r="J380" s="10"/>
      <c r="K380" s="10"/>
      <c r="L380" s="16"/>
      <c r="M380" s="16"/>
      <c r="N380" s="16"/>
      <c r="O380" s="11">
        <v>0</v>
      </c>
      <c r="P380" s="11">
        <v>1</v>
      </c>
      <c r="Q380" s="11"/>
      <c r="R380" s="11"/>
      <c r="S380" s="12" t="s">
        <v>50</v>
      </c>
      <c r="T380" s="12" t="s">
        <v>50</v>
      </c>
      <c r="U380" s="12" t="s">
        <v>50</v>
      </c>
      <c r="V380" s="12" t="s">
        <v>50</v>
      </c>
      <c r="W380" s="12" t="s">
        <v>50</v>
      </c>
      <c r="X380" s="12" t="s">
        <v>50</v>
      </c>
      <c r="Y380" s="12" t="s">
        <v>50</v>
      </c>
      <c r="Z380" s="12" t="s">
        <v>50</v>
      </c>
      <c r="AA380" s="12" t="s">
        <v>50</v>
      </c>
      <c r="AB380" s="12" t="s">
        <v>50</v>
      </c>
      <c r="AC380" s="12" t="s">
        <v>50</v>
      </c>
      <c r="AD380" s="12" t="s">
        <v>50</v>
      </c>
      <c r="AE380" s="12" t="s">
        <v>50</v>
      </c>
      <c r="AF380" s="12" t="s">
        <v>50</v>
      </c>
      <c r="AG380" s="12" t="s">
        <v>50</v>
      </c>
      <c r="AH380" s="19" t="s">
        <v>50</v>
      </c>
    </row>
    <row r="381" spans="2:34" ht="22.5" customHeight="1" x14ac:dyDescent="0.25">
      <c r="B381" s="18" t="s">
        <v>35</v>
      </c>
      <c r="C381" s="9" t="s">
        <v>410</v>
      </c>
      <c r="D381" s="10" t="s">
        <v>815</v>
      </c>
      <c r="E381" s="10"/>
      <c r="F381" s="10" t="s">
        <v>38</v>
      </c>
      <c r="G381" s="10" t="s">
        <v>39</v>
      </c>
      <c r="H381" s="10"/>
      <c r="I381" s="16" t="s">
        <v>184</v>
      </c>
      <c r="J381" s="10"/>
      <c r="K381" s="10"/>
      <c r="L381" s="16"/>
      <c r="M381" s="16"/>
      <c r="N381" s="16"/>
      <c r="O381" s="11">
        <v>0</v>
      </c>
      <c r="P381" s="11">
        <v>1</v>
      </c>
      <c r="Q381" s="11"/>
      <c r="R381" s="11"/>
      <c r="S381" s="12" t="s">
        <v>45</v>
      </c>
      <c r="T381" s="12" t="s">
        <v>46</v>
      </c>
      <c r="U381" s="12" t="s">
        <v>47</v>
      </c>
      <c r="V381" s="12" t="s">
        <v>48</v>
      </c>
      <c r="W381" s="12" t="s">
        <v>49</v>
      </c>
      <c r="X381" s="12" t="s">
        <v>50</v>
      </c>
      <c r="Y381" s="12" t="s">
        <v>50</v>
      </c>
      <c r="Z381" s="12" t="s">
        <v>50</v>
      </c>
      <c r="AA381" s="12" t="s">
        <v>50</v>
      </c>
      <c r="AB381" s="12" t="s">
        <v>51</v>
      </c>
      <c r="AC381" s="12" t="s">
        <v>50</v>
      </c>
      <c r="AD381" s="12" t="s">
        <v>50</v>
      </c>
      <c r="AE381" s="12" t="s">
        <v>52</v>
      </c>
      <c r="AF381" s="12" t="s">
        <v>53</v>
      </c>
      <c r="AG381" s="12" t="s">
        <v>50</v>
      </c>
      <c r="AH381" s="19" t="s">
        <v>54</v>
      </c>
    </row>
    <row r="382" spans="2:34" ht="22.5" customHeight="1" x14ac:dyDescent="0.25">
      <c r="B382" s="18" t="s">
        <v>35</v>
      </c>
      <c r="C382" s="9" t="s">
        <v>410</v>
      </c>
      <c r="D382" s="10" t="s">
        <v>817</v>
      </c>
      <c r="E382" s="10"/>
      <c r="F382" s="10" t="s">
        <v>816</v>
      </c>
      <c r="G382" s="10" t="s">
        <v>183</v>
      </c>
      <c r="H382" s="10"/>
      <c r="I382" s="16" t="s">
        <v>184</v>
      </c>
      <c r="J382" s="10"/>
      <c r="K382" s="10"/>
      <c r="L382" s="16"/>
      <c r="M382" s="16"/>
      <c r="N382" s="16"/>
      <c r="O382" s="11">
        <v>0</v>
      </c>
      <c r="P382" s="11">
        <v>1</v>
      </c>
      <c r="Q382" s="11"/>
      <c r="R382" s="11"/>
      <c r="S382" s="12" t="s">
        <v>50</v>
      </c>
      <c r="T382" s="12" t="s">
        <v>50</v>
      </c>
      <c r="U382" s="12" t="s">
        <v>50</v>
      </c>
      <c r="V382" s="12" t="s">
        <v>50</v>
      </c>
      <c r="W382" s="12" t="s">
        <v>50</v>
      </c>
      <c r="X382" s="12" t="s">
        <v>50</v>
      </c>
      <c r="Y382" s="12" t="s">
        <v>50</v>
      </c>
      <c r="Z382" s="12" t="s">
        <v>50</v>
      </c>
      <c r="AA382" s="12" t="s">
        <v>50</v>
      </c>
      <c r="AB382" s="12" t="s">
        <v>50</v>
      </c>
      <c r="AC382" s="12" t="s">
        <v>50</v>
      </c>
      <c r="AD382" s="12" t="s">
        <v>50</v>
      </c>
      <c r="AE382" s="12" t="s">
        <v>50</v>
      </c>
      <c r="AF382" s="12" t="s">
        <v>50</v>
      </c>
      <c r="AG382" s="12" t="s">
        <v>50</v>
      </c>
      <c r="AH382" s="19" t="s">
        <v>50</v>
      </c>
    </row>
    <row r="383" spans="2:34" ht="22.5" customHeight="1" x14ac:dyDescent="0.25">
      <c r="B383" s="18" t="s">
        <v>35</v>
      </c>
      <c r="C383" s="9" t="s">
        <v>410</v>
      </c>
      <c r="D383" s="10" t="s">
        <v>817</v>
      </c>
      <c r="E383" s="10"/>
      <c r="F383" s="10" t="s">
        <v>38</v>
      </c>
      <c r="G383" s="10" t="s">
        <v>39</v>
      </c>
      <c r="H383" s="10"/>
      <c r="I383" s="16" t="s">
        <v>184</v>
      </c>
      <c r="J383" s="10"/>
      <c r="K383" s="10"/>
      <c r="L383" s="16"/>
      <c r="M383" s="16"/>
      <c r="N383" s="16"/>
      <c r="O383" s="11">
        <v>0</v>
      </c>
      <c r="P383" s="11">
        <v>1</v>
      </c>
      <c r="Q383" s="11"/>
      <c r="R383" s="11"/>
      <c r="S383" s="12" t="s">
        <v>45</v>
      </c>
      <c r="T383" s="12" t="s">
        <v>46</v>
      </c>
      <c r="U383" s="12" t="s">
        <v>47</v>
      </c>
      <c r="V383" s="12" t="s">
        <v>48</v>
      </c>
      <c r="W383" s="12" t="s">
        <v>49</v>
      </c>
      <c r="X383" s="12" t="s">
        <v>50</v>
      </c>
      <c r="Y383" s="12" t="s">
        <v>50</v>
      </c>
      <c r="Z383" s="12" t="s">
        <v>50</v>
      </c>
      <c r="AA383" s="12" t="s">
        <v>50</v>
      </c>
      <c r="AB383" s="12" t="s">
        <v>51</v>
      </c>
      <c r="AC383" s="12" t="s">
        <v>50</v>
      </c>
      <c r="AD383" s="12" t="s">
        <v>50</v>
      </c>
      <c r="AE383" s="12" t="s">
        <v>52</v>
      </c>
      <c r="AF383" s="12" t="s">
        <v>53</v>
      </c>
      <c r="AG383" s="12" t="s">
        <v>50</v>
      </c>
      <c r="AH383" s="19" t="s">
        <v>54</v>
      </c>
    </row>
    <row r="384" spans="2:34" ht="22.5" customHeight="1" x14ac:dyDescent="0.25">
      <c r="B384" s="18" t="s">
        <v>35</v>
      </c>
      <c r="C384" s="9" t="s">
        <v>818</v>
      </c>
      <c r="D384" s="10" t="s">
        <v>819</v>
      </c>
      <c r="E384" s="10"/>
      <c r="F384" s="10" t="s">
        <v>816</v>
      </c>
      <c r="G384" s="10" t="s">
        <v>183</v>
      </c>
      <c r="H384" s="10"/>
      <c r="I384" s="16" t="s">
        <v>184</v>
      </c>
      <c r="J384" s="10"/>
      <c r="K384" s="10"/>
      <c r="L384" s="16"/>
      <c r="M384" s="16"/>
      <c r="N384" s="16"/>
      <c r="O384" s="11">
        <v>0</v>
      </c>
      <c r="P384" s="11">
        <v>1</v>
      </c>
      <c r="Q384" s="11"/>
      <c r="R384" s="11"/>
      <c r="S384" s="12" t="s">
        <v>50</v>
      </c>
      <c r="T384" s="12" t="s">
        <v>50</v>
      </c>
      <c r="U384" s="12" t="s">
        <v>50</v>
      </c>
      <c r="V384" s="12" t="s">
        <v>50</v>
      </c>
      <c r="W384" s="12" t="s">
        <v>50</v>
      </c>
      <c r="X384" s="12" t="s">
        <v>50</v>
      </c>
      <c r="Y384" s="12" t="s">
        <v>50</v>
      </c>
      <c r="Z384" s="12" t="s">
        <v>50</v>
      </c>
      <c r="AA384" s="12" t="s">
        <v>50</v>
      </c>
      <c r="AB384" s="12" t="s">
        <v>50</v>
      </c>
      <c r="AC384" s="12" t="s">
        <v>50</v>
      </c>
      <c r="AD384" s="12" t="s">
        <v>50</v>
      </c>
      <c r="AE384" s="12" t="s">
        <v>50</v>
      </c>
      <c r="AF384" s="12" t="s">
        <v>50</v>
      </c>
      <c r="AG384" s="12" t="s">
        <v>50</v>
      </c>
      <c r="AH384" s="19" t="s">
        <v>50</v>
      </c>
    </row>
    <row r="385" spans="2:34" ht="22.5" customHeight="1" x14ac:dyDescent="0.25">
      <c r="B385" s="18" t="s">
        <v>35</v>
      </c>
      <c r="C385" s="9" t="s">
        <v>820</v>
      </c>
      <c r="D385" s="10" t="s">
        <v>821</v>
      </c>
      <c r="E385" s="10"/>
      <c r="F385" s="10" t="s">
        <v>38</v>
      </c>
      <c r="G385" s="10" t="s">
        <v>39</v>
      </c>
      <c r="H385" s="10"/>
      <c r="I385" s="16" t="s">
        <v>184</v>
      </c>
      <c r="J385" s="10"/>
      <c r="K385" s="10"/>
      <c r="L385" s="16"/>
      <c r="M385" s="16"/>
      <c r="N385" s="16"/>
      <c r="O385" s="11">
        <v>0</v>
      </c>
      <c r="P385" s="11">
        <v>1</v>
      </c>
      <c r="Q385" s="11"/>
      <c r="R385" s="11"/>
      <c r="S385" s="12" t="s">
        <v>45</v>
      </c>
      <c r="T385" s="12" t="s">
        <v>46</v>
      </c>
      <c r="U385" s="12" t="s">
        <v>47</v>
      </c>
      <c r="V385" s="12" t="s">
        <v>48</v>
      </c>
      <c r="W385" s="12" t="s">
        <v>49</v>
      </c>
      <c r="X385" s="12" t="s">
        <v>50</v>
      </c>
      <c r="Y385" s="12" t="s">
        <v>50</v>
      </c>
      <c r="Z385" s="12" t="s">
        <v>50</v>
      </c>
      <c r="AA385" s="12" t="s">
        <v>50</v>
      </c>
      <c r="AB385" s="12" t="s">
        <v>51</v>
      </c>
      <c r="AC385" s="12" t="s">
        <v>50</v>
      </c>
      <c r="AD385" s="12" t="s">
        <v>50</v>
      </c>
      <c r="AE385" s="12" t="s">
        <v>52</v>
      </c>
      <c r="AF385" s="12" t="s">
        <v>53</v>
      </c>
      <c r="AG385" s="12" t="s">
        <v>50</v>
      </c>
      <c r="AH385" s="19" t="s">
        <v>54</v>
      </c>
    </row>
    <row r="386" spans="2:34" ht="22.5" customHeight="1" x14ac:dyDescent="0.25">
      <c r="B386" s="18" t="s">
        <v>35</v>
      </c>
      <c r="C386" s="9" t="s">
        <v>820</v>
      </c>
      <c r="D386" s="10" t="s">
        <v>822</v>
      </c>
      <c r="E386" s="10"/>
      <c r="F386" s="10" t="s">
        <v>38</v>
      </c>
      <c r="G386" s="10" t="s">
        <v>39</v>
      </c>
      <c r="H386" s="10"/>
      <c r="I386" s="16" t="s">
        <v>184</v>
      </c>
      <c r="J386" s="10"/>
      <c r="K386" s="10"/>
      <c r="L386" s="16"/>
      <c r="M386" s="16"/>
      <c r="N386" s="16"/>
      <c r="O386" s="11">
        <v>0</v>
      </c>
      <c r="P386" s="11">
        <v>1</v>
      </c>
      <c r="Q386" s="11"/>
      <c r="R386" s="11"/>
      <c r="S386" s="12" t="s">
        <v>45</v>
      </c>
      <c r="T386" s="12" t="s">
        <v>46</v>
      </c>
      <c r="U386" s="12" t="s">
        <v>47</v>
      </c>
      <c r="V386" s="12" t="s">
        <v>48</v>
      </c>
      <c r="W386" s="12" t="s">
        <v>49</v>
      </c>
      <c r="X386" s="12" t="s">
        <v>50</v>
      </c>
      <c r="Y386" s="12" t="s">
        <v>50</v>
      </c>
      <c r="Z386" s="12" t="s">
        <v>50</v>
      </c>
      <c r="AA386" s="12" t="s">
        <v>50</v>
      </c>
      <c r="AB386" s="12" t="s">
        <v>51</v>
      </c>
      <c r="AC386" s="12" t="s">
        <v>50</v>
      </c>
      <c r="AD386" s="12" t="s">
        <v>50</v>
      </c>
      <c r="AE386" s="12" t="s">
        <v>52</v>
      </c>
      <c r="AF386" s="12" t="s">
        <v>53</v>
      </c>
      <c r="AG386" s="12" t="s">
        <v>50</v>
      </c>
      <c r="AH386" s="19" t="s">
        <v>54</v>
      </c>
    </row>
    <row r="387" spans="2:34" ht="22.5" customHeight="1" x14ac:dyDescent="0.25">
      <c r="B387" s="18" t="s">
        <v>35</v>
      </c>
      <c r="C387" s="9" t="s">
        <v>820</v>
      </c>
      <c r="D387" s="10" t="s">
        <v>823</v>
      </c>
      <c r="E387" s="10"/>
      <c r="F387" s="10" t="s">
        <v>38</v>
      </c>
      <c r="G387" s="10" t="s">
        <v>39</v>
      </c>
      <c r="H387" s="10"/>
      <c r="I387" s="16" t="s">
        <v>184</v>
      </c>
      <c r="J387" s="10"/>
      <c r="K387" s="10"/>
      <c r="L387" s="16"/>
      <c r="M387" s="16"/>
      <c r="N387" s="16"/>
      <c r="O387" s="11">
        <v>0</v>
      </c>
      <c r="P387" s="11">
        <v>1</v>
      </c>
      <c r="Q387" s="11"/>
      <c r="R387" s="11"/>
      <c r="S387" s="12" t="s">
        <v>45</v>
      </c>
      <c r="T387" s="12" t="s">
        <v>46</v>
      </c>
      <c r="U387" s="12" t="s">
        <v>47</v>
      </c>
      <c r="V387" s="12" t="s">
        <v>48</v>
      </c>
      <c r="W387" s="12" t="s">
        <v>49</v>
      </c>
      <c r="X387" s="12" t="s">
        <v>50</v>
      </c>
      <c r="Y387" s="12" t="s">
        <v>50</v>
      </c>
      <c r="Z387" s="12" t="s">
        <v>50</v>
      </c>
      <c r="AA387" s="12" t="s">
        <v>50</v>
      </c>
      <c r="AB387" s="12" t="s">
        <v>51</v>
      </c>
      <c r="AC387" s="12" t="s">
        <v>50</v>
      </c>
      <c r="AD387" s="12" t="s">
        <v>50</v>
      </c>
      <c r="AE387" s="12" t="s">
        <v>52</v>
      </c>
      <c r="AF387" s="12" t="s">
        <v>53</v>
      </c>
      <c r="AG387" s="12" t="s">
        <v>50</v>
      </c>
      <c r="AH387" s="19" t="s">
        <v>54</v>
      </c>
    </row>
    <row r="388" spans="2:34" ht="22.5" customHeight="1" x14ac:dyDescent="0.25">
      <c r="B388" s="18" t="s">
        <v>35</v>
      </c>
      <c r="C388" s="9" t="s">
        <v>820</v>
      </c>
      <c r="D388" s="10" t="s">
        <v>824</v>
      </c>
      <c r="E388" s="10"/>
      <c r="F388" s="10" t="s">
        <v>38</v>
      </c>
      <c r="G388" s="10" t="s">
        <v>39</v>
      </c>
      <c r="H388" s="10"/>
      <c r="I388" s="16" t="s">
        <v>184</v>
      </c>
      <c r="J388" s="10"/>
      <c r="K388" s="10"/>
      <c r="L388" s="16"/>
      <c r="M388" s="16"/>
      <c r="N388" s="16"/>
      <c r="O388" s="11">
        <v>0</v>
      </c>
      <c r="P388" s="11">
        <v>1</v>
      </c>
      <c r="Q388" s="11"/>
      <c r="R388" s="11"/>
      <c r="S388" s="12" t="s">
        <v>45</v>
      </c>
      <c r="T388" s="12" t="s">
        <v>46</v>
      </c>
      <c r="U388" s="12" t="s">
        <v>47</v>
      </c>
      <c r="V388" s="12" t="s">
        <v>48</v>
      </c>
      <c r="W388" s="12" t="s">
        <v>49</v>
      </c>
      <c r="X388" s="12" t="s">
        <v>50</v>
      </c>
      <c r="Y388" s="12" t="s">
        <v>50</v>
      </c>
      <c r="Z388" s="12" t="s">
        <v>50</v>
      </c>
      <c r="AA388" s="12" t="s">
        <v>50</v>
      </c>
      <c r="AB388" s="12" t="s">
        <v>51</v>
      </c>
      <c r="AC388" s="12" t="s">
        <v>50</v>
      </c>
      <c r="AD388" s="12" t="s">
        <v>50</v>
      </c>
      <c r="AE388" s="12" t="s">
        <v>52</v>
      </c>
      <c r="AF388" s="12" t="s">
        <v>53</v>
      </c>
      <c r="AG388" s="12" t="s">
        <v>50</v>
      </c>
      <c r="AH388" s="19" t="s">
        <v>54</v>
      </c>
    </row>
    <row r="389" spans="2:34" ht="22.5" customHeight="1" x14ac:dyDescent="0.25">
      <c r="B389" s="18" t="s">
        <v>35</v>
      </c>
      <c r="C389" s="9" t="s">
        <v>820</v>
      </c>
      <c r="D389" s="10" t="s">
        <v>825</v>
      </c>
      <c r="E389" s="10"/>
      <c r="F389" s="10" t="s">
        <v>38</v>
      </c>
      <c r="G389" s="10" t="s">
        <v>39</v>
      </c>
      <c r="H389" s="10"/>
      <c r="I389" s="16" t="s">
        <v>184</v>
      </c>
      <c r="J389" s="10"/>
      <c r="K389" s="10"/>
      <c r="L389" s="16"/>
      <c r="M389" s="16"/>
      <c r="N389" s="16"/>
      <c r="O389" s="11">
        <v>0</v>
      </c>
      <c r="P389" s="11">
        <v>1</v>
      </c>
      <c r="Q389" s="11"/>
      <c r="R389" s="11"/>
      <c r="S389" s="12" t="s">
        <v>45</v>
      </c>
      <c r="T389" s="12" t="s">
        <v>46</v>
      </c>
      <c r="U389" s="12" t="s">
        <v>47</v>
      </c>
      <c r="V389" s="12" t="s">
        <v>48</v>
      </c>
      <c r="W389" s="12" t="s">
        <v>49</v>
      </c>
      <c r="X389" s="12" t="s">
        <v>50</v>
      </c>
      <c r="Y389" s="12" t="s">
        <v>50</v>
      </c>
      <c r="Z389" s="12" t="s">
        <v>50</v>
      </c>
      <c r="AA389" s="12" t="s">
        <v>50</v>
      </c>
      <c r="AB389" s="12" t="s">
        <v>51</v>
      </c>
      <c r="AC389" s="12" t="s">
        <v>50</v>
      </c>
      <c r="AD389" s="12" t="s">
        <v>50</v>
      </c>
      <c r="AE389" s="12" t="s">
        <v>52</v>
      </c>
      <c r="AF389" s="12" t="s">
        <v>53</v>
      </c>
      <c r="AG389" s="12" t="s">
        <v>50</v>
      </c>
      <c r="AH389" s="19" t="s">
        <v>54</v>
      </c>
    </row>
    <row r="390" spans="2:34" ht="22.5" customHeight="1" x14ac:dyDescent="0.25">
      <c r="B390" s="18" t="s">
        <v>35</v>
      </c>
      <c r="C390" s="9" t="s">
        <v>820</v>
      </c>
      <c r="D390" s="10" t="s">
        <v>826</v>
      </c>
      <c r="E390" s="10"/>
      <c r="F390" s="10" t="s">
        <v>38</v>
      </c>
      <c r="G390" s="10" t="s">
        <v>39</v>
      </c>
      <c r="H390" s="10"/>
      <c r="I390" s="16" t="s">
        <v>184</v>
      </c>
      <c r="J390" s="10"/>
      <c r="K390" s="10"/>
      <c r="L390" s="16"/>
      <c r="M390" s="16"/>
      <c r="N390" s="16"/>
      <c r="O390" s="11">
        <v>0</v>
      </c>
      <c r="P390" s="11">
        <v>1</v>
      </c>
      <c r="Q390" s="11"/>
      <c r="R390" s="11"/>
      <c r="S390" s="12" t="s">
        <v>45</v>
      </c>
      <c r="T390" s="12" t="s">
        <v>46</v>
      </c>
      <c r="U390" s="12" t="s">
        <v>47</v>
      </c>
      <c r="V390" s="12" t="s">
        <v>48</v>
      </c>
      <c r="W390" s="12" t="s">
        <v>49</v>
      </c>
      <c r="X390" s="12" t="s">
        <v>50</v>
      </c>
      <c r="Y390" s="12" t="s">
        <v>50</v>
      </c>
      <c r="Z390" s="12" t="s">
        <v>50</v>
      </c>
      <c r="AA390" s="12" t="s">
        <v>50</v>
      </c>
      <c r="AB390" s="12" t="s">
        <v>51</v>
      </c>
      <c r="AC390" s="12" t="s">
        <v>50</v>
      </c>
      <c r="AD390" s="12" t="s">
        <v>50</v>
      </c>
      <c r="AE390" s="12" t="s">
        <v>52</v>
      </c>
      <c r="AF390" s="12" t="s">
        <v>53</v>
      </c>
      <c r="AG390" s="12" t="s">
        <v>50</v>
      </c>
      <c r="AH390" s="19" t="s">
        <v>54</v>
      </c>
    </row>
    <row r="391" spans="2:34" ht="22.5" customHeight="1" x14ac:dyDescent="0.25">
      <c r="B391" s="18" t="s">
        <v>35</v>
      </c>
      <c r="C391" s="9" t="s">
        <v>820</v>
      </c>
      <c r="D391" s="10" t="s">
        <v>827</v>
      </c>
      <c r="E391" s="10"/>
      <c r="F391" s="10" t="s">
        <v>38</v>
      </c>
      <c r="G391" s="10" t="s">
        <v>39</v>
      </c>
      <c r="H391" s="10"/>
      <c r="I391" s="16" t="s">
        <v>184</v>
      </c>
      <c r="J391" s="10"/>
      <c r="K391" s="10"/>
      <c r="L391" s="16"/>
      <c r="M391" s="16"/>
      <c r="N391" s="16"/>
      <c r="O391" s="11">
        <v>0</v>
      </c>
      <c r="P391" s="11">
        <v>1</v>
      </c>
      <c r="Q391" s="11"/>
      <c r="R391" s="11"/>
      <c r="S391" s="12" t="s">
        <v>45</v>
      </c>
      <c r="T391" s="12" t="s">
        <v>46</v>
      </c>
      <c r="U391" s="12" t="s">
        <v>47</v>
      </c>
      <c r="V391" s="12" t="s">
        <v>48</v>
      </c>
      <c r="W391" s="12" t="s">
        <v>49</v>
      </c>
      <c r="X391" s="12" t="s">
        <v>50</v>
      </c>
      <c r="Y391" s="12" t="s">
        <v>50</v>
      </c>
      <c r="Z391" s="12" t="s">
        <v>50</v>
      </c>
      <c r="AA391" s="12" t="s">
        <v>50</v>
      </c>
      <c r="AB391" s="12" t="s">
        <v>51</v>
      </c>
      <c r="AC391" s="12" t="s">
        <v>50</v>
      </c>
      <c r="AD391" s="12" t="s">
        <v>50</v>
      </c>
      <c r="AE391" s="12" t="s">
        <v>52</v>
      </c>
      <c r="AF391" s="12" t="s">
        <v>53</v>
      </c>
      <c r="AG391" s="12" t="s">
        <v>50</v>
      </c>
      <c r="AH391" s="19" t="s">
        <v>54</v>
      </c>
    </row>
    <row r="392" spans="2:34" ht="22.5" customHeight="1" x14ac:dyDescent="0.25">
      <c r="B392" s="18" t="s">
        <v>35</v>
      </c>
      <c r="C392" s="9" t="s">
        <v>820</v>
      </c>
      <c r="D392" s="10" t="s">
        <v>828</v>
      </c>
      <c r="E392" s="10"/>
      <c r="F392" s="10" t="s">
        <v>38</v>
      </c>
      <c r="G392" s="10" t="s">
        <v>39</v>
      </c>
      <c r="H392" s="10"/>
      <c r="I392" s="16" t="s">
        <v>184</v>
      </c>
      <c r="J392" s="10"/>
      <c r="K392" s="10"/>
      <c r="L392" s="16"/>
      <c r="M392" s="16"/>
      <c r="N392" s="16"/>
      <c r="O392" s="11">
        <v>0</v>
      </c>
      <c r="P392" s="11">
        <v>1</v>
      </c>
      <c r="Q392" s="11"/>
      <c r="R392" s="11"/>
      <c r="S392" s="12" t="s">
        <v>45</v>
      </c>
      <c r="T392" s="12" t="s">
        <v>46</v>
      </c>
      <c r="U392" s="12" t="s">
        <v>47</v>
      </c>
      <c r="V392" s="12" t="s">
        <v>48</v>
      </c>
      <c r="W392" s="12" t="s">
        <v>49</v>
      </c>
      <c r="X392" s="12" t="s">
        <v>50</v>
      </c>
      <c r="Y392" s="12" t="s">
        <v>50</v>
      </c>
      <c r="Z392" s="12" t="s">
        <v>50</v>
      </c>
      <c r="AA392" s="12" t="s">
        <v>50</v>
      </c>
      <c r="AB392" s="12" t="s">
        <v>51</v>
      </c>
      <c r="AC392" s="12" t="s">
        <v>50</v>
      </c>
      <c r="AD392" s="12" t="s">
        <v>50</v>
      </c>
      <c r="AE392" s="12" t="s">
        <v>52</v>
      </c>
      <c r="AF392" s="12" t="s">
        <v>53</v>
      </c>
      <c r="AG392" s="12" t="s">
        <v>50</v>
      </c>
      <c r="AH392" s="19" t="s">
        <v>54</v>
      </c>
    </row>
    <row r="393" spans="2:34" ht="22.5" customHeight="1" x14ac:dyDescent="0.25">
      <c r="B393" s="18" t="s">
        <v>35</v>
      </c>
      <c r="C393" s="9" t="s">
        <v>820</v>
      </c>
      <c r="D393" s="10" t="s">
        <v>829</v>
      </c>
      <c r="E393" s="10"/>
      <c r="F393" s="10" t="s">
        <v>38</v>
      </c>
      <c r="G393" s="10" t="s">
        <v>39</v>
      </c>
      <c r="H393" s="10"/>
      <c r="I393" s="16" t="s">
        <v>184</v>
      </c>
      <c r="J393" s="10"/>
      <c r="K393" s="10"/>
      <c r="L393" s="16"/>
      <c r="M393" s="16"/>
      <c r="N393" s="16"/>
      <c r="O393" s="11">
        <v>0</v>
      </c>
      <c r="P393" s="11">
        <v>1</v>
      </c>
      <c r="Q393" s="11"/>
      <c r="R393" s="11"/>
      <c r="S393" s="12" t="s">
        <v>45</v>
      </c>
      <c r="T393" s="12" t="s">
        <v>46</v>
      </c>
      <c r="U393" s="12" t="s">
        <v>47</v>
      </c>
      <c r="V393" s="12" t="s">
        <v>48</v>
      </c>
      <c r="W393" s="12" t="s">
        <v>49</v>
      </c>
      <c r="X393" s="12" t="s">
        <v>50</v>
      </c>
      <c r="Y393" s="12" t="s">
        <v>50</v>
      </c>
      <c r="Z393" s="12" t="s">
        <v>50</v>
      </c>
      <c r="AA393" s="12" t="s">
        <v>50</v>
      </c>
      <c r="AB393" s="12" t="s">
        <v>51</v>
      </c>
      <c r="AC393" s="12" t="s">
        <v>50</v>
      </c>
      <c r="AD393" s="12" t="s">
        <v>50</v>
      </c>
      <c r="AE393" s="12" t="s">
        <v>52</v>
      </c>
      <c r="AF393" s="12" t="s">
        <v>53</v>
      </c>
      <c r="AG393" s="12" t="s">
        <v>50</v>
      </c>
      <c r="AH393" s="19" t="s">
        <v>54</v>
      </c>
    </row>
    <row r="394" spans="2:34" ht="22.5" customHeight="1" x14ac:dyDescent="0.25">
      <c r="B394" s="18" t="s">
        <v>35</v>
      </c>
      <c r="C394" s="9" t="s">
        <v>820</v>
      </c>
      <c r="D394" s="10" t="s">
        <v>830</v>
      </c>
      <c r="E394" s="10"/>
      <c r="F394" s="10" t="s">
        <v>38</v>
      </c>
      <c r="G394" s="10" t="s">
        <v>39</v>
      </c>
      <c r="H394" s="10"/>
      <c r="I394" s="16" t="s">
        <v>184</v>
      </c>
      <c r="J394" s="10"/>
      <c r="K394" s="10"/>
      <c r="L394" s="16"/>
      <c r="M394" s="16"/>
      <c r="N394" s="16"/>
      <c r="O394" s="11">
        <v>0</v>
      </c>
      <c r="P394" s="11">
        <v>1</v>
      </c>
      <c r="Q394" s="11"/>
      <c r="R394" s="11"/>
      <c r="S394" s="12" t="s">
        <v>45</v>
      </c>
      <c r="T394" s="12" t="s">
        <v>46</v>
      </c>
      <c r="U394" s="12" t="s">
        <v>47</v>
      </c>
      <c r="V394" s="12" t="s">
        <v>48</v>
      </c>
      <c r="W394" s="12" t="s">
        <v>49</v>
      </c>
      <c r="X394" s="12" t="s">
        <v>50</v>
      </c>
      <c r="Y394" s="12" t="s">
        <v>50</v>
      </c>
      <c r="Z394" s="12" t="s">
        <v>50</v>
      </c>
      <c r="AA394" s="12" t="s">
        <v>50</v>
      </c>
      <c r="AB394" s="12" t="s">
        <v>51</v>
      </c>
      <c r="AC394" s="12" t="s">
        <v>50</v>
      </c>
      <c r="AD394" s="12" t="s">
        <v>50</v>
      </c>
      <c r="AE394" s="12" t="s">
        <v>52</v>
      </c>
      <c r="AF394" s="12" t="s">
        <v>53</v>
      </c>
      <c r="AG394" s="12" t="s">
        <v>50</v>
      </c>
      <c r="AH394" s="19" t="s">
        <v>54</v>
      </c>
    </row>
    <row r="395" spans="2:34" ht="22.5" customHeight="1" x14ac:dyDescent="0.25">
      <c r="B395" s="18" t="s">
        <v>35</v>
      </c>
      <c r="C395" s="9" t="s">
        <v>820</v>
      </c>
      <c r="D395" s="10" t="s">
        <v>831</v>
      </c>
      <c r="E395" s="10"/>
      <c r="F395" s="10" t="s">
        <v>38</v>
      </c>
      <c r="G395" s="10" t="s">
        <v>39</v>
      </c>
      <c r="H395" s="10"/>
      <c r="I395" s="16" t="s">
        <v>184</v>
      </c>
      <c r="J395" s="10"/>
      <c r="K395" s="10"/>
      <c r="L395" s="16"/>
      <c r="M395" s="16"/>
      <c r="N395" s="16"/>
      <c r="O395" s="11">
        <v>0</v>
      </c>
      <c r="P395" s="11">
        <v>1</v>
      </c>
      <c r="Q395" s="11"/>
      <c r="R395" s="11"/>
      <c r="S395" s="12" t="s">
        <v>45</v>
      </c>
      <c r="T395" s="12" t="s">
        <v>46</v>
      </c>
      <c r="U395" s="12" t="s">
        <v>47</v>
      </c>
      <c r="V395" s="12" t="s">
        <v>48</v>
      </c>
      <c r="W395" s="12" t="s">
        <v>49</v>
      </c>
      <c r="X395" s="12" t="s">
        <v>50</v>
      </c>
      <c r="Y395" s="12" t="s">
        <v>50</v>
      </c>
      <c r="Z395" s="12" t="s">
        <v>50</v>
      </c>
      <c r="AA395" s="12" t="s">
        <v>50</v>
      </c>
      <c r="AB395" s="12" t="s">
        <v>51</v>
      </c>
      <c r="AC395" s="12" t="s">
        <v>50</v>
      </c>
      <c r="AD395" s="12" t="s">
        <v>50</v>
      </c>
      <c r="AE395" s="12" t="s">
        <v>52</v>
      </c>
      <c r="AF395" s="12" t="s">
        <v>53</v>
      </c>
      <c r="AG395" s="12" t="s">
        <v>50</v>
      </c>
      <c r="AH395" s="19" t="s">
        <v>54</v>
      </c>
    </row>
    <row r="396" spans="2:34" ht="22.5" customHeight="1" x14ac:dyDescent="0.25">
      <c r="B396" s="18" t="s">
        <v>35</v>
      </c>
      <c r="C396" s="9" t="s">
        <v>820</v>
      </c>
      <c r="D396" s="10" t="s">
        <v>832</v>
      </c>
      <c r="E396" s="10"/>
      <c r="F396" s="10" t="s">
        <v>38</v>
      </c>
      <c r="G396" s="10" t="s">
        <v>39</v>
      </c>
      <c r="H396" s="10"/>
      <c r="I396" s="16" t="s">
        <v>184</v>
      </c>
      <c r="J396" s="10"/>
      <c r="K396" s="10"/>
      <c r="L396" s="16"/>
      <c r="M396" s="16"/>
      <c r="N396" s="16"/>
      <c r="O396" s="11">
        <v>0</v>
      </c>
      <c r="P396" s="11">
        <v>1</v>
      </c>
      <c r="Q396" s="11"/>
      <c r="R396" s="11"/>
      <c r="S396" s="12" t="s">
        <v>45</v>
      </c>
      <c r="T396" s="12" t="s">
        <v>46</v>
      </c>
      <c r="U396" s="12" t="s">
        <v>47</v>
      </c>
      <c r="V396" s="12" t="s">
        <v>48</v>
      </c>
      <c r="W396" s="12" t="s">
        <v>49</v>
      </c>
      <c r="X396" s="12" t="s">
        <v>50</v>
      </c>
      <c r="Y396" s="12" t="s">
        <v>50</v>
      </c>
      <c r="Z396" s="12" t="s">
        <v>50</v>
      </c>
      <c r="AA396" s="12" t="s">
        <v>50</v>
      </c>
      <c r="AB396" s="12" t="s">
        <v>51</v>
      </c>
      <c r="AC396" s="12" t="s">
        <v>50</v>
      </c>
      <c r="AD396" s="12" t="s">
        <v>50</v>
      </c>
      <c r="AE396" s="12" t="s">
        <v>52</v>
      </c>
      <c r="AF396" s="12" t="s">
        <v>53</v>
      </c>
      <c r="AG396" s="12" t="s">
        <v>50</v>
      </c>
      <c r="AH396" s="19" t="s">
        <v>54</v>
      </c>
    </row>
    <row r="397" spans="2:34" ht="22.5" customHeight="1" x14ac:dyDescent="0.25">
      <c r="B397" s="18" t="s">
        <v>35</v>
      </c>
      <c r="C397" s="9" t="s">
        <v>833</v>
      </c>
      <c r="D397" s="10" t="s">
        <v>834</v>
      </c>
      <c r="E397" s="10"/>
      <c r="F397" s="10" t="s">
        <v>38</v>
      </c>
      <c r="G397" s="10" t="s">
        <v>39</v>
      </c>
      <c r="H397" s="10"/>
      <c r="I397" s="16" t="s">
        <v>184</v>
      </c>
      <c r="J397" s="10"/>
      <c r="K397" s="10"/>
      <c r="L397" s="16"/>
      <c r="M397" s="16"/>
      <c r="N397" s="16"/>
      <c r="O397" s="11">
        <v>0</v>
      </c>
      <c r="P397" s="11">
        <v>1</v>
      </c>
      <c r="Q397" s="11"/>
      <c r="R397" s="11"/>
      <c r="S397" s="12" t="s">
        <v>45</v>
      </c>
      <c r="T397" s="12" t="s">
        <v>46</v>
      </c>
      <c r="U397" s="12" t="s">
        <v>47</v>
      </c>
      <c r="V397" s="12" t="s">
        <v>48</v>
      </c>
      <c r="W397" s="12" t="s">
        <v>49</v>
      </c>
      <c r="X397" s="12" t="s">
        <v>50</v>
      </c>
      <c r="Y397" s="12" t="s">
        <v>50</v>
      </c>
      <c r="Z397" s="12" t="s">
        <v>50</v>
      </c>
      <c r="AA397" s="12" t="s">
        <v>50</v>
      </c>
      <c r="AB397" s="12" t="s">
        <v>51</v>
      </c>
      <c r="AC397" s="12" t="s">
        <v>50</v>
      </c>
      <c r="AD397" s="12" t="s">
        <v>50</v>
      </c>
      <c r="AE397" s="12" t="s">
        <v>52</v>
      </c>
      <c r="AF397" s="12" t="s">
        <v>53</v>
      </c>
      <c r="AG397" s="12" t="s">
        <v>50</v>
      </c>
      <c r="AH397" s="19" t="s">
        <v>54</v>
      </c>
    </row>
    <row r="398" spans="2:34" ht="22.5" customHeight="1" x14ac:dyDescent="0.25">
      <c r="B398" s="18" t="s">
        <v>35</v>
      </c>
      <c r="C398" s="9" t="s">
        <v>820</v>
      </c>
      <c r="D398" s="10" t="s">
        <v>835</v>
      </c>
      <c r="E398" s="10"/>
      <c r="F398" s="10" t="s">
        <v>38</v>
      </c>
      <c r="G398" s="10" t="s">
        <v>39</v>
      </c>
      <c r="H398" s="10"/>
      <c r="I398" s="16" t="s">
        <v>184</v>
      </c>
      <c r="J398" s="10"/>
      <c r="K398" s="10"/>
      <c r="L398" s="16"/>
      <c r="M398" s="16"/>
      <c r="N398" s="16"/>
      <c r="O398" s="11">
        <v>0</v>
      </c>
      <c r="P398" s="11">
        <v>1</v>
      </c>
      <c r="Q398" s="11"/>
      <c r="R398" s="11"/>
      <c r="S398" s="12" t="s">
        <v>45</v>
      </c>
      <c r="T398" s="12" t="s">
        <v>46</v>
      </c>
      <c r="U398" s="12" t="s">
        <v>47</v>
      </c>
      <c r="V398" s="12" t="s">
        <v>48</v>
      </c>
      <c r="W398" s="12" t="s">
        <v>49</v>
      </c>
      <c r="X398" s="12" t="s">
        <v>50</v>
      </c>
      <c r="Y398" s="12" t="s">
        <v>50</v>
      </c>
      <c r="Z398" s="12" t="s">
        <v>50</v>
      </c>
      <c r="AA398" s="12" t="s">
        <v>50</v>
      </c>
      <c r="AB398" s="12" t="s">
        <v>51</v>
      </c>
      <c r="AC398" s="12" t="s">
        <v>50</v>
      </c>
      <c r="AD398" s="12" t="s">
        <v>50</v>
      </c>
      <c r="AE398" s="12" t="s">
        <v>52</v>
      </c>
      <c r="AF398" s="12" t="s">
        <v>53</v>
      </c>
      <c r="AG398" s="12" t="s">
        <v>50</v>
      </c>
      <c r="AH398" s="19" t="s">
        <v>54</v>
      </c>
    </row>
    <row r="399" spans="2:34" ht="22.5" customHeight="1" x14ac:dyDescent="0.25">
      <c r="B399" s="18" t="s">
        <v>35</v>
      </c>
      <c r="C399" s="9" t="s">
        <v>700</v>
      </c>
      <c r="D399" s="10" t="s">
        <v>836</v>
      </c>
      <c r="E399" s="10"/>
      <c r="F399" s="10" t="s">
        <v>38</v>
      </c>
      <c r="G399" s="10" t="s">
        <v>39</v>
      </c>
      <c r="H399" s="10"/>
      <c r="I399" s="16" t="s">
        <v>184</v>
      </c>
      <c r="J399" s="10"/>
      <c r="K399" s="10"/>
      <c r="L399" s="16"/>
      <c r="M399" s="16"/>
      <c r="N399" s="16"/>
      <c r="O399" s="11">
        <v>0</v>
      </c>
      <c r="P399" s="11">
        <v>1</v>
      </c>
      <c r="Q399" s="11"/>
      <c r="R399" s="11"/>
      <c r="S399" s="12" t="s">
        <v>45</v>
      </c>
      <c r="T399" s="12" t="s">
        <v>46</v>
      </c>
      <c r="U399" s="12" t="s">
        <v>47</v>
      </c>
      <c r="V399" s="12" t="s">
        <v>48</v>
      </c>
      <c r="W399" s="12" t="s">
        <v>49</v>
      </c>
      <c r="X399" s="12" t="s">
        <v>50</v>
      </c>
      <c r="Y399" s="12" t="s">
        <v>50</v>
      </c>
      <c r="Z399" s="12" t="s">
        <v>50</v>
      </c>
      <c r="AA399" s="12" t="s">
        <v>50</v>
      </c>
      <c r="AB399" s="12" t="s">
        <v>51</v>
      </c>
      <c r="AC399" s="12" t="s">
        <v>50</v>
      </c>
      <c r="AD399" s="12" t="s">
        <v>50</v>
      </c>
      <c r="AE399" s="12" t="s">
        <v>52</v>
      </c>
      <c r="AF399" s="12" t="s">
        <v>53</v>
      </c>
      <c r="AG399" s="12" t="s">
        <v>50</v>
      </c>
      <c r="AH399" s="19" t="s">
        <v>54</v>
      </c>
    </row>
    <row r="400" spans="2:34" ht="22.5" customHeight="1" x14ac:dyDescent="0.25">
      <c r="B400" s="18" t="s">
        <v>35</v>
      </c>
      <c r="C400" s="9" t="s">
        <v>684</v>
      </c>
      <c r="D400" s="10" t="s">
        <v>837</v>
      </c>
      <c r="E400" s="10"/>
      <c r="F400" s="10" t="s">
        <v>816</v>
      </c>
      <c r="G400" s="10" t="s">
        <v>183</v>
      </c>
      <c r="H400" s="10"/>
      <c r="I400" s="16" t="s">
        <v>184</v>
      </c>
      <c r="J400" s="10"/>
      <c r="K400" s="10"/>
      <c r="L400" s="16"/>
      <c r="M400" s="16"/>
      <c r="N400" s="16"/>
      <c r="O400" s="11">
        <v>0</v>
      </c>
      <c r="P400" s="11">
        <v>1</v>
      </c>
      <c r="Q400" s="11"/>
      <c r="R400" s="11"/>
      <c r="S400" s="12" t="s">
        <v>50</v>
      </c>
      <c r="T400" s="12" t="s">
        <v>50</v>
      </c>
      <c r="U400" s="12" t="s">
        <v>50</v>
      </c>
      <c r="V400" s="12" t="s">
        <v>50</v>
      </c>
      <c r="W400" s="12" t="s">
        <v>50</v>
      </c>
      <c r="X400" s="12" t="s">
        <v>50</v>
      </c>
      <c r="Y400" s="12" t="s">
        <v>50</v>
      </c>
      <c r="Z400" s="12" t="s">
        <v>50</v>
      </c>
      <c r="AA400" s="12" t="s">
        <v>50</v>
      </c>
      <c r="AB400" s="12" t="s">
        <v>50</v>
      </c>
      <c r="AC400" s="12" t="s">
        <v>50</v>
      </c>
      <c r="AD400" s="12" t="s">
        <v>50</v>
      </c>
      <c r="AE400" s="12" t="s">
        <v>50</v>
      </c>
      <c r="AF400" s="12" t="s">
        <v>50</v>
      </c>
      <c r="AG400" s="12" t="s">
        <v>50</v>
      </c>
      <c r="AH400" s="19" t="s">
        <v>50</v>
      </c>
    </row>
    <row r="401" spans="2:34" ht="22.5" customHeight="1" x14ac:dyDescent="0.25">
      <c r="B401" s="18" t="s">
        <v>35</v>
      </c>
      <c r="C401" s="9" t="s">
        <v>820</v>
      </c>
      <c r="D401" s="10" t="s">
        <v>838</v>
      </c>
      <c r="E401" s="10"/>
      <c r="F401" s="10" t="s">
        <v>38</v>
      </c>
      <c r="G401" s="10" t="s">
        <v>39</v>
      </c>
      <c r="H401" s="10"/>
      <c r="I401" s="16" t="s">
        <v>184</v>
      </c>
      <c r="J401" s="10"/>
      <c r="K401" s="10"/>
      <c r="L401" s="16"/>
      <c r="M401" s="16"/>
      <c r="N401" s="16"/>
      <c r="O401" s="11">
        <v>0</v>
      </c>
      <c r="P401" s="11">
        <v>1</v>
      </c>
      <c r="Q401" s="11"/>
      <c r="R401" s="11"/>
      <c r="S401" s="12" t="s">
        <v>45</v>
      </c>
      <c r="T401" s="12" t="s">
        <v>46</v>
      </c>
      <c r="U401" s="12" t="s">
        <v>47</v>
      </c>
      <c r="V401" s="12" t="s">
        <v>48</v>
      </c>
      <c r="W401" s="12" t="s">
        <v>49</v>
      </c>
      <c r="X401" s="12" t="s">
        <v>50</v>
      </c>
      <c r="Y401" s="12" t="s">
        <v>50</v>
      </c>
      <c r="Z401" s="12" t="s">
        <v>50</v>
      </c>
      <c r="AA401" s="12" t="s">
        <v>50</v>
      </c>
      <c r="AB401" s="12" t="s">
        <v>51</v>
      </c>
      <c r="AC401" s="12" t="s">
        <v>50</v>
      </c>
      <c r="AD401" s="12" t="s">
        <v>50</v>
      </c>
      <c r="AE401" s="12" t="s">
        <v>52</v>
      </c>
      <c r="AF401" s="12" t="s">
        <v>53</v>
      </c>
      <c r="AG401" s="12" t="s">
        <v>50</v>
      </c>
      <c r="AH401" s="19" t="s">
        <v>54</v>
      </c>
    </row>
    <row r="402" spans="2:34" ht="22.5" customHeight="1" x14ac:dyDescent="0.25">
      <c r="B402" s="18" t="s">
        <v>35</v>
      </c>
      <c r="C402" s="9" t="s">
        <v>820</v>
      </c>
      <c r="D402" s="10" t="s">
        <v>839</v>
      </c>
      <c r="E402" s="10"/>
      <c r="F402" s="10" t="s">
        <v>38</v>
      </c>
      <c r="G402" s="10" t="s">
        <v>39</v>
      </c>
      <c r="H402" s="10"/>
      <c r="I402" s="16" t="s">
        <v>184</v>
      </c>
      <c r="J402" s="10"/>
      <c r="K402" s="10"/>
      <c r="L402" s="16"/>
      <c r="M402" s="16"/>
      <c r="N402" s="16"/>
      <c r="O402" s="11">
        <v>0</v>
      </c>
      <c r="P402" s="11">
        <v>1</v>
      </c>
      <c r="Q402" s="11"/>
      <c r="R402" s="11"/>
      <c r="S402" s="12" t="s">
        <v>45</v>
      </c>
      <c r="T402" s="12" t="s">
        <v>46</v>
      </c>
      <c r="U402" s="12" t="s">
        <v>47</v>
      </c>
      <c r="V402" s="12" t="s">
        <v>48</v>
      </c>
      <c r="W402" s="12" t="s">
        <v>49</v>
      </c>
      <c r="X402" s="12" t="s">
        <v>50</v>
      </c>
      <c r="Y402" s="12" t="s">
        <v>50</v>
      </c>
      <c r="Z402" s="12" t="s">
        <v>50</v>
      </c>
      <c r="AA402" s="12" t="s">
        <v>50</v>
      </c>
      <c r="AB402" s="12" t="s">
        <v>51</v>
      </c>
      <c r="AC402" s="12" t="s">
        <v>50</v>
      </c>
      <c r="AD402" s="12" t="s">
        <v>50</v>
      </c>
      <c r="AE402" s="12" t="s">
        <v>52</v>
      </c>
      <c r="AF402" s="12" t="s">
        <v>53</v>
      </c>
      <c r="AG402" s="12" t="s">
        <v>50</v>
      </c>
      <c r="AH402" s="19" t="s">
        <v>54</v>
      </c>
    </row>
    <row r="403" spans="2:34" ht="22.5" customHeight="1" x14ac:dyDescent="0.25">
      <c r="B403" s="18" t="s">
        <v>35</v>
      </c>
      <c r="C403" s="9" t="s">
        <v>820</v>
      </c>
      <c r="D403" s="10" t="s">
        <v>840</v>
      </c>
      <c r="E403" s="10"/>
      <c r="F403" s="10" t="s">
        <v>38</v>
      </c>
      <c r="G403" s="10" t="s">
        <v>39</v>
      </c>
      <c r="H403" s="10"/>
      <c r="I403" s="16" t="s">
        <v>184</v>
      </c>
      <c r="J403" s="10"/>
      <c r="K403" s="10"/>
      <c r="L403" s="16"/>
      <c r="M403" s="16"/>
      <c r="N403" s="16"/>
      <c r="O403" s="11">
        <v>0</v>
      </c>
      <c r="P403" s="11">
        <v>1</v>
      </c>
      <c r="Q403" s="11"/>
      <c r="R403" s="11"/>
      <c r="S403" s="12" t="s">
        <v>45</v>
      </c>
      <c r="T403" s="12" t="s">
        <v>46</v>
      </c>
      <c r="U403" s="12" t="s">
        <v>47</v>
      </c>
      <c r="V403" s="12" t="s">
        <v>48</v>
      </c>
      <c r="W403" s="12" t="s">
        <v>49</v>
      </c>
      <c r="X403" s="12" t="s">
        <v>50</v>
      </c>
      <c r="Y403" s="12" t="s">
        <v>50</v>
      </c>
      <c r="Z403" s="12" t="s">
        <v>50</v>
      </c>
      <c r="AA403" s="12" t="s">
        <v>50</v>
      </c>
      <c r="AB403" s="12" t="s">
        <v>51</v>
      </c>
      <c r="AC403" s="12" t="s">
        <v>50</v>
      </c>
      <c r="AD403" s="12" t="s">
        <v>50</v>
      </c>
      <c r="AE403" s="12" t="s">
        <v>52</v>
      </c>
      <c r="AF403" s="12" t="s">
        <v>53</v>
      </c>
      <c r="AG403" s="12" t="s">
        <v>50</v>
      </c>
      <c r="AH403" s="19" t="s">
        <v>54</v>
      </c>
    </row>
    <row r="404" spans="2:34" ht="22.5" customHeight="1" x14ac:dyDescent="0.25">
      <c r="B404" s="18" t="s">
        <v>35</v>
      </c>
      <c r="C404" s="9" t="s">
        <v>820</v>
      </c>
      <c r="D404" s="10" t="s">
        <v>841</v>
      </c>
      <c r="E404" s="10"/>
      <c r="F404" s="10" t="s">
        <v>38</v>
      </c>
      <c r="G404" s="10" t="s">
        <v>39</v>
      </c>
      <c r="H404" s="10"/>
      <c r="I404" s="16" t="s">
        <v>184</v>
      </c>
      <c r="J404" s="10"/>
      <c r="K404" s="10"/>
      <c r="L404" s="16"/>
      <c r="M404" s="16"/>
      <c r="N404" s="16"/>
      <c r="O404" s="11">
        <v>0</v>
      </c>
      <c r="P404" s="11">
        <v>1</v>
      </c>
      <c r="Q404" s="11"/>
      <c r="R404" s="11"/>
      <c r="S404" s="12" t="s">
        <v>45</v>
      </c>
      <c r="T404" s="12" t="s">
        <v>46</v>
      </c>
      <c r="U404" s="12" t="s">
        <v>47</v>
      </c>
      <c r="V404" s="12" t="s">
        <v>48</v>
      </c>
      <c r="W404" s="12" t="s">
        <v>49</v>
      </c>
      <c r="X404" s="12" t="s">
        <v>50</v>
      </c>
      <c r="Y404" s="12" t="s">
        <v>50</v>
      </c>
      <c r="Z404" s="12" t="s">
        <v>50</v>
      </c>
      <c r="AA404" s="12" t="s">
        <v>50</v>
      </c>
      <c r="AB404" s="12" t="s">
        <v>51</v>
      </c>
      <c r="AC404" s="12" t="s">
        <v>50</v>
      </c>
      <c r="AD404" s="12" t="s">
        <v>50</v>
      </c>
      <c r="AE404" s="12" t="s">
        <v>52</v>
      </c>
      <c r="AF404" s="12" t="s">
        <v>53</v>
      </c>
      <c r="AG404" s="12" t="s">
        <v>50</v>
      </c>
      <c r="AH404" s="19" t="s">
        <v>54</v>
      </c>
    </row>
    <row r="405" spans="2:34" ht="22.5" customHeight="1" x14ac:dyDescent="0.25">
      <c r="B405" s="18" t="s">
        <v>35</v>
      </c>
      <c r="C405" s="9" t="s">
        <v>796</v>
      </c>
      <c r="D405" s="10" t="s">
        <v>842</v>
      </c>
      <c r="E405" s="10"/>
      <c r="F405" s="10" t="s">
        <v>642</v>
      </c>
      <c r="G405" s="10" t="s">
        <v>39</v>
      </c>
      <c r="H405" s="10"/>
      <c r="I405" s="16" t="s">
        <v>184</v>
      </c>
      <c r="J405" s="10"/>
      <c r="K405" s="10"/>
      <c r="L405" s="16"/>
      <c r="M405" s="16"/>
      <c r="N405" s="16"/>
      <c r="O405" s="11">
        <v>0</v>
      </c>
      <c r="P405" s="11">
        <v>1</v>
      </c>
      <c r="Q405" s="11"/>
      <c r="R405" s="11"/>
      <c r="S405" s="12" t="s">
        <v>643</v>
      </c>
      <c r="T405" s="12" t="s">
        <v>50</v>
      </c>
      <c r="U405" s="12" t="s">
        <v>50</v>
      </c>
      <c r="V405" s="12" t="s">
        <v>50</v>
      </c>
      <c r="W405" s="12" t="s">
        <v>50</v>
      </c>
      <c r="X405" s="12" t="s">
        <v>50</v>
      </c>
      <c r="Y405" s="12" t="s">
        <v>50</v>
      </c>
      <c r="Z405" s="12" t="s">
        <v>50</v>
      </c>
      <c r="AA405" s="12" t="s">
        <v>50</v>
      </c>
      <c r="AB405" s="12" t="s">
        <v>50</v>
      </c>
      <c r="AC405" s="12" t="s">
        <v>50</v>
      </c>
      <c r="AD405" s="12" t="s">
        <v>50</v>
      </c>
      <c r="AE405" s="12" t="s">
        <v>52</v>
      </c>
      <c r="AF405" s="12" t="s">
        <v>50</v>
      </c>
      <c r="AG405" s="12" t="s">
        <v>50</v>
      </c>
      <c r="AH405" s="19" t="s">
        <v>54</v>
      </c>
    </row>
    <row r="406" spans="2:34" ht="22.5" customHeight="1" x14ac:dyDescent="0.25">
      <c r="B406" s="18" t="s">
        <v>35</v>
      </c>
      <c r="C406" s="9" t="s">
        <v>796</v>
      </c>
      <c r="D406" s="10" t="s">
        <v>843</v>
      </c>
      <c r="E406" s="10"/>
      <c r="F406" s="10" t="s">
        <v>642</v>
      </c>
      <c r="G406" s="10" t="s">
        <v>39</v>
      </c>
      <c r="H406" s="10"/>
      <c r="I406" s="16" t="s">
        <v>184</v>
      </c>
      <c r="J406" s="10"/>
      <c r="K406" s="10"/>
      <c r="L406" s="16"/>
      <c r="M406" s="16"/>
      <c r="N406" s="16"/>
      <c r="O406" s="11">
        <v>0</v>
      </c>
      <c r="P406" s="11">
        <v>1</v>
      </c>
      <c r="Q406" s="11"/>
      <c r="R406" s="11"/>
      <c r="S406" s="12" t="s">
        <v>643</v>
      </c>
      <c r="T406" s="12" t="s">
        <v>50</v>
      </c>
      <c r="U406" s="12" t="s">
        <v>50</v>
      </c>
      <c r="V406" s="12" t="s">
        <v>50</v>
      </c>
      <c r="W406" s="12" t="s">
        <v>50</v>
      </c>
      <c r="X406" s="12" t="s">
        <v>50</v>
      </c>
      <c r="Y406" s="12" t="s">
        <v>50</v>
      </c>
      <c r="Z406" s="12" t="s">
        <v>50</v>
      </c>
      <c r="AA406" s="12" t="s">
        <v>50</v>
      </c>
      <c r="AB406" s="12" t="s">
        <v>50</v>
      </c>
      <c r="AC406" s="12" t="s">
        <v>50</v>
      </c>
      <c r="AD406" s="12" t="s">
        <v>50</v>
      </c>
      <c r="AE406" s="12" t="s">
        <v>52</v>
      </c>
      <c r="AF406" s="12" t="s">
        <v>50</v>
      </c>
      <c r="AG406" s="12" t="s">
        <v>50</v>
      </c>
      <c r="AH406" s="19" t="s">
        <v>54</v>
      </c>
    </row>
    <row r="407" spans="2:34" ht="22.5" customHeight="1" x14ac:dyDescent="0.25">
      <c r="B407" s="18" t="s">
        <v>35</v>
      </c>
      <c r="C407" s="9" t="s">
        <v>796</v>
      </c>
      <c r="D407" s="10" t="s">
        <v>843</v>
      </c>
      <c r="E407" s="10"/>
      <c r="F407" s="10" t="s">
        <v>642</v>
      </c>
      <c r="G407" s="10" t="s">
        <v>183</v>
      </c>
      <c r="H407" s="10"/>
      <c r="I407" s="16" t="s">
        <v>184</v>
      </c>
      <c r="J407" s="10"/>
      <c r="K407" s="10"/>
      <c r="L407" s="16"/>
      <c r="M407" s="16"/>
      <c r="N407" s="16"/>
      <c r="O407" s="11">
        <v>0</v>
      </c>
      <c r="P407" s="11">
        <v>1</v>
      </c>
      <c r="Q407" s="11"/>
      <c r="R407" s="11"/>
      <c r="S407" s="12" t="s">
        <v>643</v>
      </c>
      <c r="T407" s="12" t="s">
        <v>50</v>
      </c>
      <c r="U407" s="12" t="s">
        <v>50</v>
      </c>
      <c r="V407" s="12" t="s">
        <v>50</v>
      </c>
      <c r="W407" s="12" t="s">
        <v>50</v>
      </c>
      <c r="X407" s="12" t="s">
        <v>50</v>
      </c>
      <c r="Y407" s="12" t="s">
        <v>50</v>
      </c>
      <c r="Z407" s="12" t="s">
        <v>50</v>
      </c>
      <c r="AA407" s="12" t="s">
        <v>50</v>
      </c>
      <c r="AB407" s="12" t="s">
        <v>50</v>
      </c>
      <c r="AC407" s="12" t="s">
        <v>50</v>
      </c>
      <c r="AD407" s="12" t="s">
        <v>50</v>
      </c>
      <c r="AE407" s="12" t="s">
        <v>52</v>
      </c>
      <c r="AF407" s="12" t="s">
        <v>50</v>
      </c>
      <c r="AG407" s="12" t="s">
        <v>50</v>
      </c>
      <c r="AH407" s="19" t="s">
        <v>54</v>
      </c>
    </row>
    <row r="408" spans="2:34" ht="22.5" customHeight="1" x14ac:dyDescent="0.25">
      <c r="B408" s="18" t="s">
        <v>35</v>
      </c>
      <c r="C408" s="9" t="s">
        <v>844</v>
      </c>
      <c r="D408" s="10" t="s">
        <v>845</v>
      </c>
      <c r="E408" s="10"/>
      <c r="F408" s="10" t="s">
        <v>38</v>
      </c>
      <c r="G408" s="10" t="s">
        <v>39</v>
      </c>
      <c r="H408" s="10"/>
      <c r="I408" s="16" t="s">
        <v>184</v>
      </c>
      <c r="J408" s="10"/>
      <c r="K408" s="10"/>
      <c r="L408" s="16"/>
      <c r="M408" s="16"/>
      <c r="N408" s="16"/>
      <c r="O408" s="11">
        <v>0</v>
      </c>
      <c r="P408" s="11">
        <v>1</v>
      </c>
      <c r="Q408" s="11"/>
      <c r="R408" s="11"/>
      <c r="S408" s="12" t="s">
        <v>45</v>
      </c>
      <c r="T408" s="12" t="s">
        <v>46</v>
      </c>
      <c r="U408" s="12" t="s">
        <v>47</v>
      </c>
      <c r="V408" s="12" t="s">
        <v>48</v>
      </c>
      <c r="W408" s="12" t="s">
        <v>49</v>
      </c>
      <c r="X408" s="12" t="s">
        <v>50</v>
      </c>
      <c r="Y408" s="12" t="s">
        <v>50</v>
      </c>
      <c r="Z408" s="12" t="s">
        <v>50</v>
      </c>
      <c r="AA408" s="12" t="s">
        <v>50</v>
      </c>
      <c r="AB408" s="12" t="s">
        <v>51</v>
      </c>
      <c r="AC408" s="12" t="s">
        <v>50</v>
      </c>
      <c r="AD408" s="12" t="s">
        <v>50</v>
      </c>
      <c r="AE408" s="12" t="s">
        <v>52</v>
      </c>
      <c r="AF408" s="12" t="s">
        <v>53</v>
      </c>
      <c r="AG408" s="12" t="s">
        <v>50</v>
      </c>
      <c r="AH408" s="19" t="s">
        <v>54</v>
      </c>
    </row>
    <row r="409" spans="2:34" ht="22.5" customHeight="1" x14ac:dyDescent="0.25">
      <c r="B409" s="18" t="s">
        <v>35</v>
      </c>
      <c r="C409" s="9" t="s">
        <v>820</v>
      </c>
      <c r="D409" s="10" t="s">
        <v>846</v>
      </c>
      <c r="E409" s="10"/>
      <c r="F409" s="10" t="s">
        <v>38</v>
      </c>
      <c r="G409" s="10" t="s">
        <v>39</v>
      </c>
      <c r="H409" s="10"/>
      <c r="I409" s="16" t="s">
        <v>184</v>
      </c>
      <c r="J409" s="10"/>
      <c r="K409" s="10"/>
      <c r="L409" s="16"/>
      <c r="M409" s="16"/>
      <c r="N409" s="16"/>
      <c r="O409" s="11">
        <v>0</v>
      </c>
      <c r="P409" s="11">
        <v>1</v>
      </c>
      <c r="Q409" s="11"/>
      <c r="R409" s="11"/>
      <c r="S409" s="12" t="s">
        <v>45</v>
      </c>
      <c r="T409" s="12" t="s">
        <v>46</v>
      </c>
      <c r="U409" s="12" t="s">
        <v>47</v>
      </c>
      <c r="V409" s="12" t="s">
        <v>48</v>
      </c>
      <c r="W409" s="12" t="s">
        <v>49</v>
      </c>
      <c r="X409" s="12" t="s">
        <v>50</v>
      </c>
      <c r="Y409" s="12" t="s">
        <v>50</v>
      </c>
      <c r="Z409" s="12" t="s">
        <v>50</v>
      </c>
      <c r="AA409" s="12" t="s">
        <v>50</v>
      </c>
      <c r="AB409" s="12" t="s">
        <v>51</v>
      </c>
      <c r="AC409" s="12" t="s">
        <v>50</v>
      </c>
      <c r="AD409" s="12" t="s">
        <v>50</v>
      </c>
      <c r="AE409" s="12" t="s">
        <v>52</v>
      </c>
      <c r="AF409" s="12" t="s">
        <v>53</v>
      </c>
      <c r="AG409" s="12" t="s">
        <v>50</v>
      </c>
      <c r="AH409" s="19" t="s">
        <v>54</v>
      </c>
    </row>
    <row r="410" spans="2:34" ht="22.5" customHeight="1" x14ac:dyDescent="0.25">
      <c r="B410" s="18" t="s">
        <v>35</v>
      </c>
      <c r="C410" s="9" t="s">
        <v>820</v>
      </c>
      <c r="D410" s="10" t="s">
        <v>847</v>
      </c>
      <c r="E410" s="10"/>
      <c r="F410" s="10" t="s">
        <v>38</v>
      </c>
      <c r="G410" s="10" t="s">
        <v>39</v>
      </c>
      <c r="H410" s="10"/>
      <c r="I410" s="16" t="s">
        <v>184</v>
      </c>
      <c r="J410" s="10"/>
      <c r="K410" s="10"/>
      <c r="L410" s="16"/>
      <c r="M410" s="16"/>
      <c r="N410" s="16"/>
      <c r="O410" s="11">
        <v>0</v>
      </c>
      <c r="P410" s="11">
        <v>1</v>
      </c>
      <c r="Q410" s="11"/>
      <c r="R410" s="11"/>
      <c r="S410" s="12" t="s">
        <v>45</v>
      </c>
      <c r="T410" s="12" t="s">
        <v>46</v>
      </c>
      <c r="U410" s="12" t="s">
        <v>47</v>
      </c>
      <c r="V410" s="12" t="s">
        <v>48</v>
      </c>
      <c r="W410" s="12" t="s">
        <v>49</v>
      </c>
      <c r="X410" s="12" t="s">
        <v>50</v>
      </c>
      <c r="Y410" s="12" t="s">
        <v>50</v>
      </c>
      <c r="Z410" s="12" t="s">
        <v>50</v>
      </c>
      <c r="AA410" s="12" t="s">
        <v>50</v>
      </c>
      <c r="AB410" s="12" t="s">
        <v>51</v>
      </c>
      <c r="AC410" s="12" t="s">
        <v>50</v>
      </c>
      <c r="AD410" s="12" t="s">
        <v>50</v>
      </c>
      <c r="AE410" s="12" t="s">
        <v>52</v>
      </c>
      <c r="AF410" s="12" t="s">
        <v>53</v>
      </c>
      <c r="AG410" s="12" t="s">
        <v>50</v>
      </c>
      <c r="AH410" s="19" t="s">
        <v>54</v>
      </c>
    </row>
    <row r="411" spans="2:34" ht="22.5" customHeight="1" x14ac:dyDescent="0.25">
      <c r="B411" s="18" t="s">
        <v>35</v>
      </c>
      <c r="C411" s="9" t="s">
        <v>844</v>
      </c>
      <c r="D411" s="10" t="s">
        <v>848</v>
      </c>
      <c r="E411" s="10"/>
      <c r="F411" s="10" t="s">
        <v>38</v>
      </c>
      <c r="G411" s="10" t="s">
        <v>39</v>
      </c>
      <c r="H411" s="10"/>
      <c r="I411" s="16" t="s">
        <v>184</v>
      </c>
      <c r="J411" s="10"/>
      <c r="K411" s="10"/>
      <c r="L411" s="16"/>
      <c r="M411" s="16"/>
      <c r="N411" s="16"/>
      <c r="O411" s="11">
        <v>0</v>
      </c>
      <c r="P411" s="11">
        <v>1</v>
      </c>
      <c r="Q411" s="11"/>
      <c r="R411" s="11"/>
      <c r="S411" s="12" t="s">
        <v>45</v>
      </c>
      <c r="T411" s="12" t="s">
        <v>46</v>
      </c>
      <c r="U411" s="12" t="s">
        <v>47</v>
      </c>
      <c r="V411" s="12" t="s">
        <v>48</v>
      </c>
      <c r="W411" s="12" t="s">
        <v>49</v>
      </c>
      <c r="X411" s="12" t="s">
        <v>50</v>
      </c>
      <c r="Y411" s="12" t="s">
        <v>50</v>
      </c>
      <c r="Z411" s="12" t="s">
        <v>50</v>
      </c>
      <c r="AA411" s="12" t="s">
        <v>50</v>
      </c>
      <c r="AB411" s="12" t="s">
        <v>51</v>
      </c>
      <c r="AC411" s="12" t="s">
        <v>50</v>
      </c>
      <c r="AD411" s="12" t="s">
        <v>50</v>
      </c>
      <c r="AE411" s="12" t="s">
        <v>52</v>
      </c>
      <c r="AF411" s="12" t="s">
        <v>53</v>
      </c>
      <c r="AG411" s="12" t="s">
        <v>50</v>
      </c>
      <c r="AH411" s="19" t="s">
        <v>54</v>
      </c>
    </row>
    <row r="412" spans="2:34" ht="22.5" customHeight="1" x14ac:dyDescent="0.25">
      <c r="B412" s="18" t="s">
        <v>35</v>
      </c>
      <c r="C412" s="9" t="s">
        <v>820</v>
      </c>
      <c r="D412" s="10" t="s">
        <v>849</v>
      </c>
      <c r="E412" s="10"/>
      <c r="F412" s="10" t="s">
        <v>38</v>
      </c>
      <c r="G412" s="10" t="s">
        <v>39</v>
      </c>
      <c r="H412" s="10"/>
      <c r="I412" s="16" t="s">
        <v>184</v>
      </c>
      <c r="J412" s="10"/>
      <c r="K412" s="10"/>
      <c r="L412" s="16"/>
      <c r="M412" s="16"/>
      <c r="N412" s="16"/>
      <c r="O412" s="11">
        <v>0</v>
      </c>
      <c r="P412" s="11">
        <v>1</v>
      </c>
      <c r="Q412" s="11"/>
      <c r="R412" s="11"/>
      <c r="S412" s="12" t="s">
        <v>45</v>
      </c>
      <c r="T412" s="12" t="s">
        <v>46</v>
      </c>
      <c r="U412" s="12" t="s">
        <v>47</v>
      </c>
      <c r="V412" s="12" t="s">
        <v>48</v>
      </c>
      <c r="W412" s="12" t="s">
        <v>49</v>
      </c>
      <c r="X412" s="12" t="s">
        <v>50</v>
      </c>
      <c r="Y412" s="12" t="s">
        <v>50</v>
      </c>
      <c r="Z412" s="12" t="s">
        <v>50</v>
      </c>
      <c r="AA412" s="12" t="s">
        <v>50</v>
      </c>
      <c r="AB412" s="12" t="s">
        <v>51</v>
      </c>
      <c r="AC412" s="12" t="s">
        <v>50</v>
      </c>
      <c r="AD412" s="12" t="s">
        <v>50</v>
      </c>
      <c r="AE412" s="12" t="s">
        <v>52</v>
      </c>
      <c r="AF412" s="12" t="s">
        <v>53</v>
      </c>
      <c r="AG412" s="12" t="s">
        <v>50</v>
      </c>
      <c r="AH412" s="19" t="s">
        <v>54</v>
      </c>
    </row>
    <row r="413" spans="2:34" ht="22.5" customHeight="1" x14ac:dyDescent="0.25">
      <c r="B413" s="18" t="s">
        <v>35</v>
      </c>
      <c r="C413" s="9" t="s">
        <v>820</v>
      </c>
      <c r="D413" s="10" t="s">
        <v>850</v>
      </c>
      <c r="E413" s="10"/>
      <c r="F413" s="10" t="s">
        <v>38</v>
      </c>
      <c r="G413" s="10" t="s">
        <v>39</v>
      </c>
      <c r="H413" s="10"/>
      <c r="I413" s="16" t="s">
        <v>184</v>
      </c>
      <c r="J413" s="10"/>
      <c r="K413" s="10"/>
      <c r="L413" s="16"/>
      <c r="M413" s="16"/>
      <c r="N413" s="16"/>
      <c r="O413" s="11">
        <v>0</v>
      </c>
      <c r="P413" s="11">
        <v>1</v>
      </c>
      <c r="Q413" s="11"/>
      <c r="R413" s="11"/>
      <c r="S413" s="12" t="s">
        <v>45</v>
      </c>
      <c r="T413" s="12" t="s">
        <v>46</v>
      </c>
      <c r="U413" s="12" t="s">
        <v>47</v>
      </c>
      <c r="V413" s="12" t="s">
        <v>48</v>
      </c>
      <c r="W413" s="12" t="s">
        <v>49</v>
      </c>
      <c r="X413" s="12" t="s">
        <v>50</v>
      </c>
      <c r="Y413" s="12" t="s">
        <v>50</v>
      </c>
      <c r="Z413" s="12" t="s">
        <v>50</v>
      </c>
      <c r="AA413" s="12" t="s">
        <v>50</v>
      </c>
      <c r="AB413" s="12" t="s">
        <v>51</v>
      </c>
      <c r="AC413" s="12" t="s">
        <v>50</v>
      </c>
      <c r="AD413" s="12" t="s">
        <v>50</v>
      </c>
      <c r="AE413" s="12" t="s">
        <v>52</v>
      </c>
      <c r="AF413" s="12" t="s">
        <v>53</v>
      </c>
      <c r="AG413" s="12" t="s">
        <v>50</v>
      </c>
      <c r="AH413" s="19" t="s">
        <v>54</v>
      </c>
    </row>
    <row r="414" spans="2:34" ht="22.5" customHeight="1" x14ac:dyDescent="0.25">
      <c r="B414" s="18" t="s">
        <v>35</v>
      </c>
      <c r="C414" s="9" t="s">
        <v>700</v>
      </c>
      <c r="D414" s="10" t="s">
        <v>851</v>
      </c>
      <c r="E414" s="10"/>
      <c r="F414" s="10" t="s">
        <v>38</v>
      </c>
      <c r="G414" s="10" t="s">
        <v>39</v>
      </c>
      <c r="H414" s="10"/>
      <c r="I414" s="16" t="s">
        <v>184</v>
      </c>
      <c r="J414" s="10"/>
      <c r="K414" s="10"/>
      <c r="L414" s="16"/>
      <c r="M414" s="16"/>
      <c r="N414" s="16"/>
      <c r="O414" s="11">
        <v>0</v>
      </c>
      <c r="P414" s="11">
        <v>1</v>
      </c>
      <c r="Q414" s="11"/>
      <c r="R414" s="11"/>
      <c r="S414" s="12" t="s">
        <v>45</v>
      </c>
      <c r="T414" s="12" t="s">
        <v>46</v>
      </c>
      <c r="U414" s="12" t="s">
        <v>47</v>
      </c>
      <c r="V414" s="12" t="s">
        <v>48</v>
      </c>
      <c r="W414" s="12" t="s">
        <v>49</v>
      </c>
      <c r="X414" s="12" t="s">
        <v>50</v>
      </c>
      <c r="Y414" s="12" t="s">
        <v>50</v>
      </c>
      <c r="Z414" s="12" t="s">
        <v>50</v>
      </c>
      <c r="AA414" s="12" t="s">
        <v>50</v>
      </c>
      <c r="AB414" s="12" t="s">
        <v>51</v>
      </c>
      <c r="AC414" s="12" t="s">
        <v>50</v>
      </c>
      <c r="AD414" s="12" t="s">
        <v>50</v>
      </c>
      <c r="AE414" s="12" t="s">
        <v>52</v>
      </c>
      <c r="AF414" s="12" t="s">
        <v>53</v>
      </c>
      <c r="AG414" s="12" t="s">
        <v>50</v>
      </c>
      <c r="AH414" s="19" t="s">
        <v>54</v>
      </c>
    </row>
    <row r="415" spans="2:34" ht="22.5" customHeight="1" x14ac:dyDescent="0.25">
      <c r="B415" s="18" t="s">
        <v>35</v>
      </c>
      <c r="C415" s="9" t="s">
        <v>684</v>
      </c>
      <c r="D415" s="10" t="s">
        <v>852</v>
      </c>
      <c r="E415" s="10"/>
      <c r="F415" s="10" t="s">
        <v>816</v>
      </c>
      <c r="G415" s="10" t="s">
        <v>183</v>
      </c>
      <c r="H415" s="10"/>
      <c r="I415" s="16" t="s">
        <v>184</v>
      </c>
      <c r="J415" s="10"/>
      <c r="K415" s="10"/>
      <c r="L415" s="16"/>
      <c r="M415" s="16"/>
      <c r="N415" s="16"/>
      <c r="O415" s="11">
        <v>0</v>
      </c>
      <c r="P415" s="11">
        <v>1</v>
      </c>
      <c r="Q415" s="11"/>
      <c r="R415" s="11"/>
      <c r="S415" s="12" t="s">
        <v>50</v>
      </c>
      <c r="T415" s="12" t="s">
        <v>50</v>
      </c>
      <c r="U415" s="12" t="s">
        <v>50</v>
      </c>
      <c r="V415" s="12" t="s">
        <v>50</v>
      </c>
      <c r="W415" s="12" t="s">
        <v>50</v>
      </c>
      <c r="X415" s="12" t="s">
        <v>50</v>
      </c>
      <c r="Y415" s="12" t="s">
        <v>50</v>
      </c>
      <c r="Z415" s="12" t="s">
        <v>50</v>
      </c>
      <c r="AA415" s="12" t="s">
        <v>50</v>
      </c>
      <c r="AB415" s="12" t="s">
        <v>50</v>
      </c>
      <c r="AC415" s="12" t="s">
        <v>50</v>
      </c>
      <c r="AD415" s="12" t="s">
        <v>50</v>
      </c>
      <c r="AE415" s="12" t="s">
        <v>50</v>
      </c>
      <c r="AF415" s="12" t="s">
        <v>50</v>
      </c>
      <c r="AG415" s="12" t="s">
        <v>50</v>
      </c>
      <c r="AH415" s="19" t="s">
        <v>50</v>
      </c>
    </row>
    <row r="416" spans="2:34" ht="22.5" customHeight="1" x14ac:dyDescent="0.25">
      <c r="B416" s="18" t="s">
        <v>35</v>
      </c>
      <c r="C416" s="9" t="s">
        <v>818</v>
      </c>
      <c r="D416" s="10" t="s">
        <v>853</v>
      </c>
      <c r="E416" s="10"/>
      <c r="F416" s="10" t="s">
        <v>681</v>
      </c>
      <c r="G416" s="10" t="s">
        <v>657</v>
      </c>
      <c r="H416" s="10"/>
      <c r="I416" s="16" t="s">
        <v>184</v>
      </c>
      <c r="J416" s="10"/>
      <c r="K416" s="10"/>
      <c r="L416" s="16"/>
      <c r="M416" s="16"/>
      <c r="N416" s="16"/>
      <c r="O416" s="11">
        <v>0</v>
      </c>
      <c r="P416" s="11">
        <v>1</v>
      </c>
      <c r="Q416" s="11"/>
      <c r="R416" s="11"/>
      <c r="S416" s="12" t="s">
        <v>683</v>
      </c>
      <c r="T416" s="12" t="s">
        <v>50</v>
      </c>
      <c r="U416" s="12" t="s">
        <v>50</v>
      </c>
      <c r="V416" s="12" t="s">
        <v>50</v>
      </c>
      <c r="W416" s="12" t="s">
        <v>50</v>
      </c>
      <c r="X416" s="12" t="s">
        <v>50</v>
      </c>
      <c r="Y416" s="12" t="s">
        <v>50</v>
      </c>
      <c r="Z416" s="12" t="s">
        <v>50</v>
      </c>
      <c r="AA416" s="12" t="s">
        <v>50</v>
      </c>
      <c r="AB416" s="12" t="s">
        <v>50</v>
      </c>
      <c r="AC416" s="12" t="s">
        <v>50</v>
      </c>
      <c r="AD416" s="12" t="s">
        <v>50</v>
      </c>
      <c r="AE416" s="12" t="s">
        <v>50</v>
      </c>
      <c r="AF416" s="12" t="s">
        <v>50</v>
      </c>
      <c r="AG416" s="12" t="s">
        <v>50</v>
      </c>
      <c r="AH416" s="19" t="s">
        <v>54</v>
      </c>
    </row>
    <row r="417" spans="2:34" ht="22.5" customHeight="1" x14ac:dyDescent="0.25">
      <c r="B417" s="18" t="s">
        <v>35</v>
      </c>
      <c r="C417" s="9" t="s">
        <v>818</v>
      </c>
      <c r="D417" s="10" t="s">
        <v>853</v>
      </c>
      <c r="E417" s="10"/>
      <c r="F417" s="10" t="s">
        <v>681</v>
      </c>
      <c r="G417" s="10" t="s">
        <v>682</v>
      </c>
      <c r="H417" s="10"/>
      <c r="I417" s="16" t="s">
        <v>184</v>
      </c>
      <c r="J417" s="10"/>
      <c r="K417" s="10"/>
      <c r="L417" s="16"/>
      <c r="M417" s="16"/>
      <c r="N417" s="16"/>
      <c r="O417" s="11">
        <v>0</v>
      </c>
      <c r="P417" s="11">
        <v>1</v>
      </c>
      <c r="Q417" s="11"/>
      <c r="R417" s="11"/>
      <c r="S417" s="12" t="s">
        <v>683</v>
      </c>
      <c r="T417" s="12" t="s">
        <v>50</v>
      </c>
      <c r="U417" s="12" t="s">
        <v>50</v>
      </c>
      <c r="V417" s="12" t="s">
        <v>50</v>
      </c>
      <c r="W417" s="12" t="s">
        <v>50</v>
      </c>
      <c r="X417" s="12" t="s">
        <v>50</v>
      </c>
      <c r="Y417" s="12" t="s">
        <v>50</v>
      </c>
      <c r="Z417" s="12" t="s">
        <v>50</v>
      </c>
      <c r="AA417" s="12" t="s">
        <v>50</v>
      </c>
      <c r="AB417" s="12" t="s">
        <v>50</v>
      </c>
      <c r="AC417" s="12" t="s">
        <v>50</v>
      </c>
      <c r="AD417" s="12" t="s">
        <v>50</v>
      </c>
      <c r="AE417" s="12" t="s">
        <v>50</v>
      </c>
      <c r="AF417" s="12" t="s">
        <v>50</v>
      </c>
      <c r="AG417" s="12" t="s">
        <v>50</v>
      </c>
      <c r="AH417" s="19" t="s">
        <v>54</v>
      </c>
    </row>
    <row r="418" spans="2:34" ht="22.5" customHeight="1" x14ac:dyDescent="0.25">
      <c r="B418" s="18" t="s">
        <v>35</v>
      </c>
      <c r="C418" s="9" t="s">
        <v>410</v>
      </c>
      <c r="D418" s="10" t="s">
        <v>854</v>
      </c>
      <c r="E418" s="10"/>
      <c r="F418" s="10" t="s">
        <v>816</v>
      </c>
      <c r="G418" s="10" t="s">
        <v>183</v>
      </c>
      <c r="H418" s="10"/>
      <c r="I418" s="16" t="s">
        <v>184</v>
      </c>
      <c r="J418" s="10"/>
      <c r="K418" s="10"/>
      <c r="L418" s="16"/>
      <c r="M418" s="16"/>
      <c r="N418" s="16"/>
      <c r="O418" s="11">
        <v>0</v>
      </c>
      <c r="P418" s="11">
        <v>1</v>
      </c>
      <c r="Q418" s="11"/>
      <c r="R418" s="11"/>
      <c r="S418" s="12" t="s">
        <v>50</v>
      </c>
      <c r="T418" s="12" t="s">
        <v>50</v>
      </c>
      <c r="U418" s="12" t="s">
        <v>50</v>
      </c>
      <c r="V418" s="12" t="s">
        <v>50</v>
      </c>
      <c r="W418" s="12" t="s">
        <v>50</v>
      </c>
      <c r="X418" s="12" t="s">
        <v>50</v>
      </c>
      <c r="Y418" s="12" t="s">
        <v>50</v>
      </c>
      <c r="Z418" s="12" t="s">
        <v>50</v>
      </c>
      <c r="AA418" s="12" t="s">
        <v>50</v>
      </c>
      <c r="AB418" s="12" t="s">
        <v>50</v>
      </c>
      <c r="AC418" s="12" t="s">
        <v>50</v>
      </c>
      <c r="AD418" s="12" t="s">
        <v>50</v>
      </c>
      <c r="AE418" s="12" t="s">
        <v>50</v>
      </c>
      <c r="AF418" s="12" t="s">
        <v>50</v>
      </c>
      <c r="AG418" s="12" t="s">
        <v>50</v>
      </c>
      <c r="AH418" s="19" t="s">
        <v>50</v>
      </c>
    </row>
    <row r="419" spans="2:34" ht="22.5" customHeight="1" x14ac:dyDescent="0.25">
      <c r="B419" s="18" t="s">
        <v>35</v>
      </c>
      <c r="C419" s="9" t="s">
        <v>410</v>
      </c>
      <c r="D419" s="10" t="s">
        <v>854</v>
      </c>
      <c r="E419" s="10"/>
      <c r="F419" s="10" t="s">
        <v>38</v>
      </c>
      <c r="G419" s="10" t="s">
        <v>39</v>
      </c>
      <c r="H419" s="10"/>
      <c r="I419" s="16" t="s">
        <v>184</v>
      </c>
      <c r="J419" s="10"/>
      <c r="K419" s="10"/>
      <c r="L419" s="16"/>
      <c r="M419" s="16"/>
      <c r="N419" s="16"/>
      <c r="O419" s="11">
        <v>0</v>
      </c>
      <c r="P419" s="11">
        <v>1</v>
      </c>
      <c r="Q419" s="11"/>
      <c r="R419" s="11"/>
      <c r="S419" s="12" t="s">
        <v>45</v>
      </c>
      <c r="T419" s="12" t="s">
        <v>46</v>
      </c>
      <c r="U419" s="12" t="s">
        <v>47</v>
      </c>
      <c r="V419" s="12" t="s">
        <v>48</v>
      </c>
      <c r="W419" s="12" t="s">
        <v>49</v>
      </c>
      <c r="X419" s="12" t="s">
        <v>50</v>
      </c>
      <c r="Y419" s="12" t="s">
        <v>50</v>
      </c>
      <c r="Z419" s="12" t="s">
        <v>50</v>
      </c>
      <c r="AA419" s="12" t="s">
        <v>50</v>
      </c>
      <c r="AB419" s="12" t="s">
        <v>51</v>
      </c>
      <c r="AC419" s="12" t="s">
        <v>50</v>
      </c>
      <c r="AD419" s="12" t="s">
        <v>50</v>
      </c>
      <c r="AE419" s="12" t="s">
        <v>52</v>
      </c>
      <c r="AF419" s="12" t="s">
        <v>53</v>
      </c>
      <c r="AG419" s="12" t="s">
        <v>50</v>
      </c>
      <c r="AH419" s="19" t="s">
        <v>54</v>
      </c>
    </row>
    <row r="420" spans="2:34" ht="22.5" customHeight="1" x14ac:dyDescent="0.25">
      <c r="B420" s="18" t="s">
        <v>35</v>
      </c>
      <c r="C420" s="9" t="s">
        <v>410</v>
      </c>
      <c r="D420" s="10" t="s">
        <v>855</v>
      </c>
      <c r="E420" s="10"/>
      <c r="F420" s="10" t="s">
        <v>816</v>
      </c>
      <c r="G420" s="10" t="s">
        <v>183</v>
      </c>
      <c r="H420" s="10"/>
      <c r="I420" s="16" t="s">
        <v>184</v>
      </c>
      <c r="J420" s="10"/>
      <c r="K420" s="10"/>
      <c r="L420" s="16"/>
      <c r="M420" s="16"/>
      <c r="N420" s="16"/>
      <c r="O420" s="11">
        <v>0</v>
      </c>
      <c r="P420" s="11">
        <v>1</v>
      </c>
      <c r="Q420" s="11"/>
      <c r="R420" s="11"/>
      <c r="S420" s="12" t="s">
        <v>50</v>
      </c>
      <c r="T420" s="12" t="s">
        <v>50</v>
      </c>
      <c r="U420" s="12" t="s">
        <v>50</v>
      </c>
      <c r="V420" s="12" t="s">
        <v>50</v>
      </c>
      <c r="W420" s="12" t="s">
        <v>50</v>
      </c>
      <c r="X420" s="12" t="s">
        <v>50</v>
      </c>
      <c r="Y420" s="12" t="s">
        <v>50</v>
      </c>
      <c r="Z420" s="12" t="s">
        <v>50</v>
      </c>
      <c r="AA420" s="12" t="s">
        <v>50</v>
      </c>
      <c r="AB420" s="12" t="s">
        <v>50</v>
      </c>
      <c r="AC420" s="12" t="s">
        <v>50</v>
      </c>
      <c r="AD420" s="12" t="s">
        <v>50</v>
      </c>
      <c r="AE420" s="12" t="s">
        <v>50</v>
      </c>
      <c r="AF420" s="12" t="s">
        <v>50</v>
      </c>
      <c r="AG420" s="12" t="s">
        <v>50</v>
      </c>
      <c r="AH420" s="19" t="s">
        <v>50</v>
      </c>
    </row>
    <row r="421" spans="2:34" ht="22.5" customHeight="1" x14ac:dyDescent="0.25">
      <c r="B421" s="18" t="s">
        <v>35</v>
      </c>
      <c r="C421" s="9" t="s">
        <v>410</v>
      </c>
      <c r="D421" s="10" t="s">
        <v>855</v>
      </c>
      <c r="E421" s="10"/>
      <c r="F421" s="10" t="s">
        <v>38</v>
      </c>
      <c r="G421" s="10" t="s">
        <v>39</v>
      </c>
      <c r="H421" s="10"/>
      <c r="I421" s="16" t="s">
        <v>184</v>
      </c>
      <c r="J421" s="10"/>
      <c r="K421" s="10"/>
      <c r="L421" s="16"/>
      <c r="M421" s="16"/>
      <c r="N421" s="16"/>
      <c r="O421" s="11">
        <v>0</v>
      </c>
      <c r="P421" s="11">
        <v>1</v>
      </c>
      <c r="Q421" s="11"/>
      <c r="R421" s="11"/>
      <c r="S421" s="12" t="s">
        <v>45</v>
      </c>
      <c r="T421" s="12" t="s">
        <v>46</v>
      </c>
      <c r="U421" s="12" t="s">
        <v>47</v>
      </c>
      <c r="V421" s="12" t="s">
        <v>48</v>
      </c>
      <c r="W421" s="12" t="s">
        <v>49</v>
      </c>
      <c r="X421" s="12" t="s">
        <v>50</v>
      </c>
      <c r="Y421" s="12" t="s">
        <v>50</v>
      </c>
      <c r="Z421" s="12" t="s">
        <v>50</v>
      </c>
      <c r="AA421" s="12" t="s">
        <v>50</v>
      </c>
      <c r="AB421" s="12" t="s">
        <v>51</v>
      </c>
      <c r="AC421" s="12" t="s">
        <v>50</v>
      </c>
      <c r="AD421" s="12" t="s">
        <v>50</v>
      </c>
      <c r="AE421" s="12" t="s">
        <v>52</v>
      </c>
      <c r="AF421" s="12" t="s">
        <v>53</v>
      </c>
      <c r="AG421" s="12" t="s">
        <v>50</v>
      </c>
      <c r="AH421" s="19" t="s">
        <v>54</v>
      </c>
    </row>
    <row r="422" spans="2:34" ht="22.5" customHeight="1" x14ac:dyDescent="0.25">
      <c r="B422" s="18" t="s">
        <v>35</v>
      </c>
      <c r="C422" s="9" t="s">
        <v>410</v>
      </c>
      <c r="D422" s="10" t="s">
        <v>856</v>
      </c>
      <c r="E422" s="10"/>
      <c r="F422" s="10" t="s">
        <v>816</v>
      </c>
      <c r="G422" s="10" t="s">
        <v>183</v>
      </c>
      <c r="H422" s="10"/>
      <c r="I422" s="16" t="s">
        <v>184</v>
      </c>
      <c r="J422" s="10"/>
      <c r="K422" s="10"/>
      <c r="L422" s="16"/>
      <c r="M422" s="16"/>
      <c r="N422" s="16"/>
      <c r="O422" s="11">
        <v>0</v>
      </c>
      <c r="P422" s="11">
        <v>1</v>
      </c>
      <c r="Q422" s="11"/>
      <c r="R422" s="11"/>
      <c r="S422" s="12" t="s">
        <v>50</v>
      </c>
      <c r="T422" s="12" t="s">
        <v>50</v>
      </c>
      <c r="U422" s="12" t="s">
        <v>50</v>
      </c>
      <c r="V422" s="12" t="s">
        <v>50</v>
      </c>
      <c r="W422" s="12" t="s">
        <v>50</v>
      </c>
      <c r="X422" s="12" t="s">
        <v>50</v>
      </c>
      <c r="Y422" s="12" t="s">
        <v>50</v>
      </c>
      <c r="Z422" s="12" t="s">
        <v>50</v>
      </c>
      <c r="AA422" s="12" t="s">
        <v>50</v>
      </c>
      <c r="AB422" s="12" t="s">
        <v>50</v>
      </c>
      <c r="AC422" s="12" t="s">
        <v>50</v>
      </c>
      <c r="AD422" s="12" t="s">
        <v>50</v>
      </c>
      <c r="AE422" s="12" t="s">
        <v>50</v>
      </c>
      <c r="AF422" s="12" t="s">
        <v>50</v>
      </c>
      <c r="AG422" s="12" t="s">
        <v>50</v>
      </c>
      <c r="AH422" s="19" t="s">
        <v>50</v>
      </c>
    </row>
    <row r="423" spans="2:34" ht="22.5" customHeight="1" x14ac:dyDescent="0.25">
      <c r="B423" s="18" t="s">
        <v>35</v>
      </c>
      <c r="C423" s="9" t="s">
        <v>410</v>
      </c>
      <c r="D423" s="10" t="s">
        <v>856</v>
      </c>
      <c r="E423" s="10"/>
      <c r="F423" s="10" t="s">
        <v>38</v>
      </c>
      <c r="G423" s="10" t="s">
        <v>39</v>
      </c>
      <c r="H423" s="10"/>
      <c r="I423" s="16" t="s">
        <v>184</v>
      </c>
      <c r="J423" s="10"/>
      <c r="K423" s="10"/>
      <c r="L423" s="16"/>
      <c r="M423" s="16"/>
      <c r="N423" s="16"/>
      <c r="O423" s="11">
        <v>0</v>
      </c>
      <c r="P423" s="11">
        <v>1</v>
      </c>
      <c r="Q423" s="11"/>
      <c r="R423" s="11"/>
      <c r="S423" s="12" t="s">
        <v>45</v>
      </c>
      <c r="T423" s="12" t="s">
        <v>46</v>
      </c>
      <c r="U423" s="12" t="s">
        <v>47</v>
      </c>
      <c r="V423" s="12" t="s">
        <v>48</v>
      </c>
      <c r="W423" s="12" t="s">
        <v>49</v>
      </c>
      <c r="X423" s="12" t="s">
        <v>50</v>
      </c>
      <c r="Y423" s="12" t="s">
        <v>50</v>
      </c>
      <c r="Z423" s="12" t="s">
        <v>50</v>
      </c>
      <c r="AA423" s="12" t="s">
        <v>50</v>
      </c>
      <c r="AB423" s="12" t="s">
        <v>51</v>
      </c>
      <c r="AC423" s="12" t="s">
        <v>50</v>
      </c>
      <c r="AD423" s="12" t="s">
        <v>50</v>
      </c>
      <c r="AE423" s="12" t="s">
        <v>52</v>
      </c>
      <c r="AF423" s="12" t="s">
        <v>53</v>
      </c>
      <c r="AG423" s="12" t="s">
        <v>50</v>
      </c>
      <c r="AH423" s="19" t="s">
        <v>54</v>
      </c>
    </row>
    <row r="424" spans="2:34" ht="22.5" customHeight="1" x14ac:dyDescent="0.25">
      <c r="B424" s="18" t="s">
        <v>35</v>
      </c>
      <c r="C424" s="9" t="s">
        <v>410</v>
      </c>
      <c r="D424" s="10" t="s">
        <v>857</v>
      </c>
      <c r="E424" s="10"/>
      <c r="F424" s="10" t="s">
        <v>816</v>
      </c>
      <c r="G424" s="10" t="s">
        <v>183</v>
      </c>
      <c r="H424" s="10"/>
      <c r="I424" s="16" t="s">
        <v>184</v>
      </c>
      <c r="J424" s="10"/>
      <c r="K424" s="10"/>
      <c r="L424" s="16"/>
      <c r="M424" s="16"/>
      <c r="N424" s="16"/>
      <c r="O424" s="11">
        <v>0</v>
      </c>
      <c r="P424" s="11">
        <v>1</v>
      </c>
      <c r="Q424" s="11"/>
      <c r="R424" s="11"/>
      <c r="S424" s="12" t="s">
        <v>50</v>
      </c>
      <c r="T424" s="12" t="s">
        <v>50</v>
      </c>
      <c r="U424" s="12" t="s">
        <v>50</v>
      </c>
      <c r="V424" s="12" t="s">
        <v>50</v>
      </c>
      <c r="W424" s="12" t="s">
        <v>50</v>
      </c>
      <c r="X424" s="12" t="s">
        <v>50</v>
      </c>
      <c r="Y424" s="12" t="s">
        <v>50</v>
      </c>
      <c r="Z424" s="12" t="s">
        <v>50</v>
      </c>
      <c r="AA424" s="12" t="s">
        <v>50</v>
      </c>
      <c r="AB424" s="12" t="s">
        <v>50</v>
      </c>
      <c r="AC424" s="12" t="s">
        <v>50</v>
      </c>
      <c r="AD424" s="12" t="s">
        <v>50</v>
      </c>
      <c r="AE424" s="12" t="s">
        <v>50</v>
      </c>
      <c r="AF424" s="12" t="s">
        <v>50</v>
      </c>
      <c r="AG424" s="12" t="s">
        <v>50</v>
      </c>
      <c r="AH424" s="19" t="s">
        <v>50</v>
      </c>
    </row>
    <row r="425" spans="2:34" ht="22.5" customHeight="1" x14ac:dyDescent="0.25">
      <c r="B425" s="18" t="s">
        <v>35</v>
      </c>
      <c r="C425" s="9" t="s">
        <v>410</v>
      </c>
      <c r="D425" s="10" t="s">
        <v>857</v>
      </c>
      <c r="E425" s="10"/>
      <c r="F425" s="10" t="s">
        <v>38</v>
      </c>
      <c r="G425" s="10" t="s">
        <v>39</v>
      </c>
      <c r="H425" s="10"/>
      <c r="I425" s="16" t="s">
        <v>184</v>
      </c>
      <c r="J425" s="10"/>
      <c r="K425" s="10"/>
      <c r="L425" s="16"/>
      <c r="M425" s="16"/>
      <c r="N425" s="16"/>
      <c r="O425" s="11">
        <v>0</v>
      </c>
      <c r="P425" s="11">
        <v>1</v>
      </c>
      <c r="Q425" s="11"/>
      <c r="R425" s="11"/>
      <c r="S425" s="12" t="s">
        <v>45</v>
      </c>
      <c r="T425" s="12" t="s">
        <v>46</v>
      </c>
      <c r="U425" s="12" t="s">
        <v>47</v>
      </c>
      <c r="V425" s="12" t="s">
        <v>48</v>
      </c>
      <c r="W425" s="12" t="s">
        <v>49</v>
      </c>
      <c r="X425" s="12" t="s">
        <v>50</v>
      </c>
      <c r="Y425" s="12" t="s">
        <v>50</v>
      </c>
      <c r="Z425" s="12" t="s">
        <v>50</v>
      </c>
      <c r="AA425" s="12" t="s">
        <v>50</v>
      </c>
      <c r="AB425" s="12" t="s">
        <v>51</v>
      </c>
      <c r="AC425" s="12" t="s">
        <v>50</v>
      </c>
      <c r="AD425" s="12" t="s">
        <v>50</v>
      </c>
      <c r="AE425" s="12" t="s">
        <v>52</v>
      </c>
      <c r="AF425" s="12" t="s">
        <v>53</v>
      </c>
      <c r="AG425" s="12" t="s">
        <v>50</v>
      </c>
      <c r="AH425" s="19" t="s">
        <v>54</v>
      </c>
    </row>
    <row r="426" spans="2:34" ht="22.5" customHeight="1" x14ac:dyDescent="0.25">
      <c r="B426" s="18" t="s">
        <v>35</v>
      </c>
      <c r="C426" s="9" t="s">
        <v>818</v>
      </c>
      <c r="D426" s="10" t="s">
        <v>858</v>
      </c>
      <c r="E426" s="10"/>
      <c r="F426" s="10" t="s">
        <v>816</v>
      </c>
      <c r="G426" s="10" t="s">
        <v>183</v>
      </c>
      <c r="H426" s="10"/>
      <c r="I426" s="16" t="s">
        <v>184</v>
      </c>
      <c r="J426" s="10"/>
      <c r="K426" s="10"/>
      <c r="L426" s="16"/>
      <c r="M426" s="16"/>
      <c r="N426" s="16"/>
      <c r="O426" s="11">
        <v>0</v>
      </c>
      <c r="P426" s="11">
        <v>1</v>
      </c>
      <c r="Q426" s="11"/>
      <c r="R426" s="11"/>
      <c r="S426" s="12" t="s">
        <v>50</v>
      </c>
      <c r="T426" s="12" t="s">
        <v>50</v>
      </c>
      <c r="U426" s="12" t="s">
        <v>50</v>
      </c>
      <c r="V426" s="12" t="s">
        <v>50</v>
      </c>
      <c r="W426" s="12" t="s">
        <v>50</v>
      </c>
      <c r="X426" s="12" t="s">
        <v>50</v>
      </c>
      <c r="Y426" s="12" t="s">
        <v>50</v>
      </c>
      <c r="Z426" s="12" t="s">
        <v>50</v>
      </c>
      <c r="AA426" s="12" t="s">
        <v>50</v>
      </c>
      <c r="AB426" s="12" t="s">
        <v>50</v>
      </c>
      <c r="AC426" s="12" t="s">
        <v>50</v>
      </c>
      <c r="AD426" s="12" t="s">
        <v>50</v>
      </c>
      <c r="AE426" s="12" t="s">
        <v>50</v>
      </c>
      <c r="AF426" s="12" t="s">
        <v>50</v>
      </c>
      <c r="AG426" s="12" t="s">
        <v>50</v>
      </c>
      <c r="AH426" s="19" t="s">
        <v>50</v>
      </c>
    </row>
    <row r="427" spans="2:34" ht="22.5" customHeight="1" x14ac:dyDescent="0.25">
      <c r="B427" s="18" t="s">
        <v>35</v>
      </c>
      <c r="C427" s="9" t="s">
        <v>818</v>
      </c>
      <c r="D427" s="10" t="s">
        <v>859</v>
      </c>
      <c r="E427" s="10"/>
      <c r="F427" s="10" t="s">
        <v>816</v>
      </c>
      <c r="G427" s="10" t="s">
        <v>183</v>
      </c>
      <c r="H427" s="10"/>
      <c r="I427" s="16" t="s">
        <v>184</v>
      </c>
      <c r="J427" s="10"/>
      <c r="K427" s="10"/>
      <c r="L427" s="16"/>
      <c r="M427" s="16"/>
      <c r="N427" s="16"/>
      <c r="O427" s="11">
        <v>0</v>
      </c>
      <c r="P427" s="11">
        <v>1</v>
      </c>
      <c r="Q427" s="11"/>
      <c r="R427" s="11"/>
      <c r="S427" s="12" t="s">
        <v>50</v>
      </c>
      <c r="T427" s="12" t="s">
        <v>50</v>
      </c>
      <c r="U427" s="12" t="s">
        <v>50</v>
      </c>
      <c r="V427" s="12" t="s">
        <v>50</v>
      </c>
      <c r="W427" s="12" t="s">
        <v>50</v>
      </c>
      <c r="X427" s="12" t="s">
        <v>50</v>
      </c>
      <c r="Y427" s="12" t="s">
        <v>50</v>
      </c>
      <c r="Z427" s="12" t="s">
        <v>50</v>
      </c>
      <c r="AA427" s="12" t="s">
        <v>50</v>
      </c>
      <c r="AB427" s="12" t="s">
        <v>50</v>
      </c>
      <c r="AC427" s="12" t="s">
        <v>50</v>
      </c>
      <c r="AD427" s="12" t="s">
        <v>50</v>
      </c>
      <c r="AE427" s="12" t="s">
        <v>50</v>
      </c>
      <c r="AF427" s="12" t="s">
        <v>50</v>
      </c>
      <c r="AG427" s="12" t="s">
        <v>50</v>
      </c>
      <c r="AH427" s="19" t="s">
        <v>50</v>
      </c>
    </row>
    <row r="428" spans="2:34" ht="22.5" customHeight="1" x14ac:dyDescent="0.25">
      <c r="B428" s="18" t="s">
        <v>35</v>
      </c>
      <c r="C428" s="9" t="s">
        <v>818</v>
      </c>
      <c r="D428" s="10" t="s">
        <v>860</v>
      </c>
      <c r="E428" s="10"/>
      <c r="F428" s="10" t="s">
        <v>816</v>
      </c>
      <c r="G428" s="10" t="s">
        <v>183</v>
      </c>
      <c r="H428" s="10"/>
      <c r="I428" s="16" t="s">
        <v>184</v>
      </c>
      <c r="J428" s="10"/>
      <c r="K428" s="10"/>
      <c r="L428" s="16"/>
      <c r="M428" s="16"/>
      <c r="N428" s="16"/>
      <c r="O428" s="11">
        <v>0</v>
      </c>
      <c r="P428" s="11">
        <v>1</v>
      </c>
      <c r="Q428" s="11"/>
      <c r="R428" s="11"/>
      <c r="S428" s="12" t="s">
        <v>50</v>
      </c>
      <c r="T428" s="12" t="s">
        <v>50</v>
      </c>
      <c r="U428" s="12" t="s">
        <v>50</v>
      </c>
      <c r="V428" s="12" t="s">
        <v>50</v>
      </c>
      <c r="W428" s="12" t="s">
        <v>50</v>
      </c>
      <c r="X428" s="12" t="s">
        <v>50</v>
      </c>
      <c r="Y428" s="12" t="s">
        <v>50</v>
      </c>
      <c r="Z428" s="12" t="s">
        <v>50</v>
      </c>
      <c r="AA428" s="12" t="s">
        <v>50</v>
      </c>
      <c r="AB428" s="12" t="s">
        <v>50</v>
      </c>
      <c r="AC428" s="12" t="s">
        <v>50</v>
      </c>
      <c r="AD428" s="12" t="s">
        <v>50</v>
      </c>
      <c r="AE428" s="12" t="s">
        <v>50</v>
      </c>
      <c r="AF428" s="12" t="s">
        <v>50</v>
      </c>
      <c r="AG428" s="12" t="s">
        <v>50</v>
      </c>
      <c r="AH428" s="19" t="s">
        <v>50</v>
      </c>
    </row>
    <row r="429" spans="2:34" ht="22.5" customHeight="1" x14ac:dyDescent="0.25">
      <c r="B429" s="18" t="s">
        <v>35</v>
      </c>
      <c r="C429" s="9" t="s">
        <v>410</v>
      </c>
      <c r="D429" s="10" t="s">
        <v>861</v>
      </c>
      <c r="E429" s="10"/>
      <c r="F429" s="10" t="s">
        <v>816</v>
      </c>
      <c r="G429" s="10" t="s">
        <v>183</v>
      </c>
      <c r="H429" s="10"/>
      <c r="I429" s="16" t="s">
        <v>184</v>
      </c>
      <c r="J429" s="10"/>
      <c r="K429" s="10"/>
      <c r="L429" s="16"/>
      <c r="M429" s="16"/>
      <c r="N429" s="16"/>
      <c r="O429" s="11">
        <v>0</v>
      </c>
      <c r="P429" s="11">
        <v>1</v>
      </c>
      <c r="Q429" s="11"/>
      <c r="R429" s="11"/>
      <c r="S429" s="12" t="s">
        <v>50</v>
      </c>
      <c r="T429" s="12" t="s">
        <v>50</v>
      </c>
      <c r="U429" s="12" t="s">
        <v>50</v>
      </c>
      <c r="V429" s="12" t="s">
        <v>50</v>
      </c>
      <c r="W429" s="12" t="s">
        <v>50</v>
      </c>
      <c r="X429" s="12" t="s">
        <v>50</v>
      </c>
      <c r="Y429" s="12" t="s">
        <v>50</v>
      </c>
      <c r="Z429" s="12" t="s">
        <v>50</v>
      </c>
      <c r="AA429" s="12" t="s">
        <v>50</v>
      </c>
      <c r="AB429" s="12" t="s">
        <v>50</v>
      </c>
      <c r="AC429" s="12" t="s">
        <v>50</v>
      </c>
      <c r="AD429" s="12" t="s">
        <v>50</v>
      </c>
      <c r="AE429" s="12" t="s">
        <v>50</v>
      </c>
      <c r="AF429" s="12" t="s">
        <v>50</v>
      </c>
      <c r="AG429" s="12" t="s">
        <v>50</v>
      </c>
      <c r="AH429" s="19" t="s">
        <v>50</v>
      </c>
    </row>
    <row r="430" spans="2:34" ht="22.5" customHeight="1" x14ac:dyDescent="0.25">
      <c r="B430" s="18" t="s">
        <v>35</v>
      </c>
      <c r="C430" s="9" t="s">
        <v>410</v>
      </c>
      <c r="D430" s="10" t="s">
        <v>861</v>
      </c>
      <c r="E430" s="10"/>
      <c r="F430" s="10" t="s">
        <v>38</v>
      </c>
      <c r="G430" s="10" t="s">
        <v>39</v>
      </c>
      <c r="H430" s="10"/>
      <c r="I430" s="16" t="s">
        <v>184</v>
      </c>
      <c r="J430" s="10"/>
      <c r="K430" s="10"/>
      <c r="L430" s="16"/>
      <c r="M430" s="16"/>
      <c r="N430" s="16"/>
      <c r="O430" s="11">
        <v>0</v>
      </c>
      <c r="P430" s="11">
        <v>1</v>
      </c>
      <c r="Q430" s="11"/>
      <c r="R430" s="11"/>
      <c r="S430" s="12" t="s">
        <v>45</v>
      </c>
      <c r="T430" s="12" t="s">
        <v>46</v>
      </c>
      <c r="U430" s="12" t="s">
        <v>47</v>
      </c>
      <c r="V430" s="12" t="s">
        <v>48</v>
      </c>
      <c r="W430" s="12" t="s">
        <v>49</v>
      </c>
      <c r="X430" s="12" t="s">
        <v>50</v>
      </c>
      <c r="Y430" s="12" t="s">
        <v>50</v>
      </c>
      <c r="Z430" s="12" t="s">
        <v>50</v>
      </c>
      <c r="AA430" s="12" t="s">
        <v>50</v>
      </c>
      <c r="AB430" s="12" t="s">
        <v>51</v>
      </c>
      <c r="AC430" s="12" t="s">
        <v>50</v>
      </c>
      <c r="AD430" s="12" t="s">
        <v>50</v>
      </c>
      <c r="AE430" s="12" t="s">
        <v>52</v>
      </c>
      <c r="AF430" s="12" t="s">
        <v>53</v>
      </c>
      <c r="AG430" s="12" t="s">
        <v>50</v>
      </c>
      <c r="AH430" s="19" t="s">
        <v>54</v>
      </c>
    </row>
    <row r="431" spans="2:34" ht="22.5" customHeight="1" x14ac:dyDescent="0.25">
      <c r="B431" s="18" t="s">
        <v>35</v>
      </c>
      <c r="C431" s="9" t="s">
        <v>645</v>
      </c>
      <c r="D431" s="10" t="s">
        <v>862</v>
      </c>
      <c r="E431" s="10"/>
      <c r="F431" s="10" t="s">
        <v>647</v>
      </c>
      <c r="G431" s="10" t="s">
        <v>650</v>
      </c>
      <c r="H431" s="10"/>
      <c r="I431" s="16" t="s">
        <v>184</v>
      </c>
      <c r="J431" s="10"/>
      <c r="K431" s="10"/>
      <c r="L431" s="16"/>
      <c r="M431" s="16"/>
      <c r="N431" s="16"/>
      <c r="O431" s="11">
        <v>0</v>
      </c>
      <c r="P431" s="11">
        <v>1</v>
      </c>
      <c r="Q431" s="11"/>
      <c r="R431" s="11"/>
      <c r="S431" s="12" t="s">
        <v>643</v>
      </c>
      <c r="T431" s="12" t="s">
        <v>50</v>
      </c>
      <c r="U431" s="12" t="s">
        <v>50</v>
      </c>
      <c r="V431" s="12" t="s">
        <v>50</v>
      </c>
      <c r="W431" s="12" t="s">
        <v>50</v>
      </c>
      <c r="X431" s="12" t="s">
        <v>50</v>
      </c>
      <c r="Y431" s="12" t="s">
        <v>50</v>
      </c>
      <c r="Z431" s="12" t="s">
        <v>50</v>
      </c>
      <c r="AA431" s="12" t="s">
        <v>50</v>
      </c>
      <c r="AB431" s="12" t="s">
        <v>50</v>
      </c>
      <c r="AC431" s="12" t="s">
        <v>50</v>
      </c>
      <c r="AD431" s="12" t="s">
        <v>50</v>
      </c>
      <c r="AE431" s="12" t="s">
        <v>52</v>
      </c>
      <c r="AF431" s="12" t="s">
        <v>50</v>
      </c>
      <c r="AG431" s="12" t="s">
        <v>50</v>
      </c>
      <c r="AH431" s="19" t="s">
        <v>54</v>
      </c>
    </row>
    <row r="432" spans="2:34" ht="22.5" customHeight="1" x14ac:dyDescent="0.25">
      <c r="B432" s="18" t="s">
        <v>35</v>
      </c>
      <c r="C432" s="9" t="s">
        <v>645</v>
      </c>
      <c r="D432" s="10" t="s">
        <v>863</v>
      </c>
      <c r="E432" s="10"/>
      <c r="F432" s="10" t="s">
        <v>647</v>
      </c>
      <c r="G432" s="10" t="s">
        <v>655</v>
      </c>
      <c r="H432" s="10"/>
      <c r="I432" s="16" t="s">
        <v>184</v>
      </c>
      <c r="J432" s="10"/>
      <c r="K432" s="10"/>
      <c r="L432" s="16"/>
      <c r="M432" s="16"/>
      <c r="N432" s="16"/>
      <c r="O432" s="11">
        <v>0</v>
      </c>
      <c r="P432" s="11">
        <v>2</v>
      </c>
      <c r="Q432" s="11"/>
      <c r="R432" s="11"/>
      <c r="S432" s="12" t="s">
        <v>643</v>
      </c>
      <c r="T432" s="12" t="s">
        <v>50</v>
      </c>
      <c r="U432" s="12" t="s">
        <v>50</v>
      </c>
      <c r="V432" s="12" t="s">
        <v>50</v>
      </c>
      <c r="W432" s="12" t="s">
        <v>50</v>
      </c>
      <c r="X432" s="12" t="s">
        <v>50</v>
      </c>
      <c r="Y432" s="12" t="s">
        <v>50</v>
      </c>
      <c r="Z432" s="12" t="s">
        <v>50</v>
      </c>
      <c r="AA432" s="12" t="s">
        <v>50</v>
      </c>
      <c r="AB432" s="12" t="s">
        <v>50</v>
      </c>
      <c r="AC432" s="12" t="s">
        <v>50</v>
      </c>
      <c r="AD432" s="12" t="s">
        <v>50</v>
      </c>
      <c r="AE432" s="12" t="s">
        <v>52</v>
      </c>
      <c r="AF432" s="12" t="s">
        <v>50</v>
      </c>
      <c r="AG432" s="12" t="s">
        <v>50</v>
      </c>
      <c r="AH432" s="19" t="s">
        <v>54</v>
      </c>
    </row>
    <row r="433" spans="2:34" ht="22.5" customHeight="1" x14ac:dyDescent="0.25">
      <c r="B433" s="18" t="s">
        <v>35</v>
      </c>
      <c r="C433" s="9" t="s">
        <v>864</v>
      </c>
      <c r="D433" s="10" t="s">
        <v>865</v>
      </c>
      <c r="E433" s="10"/>
      <c r="F433" s="10" t="s">
        <v>649</v>
      </c>
      <c r="G433" s="10" t="s">
        <v>655</v>
      </c>
      <c r="H433" s="10"/>
      <c r="I433" s="16" t="s">
        <v>184</v>
      </c>
      <c r="J433" s="10"/>
      <c r="K433" s="10"/>
      <c r="L433" s="16"/>
      <c r="M433" s="16"/>
      <c r="N433" s="16"/>
      <c r="O433" s="11">
        <v>0</v>
      </c>
      <c r="P433" s="11">
        <v>1</v>
      </c>
      <c r="Q433" s="11"/>
      <c r="R433" s="11"/>
      <c r="S433" s="12" t="s">
        <v>651</v>
      </c>
      <c r="T433" s="12" t="s">
        <v>652</v>
      </c>
      <c r="U433" s="12" t="s">
        <v>50</v>
      </c>
      <c r="V433" s="12" t="s">
        <v>50</v>
      </c>
      <c r="W433" s="12" t="s">
        <v>49</v>
      </c>
      <c r="X433" s="12" t="s">
        <v>50</v>
      </c>
      <c r="Y433" s="12" t="s">
        <v>50</v>
      </c>
      <c r="Z433" s="12" t="s">
        <v>50</v>
      </c>
      <c r="AA433" s="12" t="s">
        <v>50</v>
      </c>
      <c r="AB433" s="12" t="s">
        <v>50</v>
      </c>
      <c r="AC433" s="12" t="s">
        <v>50</v>
      </c>
      <c r="AD433" s="12" t="s">
        <v>50</v>
      </c>
      <c r="AE433" s="12" t="s">
        <v>52</v>
      </c>
      <c r="AF433" s="12" t="s">
        <v>50</v>
      </c>
      <c r="AG433" s="12" t="s">
        <v>50</v>
      </c>
      <c r="AH433" s="19" t="s">
        <v>54</v>
      </c>
    </row>
    <row r="434" spans="2:34" ht="22.5" customHeight="1" x14ac:dyDescent="0.25">
      <c r="B434" s="18" t="s">
        <v>35</v>
      </c>
      <c r="C434" s="9" t="s">
        <v>864</v>
      </c>
      <c r="D434" s="10" t="s">
        <v>865</v>
      </c>
      <c r="E434" s="10"/>
      <c r="F434" s="10" t="s">
        <v>647</v>
      </c>
      <c r="G434" s="10" t="s">
        <v>655</v>
      </c>
      <c r="H434" s="10"/>
      <c r="I434" s="16" t="s">
        <v>184</v>
      </c>
      <c r="J434" s="10"/>
      <c r="K434" s="10"/>
      <c r="L434" s="16"/>
      <c r="M434" s="16"/>
      <c r="N434" s="16"/>
      <c r="O434" s="11">
        <v>0</v>
      </c>
      <c r="P434" s="11">
        <v>1</v>
      </c>
      <c r="Q434" s="11"/>
      <c r="R434" s="11"/>
      <c r="S434" s="12" t="s">
        <v>643</v>
      </c>
      <c r="T434" s="12" t="s">
        <v>50</v>
      </c>
      <c r="U434" s="12" t="s">
        <v>50</v>
      </c>
      <c r="V434" s="12" t="s">
        <v>50</v>
      </c>
      <c r="W434" s="12" t="s">
        <v>50</v>
      </c>
      <c r="X434" s="12" t="s">
        <v>50</v>
      </c>
      <c r="Y434" s="12" t="s">
        <v>50</v>
      </c>
      <c r="Z434" s="12" t="s">
        <v>50</v>
      </c>
      <c r="AA434" s="12" t="s">
        <v>50</v>
      </c>
      <c r="AB434" s="12" t="s">
        <v>50</v>
      </c>
      <c r="AC434" s="12" t="s">
        <v>50</v>
      </c>
      <c r="AD434" s="12" t="s">
        <v>50</v>
      </c>
      <c r="AE434" s="12" t="s">
        <v>52</v>
      </c>
      <c r="AF434" s="12" t="s">
        <v>50</v>
      </c>
      <c r="AG434" s="12" t="s">
        <v>50</v>
      </c>
      <c r="AH434" s="19" t="s">
        <v>54</v>
      </c>
    </row>
    <row r="435" spans="2:34" ht="22.5" customHeight="1" x14ac:dyDescent="0.25">
      <c r="B435" s="18" t="s">
        <v>35</v>
      </c>
      <c r="C435" s="9" t="s">
        <v>864</v>
      </c>
      <c r="D435" s="10" t="s">
        <v>865</v>
      </c>
      <c r="E435" s="10"/>
      <c r="F435" s="10" t="s">
        <v>647</v>
      </c>
      <c r="G435" s="10" t="s">
        <v>183</v>
      </c>
      <c r="H435" s="10"/>
      <c r="I435" s="16" t="s">
        <v>184</v>
      </c>
      <c r="J435" s="10"/>
      <c r="K435" s="10"/>
      <c r="L435" s="16"/>
      <c r="M435" s="16"/>
      <c r="N435" s="16"/>
      <c r="O435" s="11">
        <v>0</v>
      </c>
      <c r="P435" s="11">
        <v>1</v>
      </c>
      <c r="Q435" s="11"/>
      <c r="R435" s="11"/>
      <c r="S435" s="12" t="s">
        <v>643</v>
      </c>
      <c r="T435" s="12" t="s">
        <v>50</v>
      </c>
      <c r="U435" s="12" t="s">
        <v>50</v>
      </c>
      <c r="V435" s="12" t="s">
        <v>50</v>
      </c>
      <c r="W435" s="12" t="s">
        <v>50</v>
      </c>
      <c r="X435" s="12" t="s">
        <v>50</v>
      </c>
      <c r="Y435" s="12" t="s">
        <v>50</v>
      </c>
      <c r="Z435" s="12" t="s">
        <v>50</v>
      </c>
      <c r="AA435" s="12" t="s">
        <v>50</v>
      </c>
      <c r="AB435" s="12" t="s">
        <v>50</v>
      </c>
      <c r="AC435" s="12" t="s">
        <v>50</v>
      </c>
      <c r="AD435" s="12" t="s">
        <v>50</v>
      </c>
      <c r="AE435" s="12" t="s">
        <v>52</v>
      </c>
      <c r="AF435" s="12" t="s">
        <v>50</v>
      </c>
      <c r="AG435" s="12" t="s">
        <v>50</v>
      </c>
      <c r="AH435" s="19" t="s">
        <v>54</v>
      </c>
    </row>
    <row r="436" spans="2:34" ht="22.5" customHeight="1" x14ac:dyDescent="0.25">
      <c r="B436" s="18" t="s">
        <v>35</v>
      </c>
      <c r="C436" s="9" t="s">
        <v>866</v>
      </c>
      <c r="D436" s="10" t="s">
        <v>867</v>
      </c>
      <c r="E436" s="10"/>
      <c r="F436" s="10" t="s">
        <v>122</v>
      </c>
      <c r="G436" s="10" t="s">
        <v>123</v>
      </c>
      <c r="H436" s="10"/>
      <c r="I436" s="16" t="s">
        <v>184</v>
      </c>
      <c r="J436" s="10"/>
      <c r="K436" s="10"/>
      <c r="L436" s="16"/>
      <c r="M436" s="16"/>
      <c r="N436" s="16"/>
      <c r="O436" s="11">
        <v>0</v>
      </c>
      <c r="P436" s="11">
        <v>1</v>
      </c>
      <c r="Q436" s="11"/>
      <c r="R436" s="11"/>
      <c r="S436" s="12" t="s">
        <v>128</v>
      </c>
      <c r="T436" s="12" t="s">
        <v>46</v>
      </c>
      <c r="U436" s="12" t="s">
        <v>47</v>
      </c>
      <c r="V436" s="12" t="s">
        <v>48</v>
      </c>
      <c r="W436" s="12" t="s">
        <v>49</v>
      </c>
      <c r="X436" s="12" t="s">
        <v>54</v>
      </c>
      <c r="Y436" s="12" t="s">
        <v>129</v>
      </c>
      <c r="Z436" s="12" t="s">
        <v>130</v>
      </c>
      <c r="AA436" s="12" t="s">
        <v>131</v>
      </c>
      <c r="AB436" s="12" t="s">
        <v>132</v>
      </c>
      <c r="AC436" s="12" t="s">
        <v>50</v>
      </c>
      <c r="AD436" s="12" t="s">
        <v>50</v>
      </c>
      <c r="AE436" s="12" t="s">
        <v>52</v>
      </c>
      <c r="AF436" s="12" t="s">
        <v>53</v>
      </c>
      <c r="AG436" s="12" t="s">
        <v>133</v>
      </c>
      <c r="AH436" s="19" t="s">
        <v>54</v>
      </c>
    </row>
    <row r="437" spans="2:34" ht="22.5" customHeight="1" x14ac:dyDescent="0.25">
      <c r="B437" s="18" t="s">
        <v>35</v>
      </c>
      <c r="C437" s="9" t="s">
        <v>868</v>
      </c>
      <c r="D437" s="10" t="s">
        <v>869</v>
      </c>
      <c r="E437" s="10"/>
      <c r="F437" s="10" t="s">
        <v>122</v>
      </c>
      <c r="G437" s="10" t="s">
        <v>123</v>
      </c>
      <c r="H437" s="10"/>
      <c r="I437" s="16" t="s">
        <v>184</v>
      </c>
      <c r="J437" s="10"/>
      <c r="K437" s="10"/>
      <c r="L437" s="16"/>
      <c r="M437" s="16"/>
      <c r="N437" s="16"/>
      <c r="O437" s="11">
        <v>0</v>
      </c>
      <c r="P437" s="11">
        <v>1</v>
      </c>
      <c r="Q437" s="11"/>
      <c r="R437" s="11"/>
      <c r="S437" s="12" t="s">
        <v>128</v>
      </c>
      <c r="T437" s="12" t="s">
        <v>46</v>
      </c>
      <c r="U437" s="12" t="s">
        <v>47</v>
      </c>
      <c r="V437" s="12" t="s">
        <v>48</v>
      </c>
      <c r="W437" s="12" t="s">
        <v>49</v>
      </c>
      <c r="X437" s="12" t="s">
        <v>54</v>
      </c>
      <c r="Y437" s="12" t="s">
        <v>129</v>
      </c>
      <c r="Z437" s="12" t="s">
        <v>130</v>
      </c>
      <c r="AA437" s="12" t="s">
        <v>131</v>
      </c>
      <c r="AB437" s="12" t="s">
        <v>132</v>
      </c>
      <c r="AC437" s="12" t="s">
        <v>50</v>
      </c>
      <c r="AD437" s="12" t="s">
        <v>50</v>
      </c>
      <c r="AE437" s="12" t="s">
        <v>52</v>
      </c>
      <c r="AF437" s="12" t="s">
        <v>53</v>
      </c>
      <c r="AG437" s="12" t="s">
        <v>133</v>
      </c>
      <c r="AH437" s="19" t="s">
        <v>54</v>
      </c>
    </row>
    <row r="438" spans="2:34" ht="22.5" customHeight="1" x14ac:dyDescent="0.25">
      <c r="B438" s="18" t="s">
        <v>35</v>
      </c>
      <c r="C438" s="9" t="s">
        <v>410</v>
      </c>
      <c r="D438" s="10" t="s">
        <v>870</v>
      </c>
      <c r="E438" s="10"/>
      <c r="F438" s="10" t="s">
        <v>816</v>
      </c>
      <c r="G438" s="10" t="s">
        <v>183</v>
      </c>
      <c r="H438" s="10"/>
      <c r="I438" s="16" t="s">
        <v>184</v>
      </c>
      <c r="J438" s="10"/>
      <c r="K438" s="10"/>
      <c r="L438" s="16"/>
      <c r="M438" s="16"/>
      <c r="N438" s="16"/>
      <c r="O438" s="11">
        <v>0</v>
      </c>
      <c r="P438" s="11">
        <v>1</v>
      </c>
      <c r="Q438" s="11"/>
      <c r="R438" s="11"/>
      <c r="S438" s="12" t="s">
        <v>50</v>
      </c>
      <c r="T438" s="12" t="s">
        <v>50</v>
      </c>
      <c r="U438" s="12" t="s">
        <v>50</v>
      </c>
      <c r="V438" s="12" t="s">
        <v>50</v>
      </c>
      <c r="W438" s="12" t="s">
        <v>50</v>
      </c>
      <c r="X438" s="12" t="s">
        <v>50</v>
      </c>
      <c r="Y438" s="12" t="s">
        <v>50</v>
      </c>
      <c r="Z438" s="12" t="s">
        <v>50</v>
      </c>
      <c r="AA438" s="12" t="s">
        <v>50</v>
      </c>
      <c r="AB438" s="12" t="s">
        <v>50</v>
      </c>
      <c r="AC438" s="12" t="s">
        <v>50</v>
      </c>
      <c r="AD438" s="12" t="s">
        <v>50</v>
      </c>
      <c r="AE438" s="12" t="s">
        <v>50</v>
      </c>
      <c r="AF438" s="12" t="s">
        <v>50</v>
      </c>
      <c r="AG438" s="12" t="s">
        <v>50</v>
      </c>
      <c r="AH438" s="19" t="s">
        <v>50</v>
      </c>
    </row>
    <row r="439" spans="2:34" ht="22.5" customHeight="1" x14ac:dyDescent="0.25">
      <c r="B439" s="18" t="s">
        <v>35</v>
      </c>
      <c r="C439" s="9" t="s">
        <v>410</v>
      </c>
      <c r="D439" s="10" t="s">
        <v>870</v>
      </c>
      <c r="E439" s="10"/>
      <c r="F439" s="10" t="s">
        <v>38</v>
      </c>
      <c r="G439" s="10" t="s">
        <v>39</v>
      </c>
      <c r="H439" s="10"/>
      <c r="I439" s="16" t="s">
        <v>184</v>
      </c>
      <c r="J439" s="10"/>
      <c r="K439" s="10"/>
      <c r="L439" s="16"/>
      <c r="M439" s="16"/>
      <c r="N439" s="16"/>
      <c r="O439" s="11">
        <v>0</v>
      </c>
      <c r="P439" s="11">
        <v>1</v>
      </c>
      <c r="Q439" s="11"/>
      <c r="R439" s="11"/>
      <c r="S439" s="12" t="s">
        <v>45</v>
      </c>
      <c r="T439" s="12" t="s">
        <v>46</v>
      </c>
      <c r="U439" s="12" t="s">
        <v>47</v>
      </c>
      <c r="V439" s="12" t="s">
        <v>48</v>
      </c>
      <c r="W439" s="12" t="s">
        <v>49</v>
      </c>
      <c r="X439" s="12" t="s">
        <v>50</v>
      </c>
      <c r="Y439" s="12" t="s">
        <v>50</v>
      </c>
      <c r="Z439" s="12" t="s">
        <v>50</v>
      </c>
      <c r="AA439" s="12" t="s">
        <v>50</v>
      </c>
      <c r="AB439" s="12" t="s">
        <v>51</v>
      </c>
      <c r="AC439" s="12" t="s">
        <v>50</v>
      </c>
      <c r="AD439" s="12" t="s">
        <v>50</v>
      </c>
      <c r="AE439" s="12" t="s">
        <v>52</v>
      </c>
      <c r="AF439" s="12" t="s">
        <v>53</v>
      </c>
      <c r="AG439" s="12" t="s">
        <v>50</v>
      </c>
      <c r="AH439" s="19" t="s">
        <v>54</v>
      </c>
    </row>
    <row r="440" spans="2:34" ht="22.5" customHeight="1" x14ac:dyDescent="0.25">
      <c r="B440" s="18" t="s">
        <v>35</v>
      </c>
      <c r="C440" s="9" t="s">
        <v>410</v>
      </c>
      <c r="D440" s="10" t="s">
        <v>871</v>
      </c>
      <c r="E440" s="10"/>
      <c r="F440" s="10" t="s">
        <v>816</v>
      </c>
      <c r="G440" s="10" t="s">
        <v>183</v>
      </c>
      <c r="H440" s="10"/>
      <c r="I440" s="16" t="s">
        <v>184</v>
      </c>
      <c r="J440" s="10"/>
      <c r="K440" s="10"/>
      <c r="L440" s="16"/>
      <c r="M440" s="16"/>
      <c r="N440" s="16"/>
      <c r="O440" s="11">
        <v>0</v>
      </c>
      <c r="P440" s="11">
        <v>1</v>
      </c>
      <c r="Q440" s="11"/>
      <c r="R440" s="11"/>
      <c r="S440" s="12" t="s">
        <v>50</v>
      </c>
      <c r="T440" s="12" t="s">
        <v>50</v>
      </c>
      <c r="U440" s="12" t="s">
        <v>50</v>
      </c>
      <c r="V440" s="12" t="s">
        <v>50</v>
      </c>
      <c r="W440" s="12" t="s">
        <v>50</v>
      </c>
      <c r="X440" s="12" t="s">
        <v>50</v>
      </c>
      <c r="Y440" s="12" t="s">
        <v>50</v>
      </c>
      <c r="Z440" s="12" t="s">
        <v>50</v>
      </c>
      <c r="AA440" s="12" t="s">
        <v>50</v>
      </c>
      <c r="AB440" s="12" t="s">
        <v>50</v>
      </c>
      <c r="AC440" s="12" t="s">
        <v>50</v>
      </c>
      <c r="AD440" s="12" t="s">
        <v>50</v>
      </c>
      <c r="AE440" s="12" t="s">
        <v>50</v>
      </c>
      <c r="AF440" s="12" t="s">
        <v>50</v>
      </c>
      <c r="AG440" s="12" t="s">
        <v>50</v>
      </c>
      <c r="AH440" s="19" t="s">
        <v>50</v>
      </c>
    </row>
    <row r="441" spans="2:34" ht="22.5" customHeight="1" x14ac:dyDescent="0.25">
      <c r="B441" s="18" t="s">
        <v>35</v>
      </c>
      <c r="C441" s="9" t="s">
        <v>410</v>
      </c>
      <c r="D441" s="10" t="s">
        <v>871</v>
      </c>
      <c r="E441" s="10"/>
      <c r="F441" s="10" t="s">
        <v>38</v>
      </c>
      <c r="G441" s="10" t="s">
        <v>39</v>
      </c>
      <c r="H441" s="10"/>
      <c r="I441" s="16" t="s">
        <v>184</v>
      </c>
      <c r="J441" s="10"/>
      <c r="K441" s="10"/>
      <c r="L441" s="16"/>
      <c r="M441" s="16"/>
      <c r="N441" s="16"/>
      <c r="O441" s="11">
        <v>0</v>
      </c>
      <c r="P441" s="11">
        <v>1</v>
      </c>
      <c r="Q441" s="11"/>
      <c r="R441" s="11"/>
      <c r="S441" s="12" t="s">
        <v>45</v>
      </c>
      <c r="T441" s="12" t="s">
        <v>46</v>
      </c>
      <c r="U441" s="12" t="s">
        <v>47</v>
      </c>
      <c r="V441" s="12" t="s">
        <v>48</v>
      </c>
      <c r="W441" s="12" t="s">
        <v>49</v>
      </c>
      <c r="X441" s="12" t="s">
        <v>50</v>
      </c>
      <c r="Y441" s="12" t="s">
        <v>50</v>
      </c>
      <c r="Z441" s="12" t="s">
        <v>50</v>
      </c>
      <c r="AA441" s="12" t="s">
        <v>50</v>
      </c>
      <c r="AB441" s="12" t="s">
        <v>51</v>
      </c>
      <c r="AC441" s="12" t="s">
        <v>50</v>
      </c>
      <c r="AD441" s="12" t="s">
        <v>50</v>
      </c>
      <c r="AE441" s="12" t="s">
        <v>52</v>
      </c>
      <c r="AF441" s="12" t="s">
        <v>53</v>
      </c>
      <c r="AG441" s="12" t="s">
        <v>50</v>
      </c>
      <c r="AH441" s="19" t="s">
        <v>54</v>
      </c>
    </row>
    <row r="442" spans="2:34" ht="22.5" customHeight="1" x14ac:dyDescent="0.25">
      <c r="B442" s="18" t="s">
        <v>35</v>
      </c>
      <c r="C442" s="9" t="s">
        <v>872</v>
      </c>
      <c r="D442" s="10" t="s">
        <v>873</v>
      </c>
      <c r="E442" s="10"/>
      <c r="F442" s="10" t="s">
        <v>122</v>
      </c>
      <c r="G442" s="10" t="s">
        <v>123</v>
      </c>
      <c r="H442" s="10"/>
      <c r="I442" s="16" t="s">
        <v>184</v>
      </c>
      <c r="J442" s="10"/>
      <c r="K442" s="10"/>
      <c r="L442" s="16"/>
      <c r="M442" s="16"/>
      <c r="N442" s="16"/>
      <c r="O442" s="11">
        <v>0</v>
      </c>
      <c r="P442" s="11">
        <v>1</v>
      </c>
      <c r="Q442" s="11"/>
      <c r="R442" s="11"/>
      <c r="S442" s="12" t="s">
        <v>128</v>
      </c>
      <c r="T442" s="12" t="s">
        <v>46</v>
      </c>
      <c r="U442" s="12" t="s">
        <v>47</v>
      </c>
      <c r="V442" s="12" t="s">
        <v>48</v>
      </c>
      <c r="W442" s="12" t="s">
        <v>49</v>
      </c>
      <c r="X442" s="12" t="s">
        <v>54</v>
      </c>
      <c r="Y442" s="12" t="s">
        <v>129</v>
      </c>
      <c r="Z442" s="12" t="s">
        <v>130</v>
      </c>
      <c r="AA442" s="12" t="s">
        <v>131</v>
      </c>
      <c r="AB442" s="12" t="s">
        <v>132</v>
      </c>
      <c r="AC442" s="12" t="s">
        <v>50</v>
      </c>
      <c r="AD442" s="12" t="s">
        <v>50</v>
      </c>
      <c r="AE442" s="12" t="s">
        <v>52</v>
      </c>
      <c r="AF442" s="12" t="s">
        <v>53</v>
      </c>
      <c r="AG442" s="12" t="s">
        <v>133</v>
      </c>
      <c r="AH442" s="19" t="s">
        <v>54</v>
      </c>
    </row>
    <row r="443" spans="2:34" ht="22.5" customHeight="1" x14ac:dyDescent="0.25">
      <c r="B443" s="18" t="s">
        <v>35</v>
      </c>
      <c r="C443" s="9" t="s">
        <v>868</v>
      </c>
      <c r="D443" s="10" t="s">
        <v>874</v>
      </c>
      <c r="E443" s="10"/>
      <c r="F443" s="10" t="s">
        <v>122</v>
      </c>
      <c r="G443" s="10" t="s">
        <v>123</v>
      </c>
      <c r="H443" s="10"/>
      <c r="I443" s="16" t="s">
        <v>184</v>
      </c>
      <c r="J443" s="10"/>
      <c r="K443" s="10"/>
      <c r="L443" s="16"/>
      <c r="M443" s="16"/>
      <c r="N443" s="16"/>
      <c r="O443" s="11">
        <v>0</v>
      </c>
      <c r="P443" s="11">
        <v>1</v>
      </c>
      <c r="Q443" s="11"/>
      <c r="R443" s="11"/>
      <c r="S443" s="12" t="s">
        <v>128</v>
      </c>
      <c r="T443" s="12" t="s">
        <v>46</v>
      </c>
      <c r="U443" s="12" t="s">
        <v>47</v>
      </c>
      <c r="V443" s="12" t="s">
        <v>48</v>
      </c>
      <c r="W443" s="12" t="s">
        <v>49</v>
      </c>
      <c r="X443" s="12" t="s">
        <v>54</v>
      </c>
      <c r="Y443" s="12" t="s">
        <v>129</v>
      </c>
      <c r="Z443" s="12" t="s">
        <v>130</v>
      </c>
      <c r="AA443" s="12" t="s">
        <v>131</v>
      </c>
      <c r="AB443" s="12" t="s">
        <v>132</v>
      </c>
      <c r="AC443" s="12" t="s">
        <v>50</v>
      </c>
      <c r="AD443" s="12" t="s">
        <v>50</v>
      </c>
      <c r="AE443" s="12" t="s">
        <v>52</v>
      </c>
      <c r="AF443" s="12" t="s">
        <v>53</v>
      </c>
      <c r="AG443" s="12" t="s">
        <v>133</v>
      </c>
      <c r="AH443" s="19" t="s">
        <v>54</v>
      </c>
    </row>
    <row r="444" spans="2:34" ht="22.5" customHeight="1" x14ac:dyDescent="0.25">
      <c r="B444" s="18" t="s">
        <v>35</v>
      </c>
      <c r="C444" s="9" t="s">
        <v>410</v>
      </c>
      <c r="D444" s="10" t="s">
        <v>875</v>
      </c>
      <c r="E444" s="10"/>
      <c r="F444" s="10" t="s">
        <v>816</v>
      </c>
      <c r="G444" s="10" t="s">
        <v>183</v>
      </c>
      <c r="H444" s="10"/>
      <c r="I444" s="16" t="s">
        <v>184</v>
      </c>
      <c r="J444" s="10"/>
      <c r="K444" s="10"/>
      <c r="L444" s="16"/>
      <c r="M444" s="16"/>
      <c r="N444" s="16"/>
      <c r="O444" s="11">
        <v>0</v>
      </c>
      <c r="P444" s="11">
        <v>1</v>
      </c>
      <c r="Q444" s="11"/>
      <c r="R444" s="11"/>
      <c r="S444" s="12" t="s">
        <v>50</v>
      </c>
      <c r="T444" s="12" t="s">
        <v>50</v>
      </c>
      <c r="U444" s="12" t="s">
        <v>50</v>
      </c>
      <c r="V444" s="12" t="s">
        <v>50</v>
      </c>
      <c r="W444" s="12" t="s">
        <v>50</v>
      </c>
      <c r="X444" s="12" t="s">
        <v>50</v>
      </c>
      <c r="Y444" s="12" t="s">
        <v>50</v>
      </c>
      <c r="Z444" s="12" t="s">
        <v>50</v>
      </c>
      <c r="AA444" s="12" t="s">
        <v>50</v>
      </c>
      <c r="AB444" s="12" t="s">
        <v>50</v>
      </c>
      <c r="AC444" s="12" t="s">
        <v>50</v>
      </c>
      <c r="AD444" s="12" t="s">
        <v>50</v>
      </c>
      <c r="AE444" s="12" t="s">
        <v>50</v>
      </c>
      <c r="AF444" s="12" t="s">
        <v>50</v>
      </c>
      <c r="AG444" s="12" t="s">
        <v>50</v>
      </c>
      <c r="AH444" s="19" t="s">
        <v>50</v>
      </c>
    </row>
    <row r="445" spans="2:34" ht="22.5" customHeight="1" x14ac:dyDescent="0.25">
      <c r="B445" s="18" t="s">
        <v>35</v>
      </c>
      <c r="C445" s="9" t="s">
        <v>410</v>
      </c>
      <c r="D445" s="10" t="s">
        <v>875</v>
      </c>
      <c r="E445" s="10"/>
      <c r="F445" s="10" t="s">
        <v>38</v>
      </c>
      <c r="G445" s="10" t="s">
        <v>39</v>
      </c>
      <c r="H445" s="10"/>
      <c r="I445" s="16" t="s">
        <v>184</v>
      </c>
      <c r="J445" s="10"/>
      <c r="K445" s="10"/>
      <c r="L445" s="16"/>
      <c r="M445" s="16"/>
      <c r="N445" s="16"/>
      <c r="O445" s="11">
        <v>0</v>
      </c>
      <c r="P445" s="11">
        <v>1</v>
      </c>
      <c r="Q445" s="11"/>
      <c r="R445" s="11"/>
      <c r="S445" s="12" t="s">
        <v>45</v>
      </c>
      <c r="T445" s="12" t="s">
        <v>46</v>
      </c>
      <c r="U445" s="12" t="s">
        <v>47</v>
      </c>
      <c r="V445" s="12" t="s">
        <v>48</v>
      </c>
      <c r="W445" s="12" t="s">
        <v>49</v>
      </c>
      <c r="X445" s="12" t="s">
        <v>50</v>
      </c>
      <c r="Y445" s="12" t="s">
        <v>50</v>
      </c>
      <c r="Z445" s="12" t="s">
        <v>50</v>
      </c>
      <c r="AA445" s="12" t="s">
        <v>50</v>
      </c>
      <c r="AB445" s="12" t="s">
        <v>51</v>
      </c>
      <c r="AC445" s="12" t="s">
        <v>50</v>
      </c>
      <c r="AD445" s="12" t="s">
        <v>50</v>
      </c>
      <c r="AE445" s="12" t="s">
        <v>52</v>
      </c>
      <c r="AF445" s="12" t="s">
        <v>53</v>
      </c>
      <c r="AG445" s="12" t="s">
        <v>50</v>
      </c>
      <c r="AH445" s="19" t="s">
        <v>54</v>
      </c>
    </row>
    <row r="446" spans="2:34" ht="22.5" customHeight="1" x14ac:dyDescent="0.25">
      <c r="B446" s="18" t="s">
        <v>35</v>
      </c>
      <c r="C446" s="9" t="s">
        <v>410</v>
      </c>
      <c r="D446" s="10" t="s">
        <v>876</v>
      </c>
      <c r="E446" s="10"/>
      <c r="F446" s="10" t="s">
        <v>816</v>
      </c>
      <c r="G446" s="10" t="s">
        <v>183</v>
      </c>
      <c r="H446" s="10"/>
      <c r="I446" s="16" t="s">
        <v>184</v>
      </c>
      <c r="J446" s="10"/>
      <c r="K446" s="10"/>
      <c r="L446" s="16"/>
      <c r="M446" s="16"/>
      <c r="N446" s="16"/>
      <c r="O446" s="11">
        <v>0</v>
      </c>
      <c r="P446" s="11">
        <v>1</v>
      </c>
      <c r="Q446" s="11"/>
      <c r="R446" s="11"/>
      <c r="S446" s="12" t="s">
        <v>50</v>
      </c>
      <c r="T446" s="12" t="s">
        <v>50</v>
      </c>
      <c r="U446" s="12" t="s">
        <v>50</v>
      </c>
      <c r="V446" s="12" t="s">
        <v>50</v>
      </c>
      <c r="W446" s="12" t="s">
        <v>50</v>
      </c>
      <c r="X446" s="12" t="s">
        <v>50</v>
      </c>
      <c r="Y446" s="12" t="s">
        <v>50</v>
      </c>
      <c r="Z446" s="12" t="s">
        <v>50</v>
      </c>
      <c r="AA446" s="12" t="s">
        <v>50</v>
      </c>
      <c r="AB446" s="12" t="s">
        <v>50</v>
      </c>
      <c r="AC446" s="12" t="s">
        <v>50</v>
      </c>
      <c r="AD446" s="12" t="s">
        <v>50</v>
      </c>
      <c r="AE446" s="12" t="s">
        <v>50</v>
      </c>
      <c r="AF446" s="12" t="s">
        <v>50</v>
      </c>
      <c r="AG446" s="12" t="s">
        <v>50</v>
      </c>
      <c r="AH446" s="19" t="s">
        <v>50</v>
      </c>
    </row>
    <row r="447" spans="2:34" ht="22.5" customHeight="1" x14ac:dyDescent="0.25">
      <c r="B447" s="18" t="s">
        <v>35</v>
      </c>
      <c r="C447" s="9" t="s">
        <v>410</v>
      </c>
      <c r="D447" s="10" t="s">
        <v>876</v>
      </c>
      <c r="E447" s="10"/>
      <c r="F447" s="10" t="s">
        <v>38</v>
      </c>
      <c r="G447" s="10" t="s">
        <v>39</v>
      </c>
      <c r="H447" s="10"/>
      <c r="I447" s="16" t="s">
        <v>184</v>
      </c>
      <c r="J447" s="10"/>
      <c r="K447" s="10"/>
      <c r="L447" s="16"/>
      <c r="M447" s="16"/>
      <c r="N447" s="16"/>
      <c r="O447" s="11">
        <v>0</v>
      </c>
      <c r="P447" s="11">
        <v>1</v>
      </c>
      <c r="Q447" s="11"/>
      <c r="R447" s="11"/>
      <c r="S447" s="12" t="s">
        <v>45</v>
      </c>
      <c r="T447" s="12" t="s">
        <v>46</v>
      </c>
      <c r="U447" s="12" t="s">
        <v>47</v>
      </c>
      <c r="V447" s="12" t="s">
        <v>48</v>
      </c>
      <c r="W447" s="12" t="s">
        <v>49</v>
      </c>
      <c r="X447" s="12" t="s">
        <v>50</v>
      </c>
      <c r="Y447" s="12" t="s">
        <v>50</v>
      </c>
      <c r="Z447" s="12" t="s">
        <v>50</v>
      </c>
      <c r="AA447" s="12" t="s">
        <v>50</v>
      </c>
      <c r="AB447" s="12" t="s">
        <v>51</v>
      </c>
      <c r="AC447" s="12" t="s">
        <v>50</v>
      </c>
      <c r="AD447" s="12" t="s">
        <v>50</v>
      </c>
      <c r="AE447" s="12" t="s">
        <v>52</v>
      </c>
      <c r="AF447" s="12" t="s">
        <v>53</v>
      </c>
      <c r="AG447" s="12" t="s">
        <v>50</v>
      </c>
      <c r="AH447" s="19" t="s">
        <v>54</v>
      </c>
    </row>
    <row r="448" spans="2:34" ht="22.5" customHeight="1" x14ac:dyDescent="0.25">
      <c r="B448" s="18" t="s">
        <v>35</v>
      </c>
      <c r="C448" s="9" t="s">
        <v>410</v>
      </c>
      <c r="D448" s="10" t="s">
        <v>877</v>
      </c>
      <c r="E448" s="10"/>
      <c r="F448" s="10" t="s">
        <v>816</v>
      </c>
      <c r="G448" s="10" t="s">
        <v>183</v>
      </c>
      <c r="H448" s="10"/>
      <c r="I448" s="16" t="s">
        <v>184</v>
      </c>
      <c r="J448" s="10"/>
      <c r="K448" s="10"/>
      <c r="L448" s="16"/>
      <c r="M448" s="16"/>
      <c r="N448" s="16"/>
      <c r="O448" s="11">
        <v>0</v>
      </c>
      <c r="P448" s="11">
        <v>1</v>
      </c>
      <c r="Q448" s="11"/>
      <c r="R448" s="11"/>
      <c r="S448" s="12" t="s">
        <v>50</v>
      </c>
      <c r="T448" s="12" t="s">
        <v>50</v>
      </c>
      <c r="U448" s="12" t="s">
        <v>50</v>
      </c>
      <c r="V448" s="12" t="s">
        <v>50</v>
      </c>
      <c r="W448" s="12" t="s">
        <v>50</v>
      </c>
      <c r="X448" s="12" t="s">
        <v>50</v>
      </c>
      <c r="Y448" s="12" t="s">
        <v>50</v>
      </c>
      <c r="Z448" s="12" t="s">
        <v>50</v>
      </c>
      <c r="AA448" s="12" t="s">
        <v>50</v>
      </c>
      <c r="AB448" s="12" t="s">
        <v>50</v>
      </c>
      <c r="AC448" s="12" t="s">
        <v>50</v>
      </c>
      <c r="AD448" s="12" t="s">
        <v>50</v>
      </c>
      <c r="AE448" s="12" t="s">
        <v>50</v>
      </c>
      <c r="AF448" s="12" t="s">
        <v>50</v>
      </c>
      <c r="AG448" s="12" t="s">
        <v>50</v>
      </c>
      <c r="AH448" s="19" t="s">
        <v>50</v>
      </c>
    </row>
    <row r="449" spans="2:34" ht="22.5" customHeight="1" x14ac:dyDescent="0.25">
      <c r="B449" s="18" t="s">
        <v>35</v>
      </c>
      <c r="C449" s="9" t="s">
        <v>410</v>
      </c>
      <c r="D449" s="10" t="s">
        <v>877</v>
      </c>
      <c r="E449" s="10"/>
      <c r="F449" s="10" t="s">
        <v>38</v>
      </c>
      <c r="G449" s="10" t="s">
        <v>39</v>
      </c>
      <c r="H449" s="10"/>
      <c r="I449" s="16" t="s">
        <v>184</v>
      </c>
      <c r="J449" s="10"/>
      <c r="K449" s="10"/>
      <c r="L449" s="16"/>
      <c r="M449" s="16"/>
      <c r="N449" s="16"/>
      <c r="O449" s="11">
        <v>0</v>
      </c>
      <c r="P449" s="11">
        <v>1</v>
      </c>
      <c r="Q449" s="11"/>
      <c r="R449" s="11"/>
      <c r="S449" s="12" t="s">
        <v>45</v>
      </c>
      <c r="T449" s="12" t="s">
        <v>46</v>
      </c>
      <c r="U449" s="12" t="s">
        <v>47</v>
      </c>
      <c r="V449" s="12" t="s">
        <v>48</v>
      </c>
      <c r="W449" s="12" t="s">
        <v>49</v>
      </c>
      <c r="X449" s="12" t="s">
        <v>50</v>
      </c>
      <c r="Y449" s="12" t="s">
        <v>50</v>
      </c>
      <c r="Z449" s="12" t="s">
        <v>50</v>
      </c>
      <c r="AA449" s="12" t="s">
        <v>50</v>
      </c>
      <c r="AB449" s="12" t="s">
        <v>51</v>
      </c>
      <c r="AC449" s="12" t="s">
        <v>50</v>
      </c>
      <c r="AD449" s="12" t="s">
        <v>50</v>
      </c>
      <c r="AE449" s="12" t="s">
        <v>52</v>
      </c>
      <c r="AF449" s="12" t="s">
        <v>53</v>
      </c>
      <c r="AG449" s="12" t="s">
        <v>50</v>
      </c>
      <c r="AH449" s="19" t="s">
        <v>54</v>
      </c>
    </row>
    <row r="450" spans="2:34" ht="22.5" customHeight="1" x14ac:dyDescent="0.25">
      <c r="B450" s="18" t="s">
        <v>35</v>
      </c>
      <c r="C450" s="9" t="s">
        <v>872</v>
      </c>
      <c r="D450" s="10" t="s">
        <v>878</v>
      </c>
      <c r="E450" s="10"/>
      <c r="F450" s="10" t="s">
        <v>122</v>
      </c>
      <c r="G450" s="10" t="s">
        <v>123</v>
      </c>
      <c r="H450" s="10"/>
      <c r="I450" s="16" t="s">
        <v>184</v>
      </c>
      <c r="J450" s="10"/>
      <c r="K450" s="10"/>
      <c r="L450" s="16"/>
      <c r="M450" s="16"/>
      <c r="N450" s="16"/>
      <c r="O450" s="11">
        <v>0</v>
      </c>
      <c r="P450" s="11">
        <v>1</v>
      </c>
      <c r="Q450" s="11"/>
      <c r="R450" s="11"/>
      <c r="S450" s="12" t="s">
        <v>128</v>
      </c>
      <c r="T450" s="12" t="s">
        <v>46</v>
      </c>
      <c r="U450" s="12" t="s">
        <v>47</v>
      </c>
      <c r="V450" s="12" t="s">
        <v>48</v>
      </c>
      <c r="W450" s="12" t="s">
        <v>49</v>
      </c>
      <c r="X450" s="12" t="s">
        <v>54</v>
      </c>
      <c r="Y450" s="12" t="s">
        <v>129</v>
      </c>
      <c r="Z450" s="12" t="s">
        <v>130</v>
      </c>
      <c r="AA450" s="12" t="s">
        <v>131</v>
      </c>
      <c r="AB450" s="12" t="s">
        <v>132</v>
      </c>
      <c r="AC450" s="12" t="s">
        <v>50</v>
      </c>
      <c r="AD450" s="12" t="s">
        <v>50</v>
      </c>
      <c r="AE450" s="12" t="s">
        <v>52</v>
      </c>
      <c r="AF450" s="12" t="s">
        <v>53</v>
      </c>
      <c r="AG450" s="12" t="s">
        <v>133</v>
      </c>
      <c r="AH450" s="19" t="s">
        <v>54</v>
      </c>
    </row>
    <row r="451" spans="2:34" ht="22.5" customHeight="1" x14ac:dyDescent="0.25">
      <c r="B451" s="18" t="s">
        <v>35</v>
      </c>
      <c r="C451" s="9" t="s">
        <v>872</v>
      </c>
      <c r="D451" s="10" t="s">
        <v>879</v>
      </c>
      <c r="E451" s="10"/>
      <c r="F451" s="10" t="s">
        <v>122</v>
      </c>
      <c r="G451" s="10" t="s">
        <v>123</v>
      </c>
      <c r="H451" s="10"/>
      <c r="I451" s="16" t="s">
        <v>184</v>
      </c>
      <c r="J451" s="10"/>
      <c r="K451" s="10"/>
      <c r="L451" s="16"/>
      <c r="M451" s="16"/>
      <c r="N451" s="16"/>
      <c r="O451" s="11">
        <v>0</v>
      </c>
      <c r="P451" s="11">
        <v>1</v>
      </c>
      <c r="Q451" s="11"/>
      <c r="R451" s="11"/>
      <c r="S451" s="12" t="s">
        <v>128</v>
      </c>
      <c r="T451" s="12" t="s">
        <v>46</v>
      </c>
      <c r="U451" s="12" t="s">
        <v>47</v>
      </c>
      <c r="V451" s="12" t="s">
        <v>48</v>
      </c>
      <c r="W451" s="12" t="s">
        <v>49</v>
      </c>
      <c r="X451" s="12" t="s">
        <v>54</v>
      </c>
      <c r="Y451" s="12" t="s">
        <v>129</v>
      </c>
      <c r="Z451" s="12" t="s">
        <v>130</v>
      </c>
      <c r="AA451" s="12" t="s">
        <v>131</v>
      </c>
      <c r="AB451" s="12" t="s">
        <v>132</v>
      </c>
      <c r="AC451" s="12" t="s">
        <v>50</v>
      </c>
      <c r="AD451" s="12" t="s">
        <v>50</v>
      </c>
      <c r="AE451" s="12" t="s">
        <v>52</v>
      </c>
      <c r="AF451" s="12" t="s">
        <v>53</v>
      </c>
      <c r="AG451" s="12" t="s">
        <v>133</v>
      </c>
      <c r="AH451" s="19" t="s">
        <v>54</v>
      </c>
    </row>
    <row r="452" spans="2:34" ht="22.5" customHeight="1" x14ac:dyDescent="0.25">
      <c r="B452" s="18" t="s">
        <v>35</v>
      </c>
      <c r="C452" s="9" t="s">
        <v>872</v>
      </c>
      <c r="D452" s="10" t="s">
        <v>880</v>
      </c>
      <c r="E452" s="10"/>
      <c r="F452" s="10" t="s">
        <v>122</v>
      </c>
      <c r="G452" s="10" t="s">
        <v>123</v>
      </c>
      <c r="H452" s="10"/>
      <c r="I452" s="16" t="s">
        <v>184</v>
      </c>
      <c r="J452" s="10"/>
      <c r="K452" s="10"/>
      <c r="L452" s="16"/>
      <c r="M452" s="16"/>
      <c r="N452" s="16"/>
      <c r="O452" s="11">
        <v>0</v>
      </c>
      <c r="P452" s="11">
        <v>1</v>
      </c>
      <c r="Q452" s="11"/>
      <c r="R452" s="11"/>
      <c r="S452" s="12" t="s">
        <v>128</v>
      </c>
      <c r="T452" s="12" t="s">
        <v>46</v>
      </c>
      <c r="U452" s="12" t="s">
        <v>47</v>
      </c>
      <c r="V452" s="12" t="s">
        <v>48</v>
      </c>
      <c r="W452" s="12" t="s">
        <v>49</v>
      </c>
      <c r="X452" s="12" t="s">
        <v>54</v>
      </c>
      <c r="Y452" s="12" t="s">
        <v>129</v>
      </c>
      <c r="Z452" s="12" t="s">
        <v>130</v>
      </c>
      <c r="AA452" s="12" t="s">
        <v>131</v>
      </c>
      <c r="AB452" s="12" t="s">
        <v>132</v>
      </c>
      <c r="AC452" s="12" t="s">
        <v>50</v>
      </c>
      <c r="AD452" s="12" t="s">
        <v>50</v>
      </c>
      <c r="AE452" s="12" t="s">
        <v>52</v>
      </c>
      <c r="AF452" s="12" t="s">
        <v>53</v>
      </c>
      <c r="AG452" s="12" t="s">
        <v>133</v>
      </c>
      <c r="AH452" s="19" t="s">
        <v>54</v>
      </c>
    </row>
    <row r="453" spans="2:34" ht="22.5" customHeight="1" x14ac:dyDescent="0.25">
      <c r="B453" s="18" t="s">
        <v>35</v>
      </c>
      <c r="C453" s="9" t="s">
        <v>410</v>
      </c>
      <c r="D453" s="10" t="s">
        <v>881</v>
      </c>
      <c r="E453" s="10"/>
      <c r="F453" s="10" t="s">
        <v>816</v>
      </c>
      <c r="G453" s="10" t="s">
        <v>183</v>
      </c>
      <c r="H453" s="10"/>
      <c r="I453" s="16" t="s">
        <v>184</v>
      </c>
      <c r="J453" s="10"/>
      <c r="K453" s="10"/>
      <c r="L453" s="16"/>
      <c r="M453" s="16"/>
      <c r="N453" s="16"/>
      <c r="O453" s="11">
        <v>0</v>
      </c>
      <c r="P453" s="11">
        <v>1</v>
      </c>
      <c r="Q453" s="11"/>
      <c r="R453" s="11"/>
      <c r="S453" s="12" t="s">
        <v>50</v>
      </c>
      <c r="T453" s="12" t="s">
        <v>50</v>
      </c>
      <c r="U453" s="12" t="s">
        <v>50</v>
      </c>
      <c r="V453" s="12" t="s">
        <v>50</v>
      </c>
      <c r="W453" s="12" t="s">
        <v>50</v>
      </c>
      <c r="X453" s="12" t="s">
        <v>50</v>
      </c>
      <c r="Y453" s="12" t="s">
        <v>50</v>
      </c>
      <c r="Z453" s="12" t="s">
        <v>50</v>
      </c>
      <c r="AA453" s="12" t="s">
        <v>50</v>
      </c>
      <c r="AB453" s="12" t="s">
        <v>50</v>
      </c>
      <c r="AC453" s="12" t="s">
        <v>50</v>
      </c>
      <c r="AD453" s="12" t="s">
        <v>50</v>
      </c>
      <c r="AE453" s="12" t="s">
        <v>50</v>
      </c>
      <c r="AF453" s="12" t="s">
        <v>50</v>
      </c>
      <c r="AG453" s="12" t="s">
        <v>50</v>
      </c>
      <c r="AH453" s="19" t="s">
        <v>50</v>
      </c>
    </row>
    <row r="454" spans="2:34" ht="22.5" customHeight="1" x14ac:dyDescent="0.25">
      <c r="B454" s="18" t="s">
        <v>35</v>
      </c>
      <c r="C454" s="9" t="s">
        <v>410</v>
      </c>
      <c r="D454" s="10" t="s">
        <v>881</v>
      </c>
      <c r="E454" s="10"/>
      <c r="F454" s="10" t="s">
        <v>38</v>
      </c>
      <c r="G454" s="10" t="s">
        <v>39</v>
      </c>
      <c r="H454" s="10"/>
      <c r="I454" s="16" t="s">
        <v>184</v>
      </c>
      <c r="J454" s="10"/>
      <c r="K454" s="10"/>
      <c r="L454" s="16"/>
      <c r="M454" s="16"/>
      <c r="N454" s="16"/>
      <c r="O454" s="11">
        <v>0</v>
      </c>
      <c r="P454" s="11">
        <v>1</v>
      </c>
      <c r="Q454" s="11"/>
      <c r="R454" s="11"/>
      <c r="S454" s="12" t="s">
        <v>45</v>
      </c>
      <c r="T454" s="12" t="s">
        <v>46</v>
      </c>
      <c r="U454" s="12" t="s">
        <v>47</v>
      </c>
      <c r="V454" s="12" t="s">
        <v>48</v>
      </c>
      <c r="W454" s="12" t="s">
        <v>49</v>
      </c>
      <c r="X454" s="12" t="s">
        <v>50</v>
      </c>
      <c r="Y454" s="12" t="s">
        <v>50</v>
      </c>
      <c r="Z454" s="12" t="s">
        <v>50</v>
      </c>
      <c r="AA454" s="12" t="s">
        <v>50</v>
      </c>
      <c r="AB454" s="12" t="s">
        <v>51</v>
      </c>
      <c r="AC454" s="12" t="s">
        <v>50</v>
      </c>
      <c r="AD454" s="12" t="s">
        <v>50</v>
      </c>
      <c r="AE454" s="12" t="s">
        <v>52</v>
      </c>
      <c r="AF454" s="12" t="s">
        <v>53</v>
      </c>
      <c r="AG454" s="12" t="s">
        <v>50</v>
      </c>
      <c r="AH454" s="19" t="s">
        <v>54</v>
      </c>
    </row>
    <row r="455" spans="2:34" ht="22.5" customHeight="1" x14ac:dyDescent="0.25">
      <c r="B455" s="18" t="s">
        <v>35</v>
      </c>
      <c r="C455" s="9" t="s">
        <v>410</v>
      </c>
      <c r="D455" s="10" t="s">
        <v>882</v>
      </c>
      <c r="E455" s="10"/>
      <c r="F455" s="10" t="s">
        <v>816</v>
      </c>
      <c r="G455" s="10" t="s">
        <v>183</v>
      </c>
      <c r="H455" s="10"/>
      <c r="I455" s="16" t="s">
        <v>184</v>
      </c>
      <c r="J455" s="10"/>
      <c r="K455" s="10"/>
      <c r="L455" s="16"/>
      <c r="M455" s="16"/>
      <c r="N455" s="16"/>
      <c r="O455" s="11">
        <v>0</v>
      </c>
      <c r="P455" s="11">
        <v>1</v>
      </c>
      <c r="Q455" s="11"/>
      <c r="R455" s="11"/>
      <c r="S455" s="12" t="s">
        <v>50</v>
      </c>
      <c r="T455" s="12" t="s">
        <v>50</v>
      </c>
      <c r="U455" s="12" t="s">
        <v>50</v>
      </c>
      <c r="V455" s="12" t="s">
        <v>50</v>
      </c>
      <c r="W455" s="12" t="s">
        <v>50</v>
      </c>
      <c r="X455" s="12" t="s">
        <v>50</v>
      </c>
      <c r="Y455" s="12" t="s">
        <v>50</v>
      </c>
      <c r="Z455" s="12" t="s">
        <v>50</v>
      </c>
      <c r="AA455" s="12" t="s">
        <v>50</v>
      </c>
      <c r="AB455" s="12" t="s">
        <v>50</v>
      </c>
      <c r="AC455" s="12" t="s">
        <v>50</v>
      </c>
      <c r="AD455" s="12" t="s">
        <v>50</v>
      </c>
      <c r="AE455" s="12" t="s">
        <v>50</v>
      </c>
      <c r="AF455" s="12" t="s">
        <v>50</v>
      </c>
      <c r="AG455" s="12" t="s">
        <v>50</v>
      </c>
      <c r="AH455" s="19" t="s">
        <v>50</v>
      </c>
    </row>
    <row r="456" spans="2:34" ht="22.5" customHeight="1" x14ac:dyDescent="0.25">
      <c r="B456" s="18" t="s">
        <v>35</v>
      </c>
      <c r="C456" s="9" t="s">
        <v>410</v>
      </c>
      <c r="D456" s="10" t="s">
        <v>882</v>
      </c>
      <c r="E456" s="10"/>
      <c r="F456" s="10" t="s">
        <v>38</v>
      </c>
      <c r="G456" s="10" t="s">
        <v>39</v>
      </c>
      <c r="H456" s="10"/>
      <c r="I456" s="16" t="s">
        <v>184</v>
      </c>
      <c r="J456" s="10"/>
      <c r="K456" s="10"/>
      <c r="L456" s="16"/>
      <c r="M456" s="16"/>
      <c r="N456" s="16"/>
      <c r="O456" s="11">
        <v>0</v>
      </c>
      <c r="P456" s="11">
        <v>1</v>
      </c>
      <c r="Q456" s="11"/>
      <c r="R456" s="11"/>
      <c r="S456" s="12" t="s">
        <v>45</v>
      </c>
      <c r="T456" s="12" t="s">
        <v>46</v>
      </c>
      <c r="U456" s="12" t="s">
        <v>47</v>
      </c>
      <c r="V456" s="12" t="s">
        <v>48</v>
      </c>
      <c r="W456" s="12" t="s">
        <v>49</v>
      </c>
      <c r="X456" s="12" t="s">
        <v>50</v>
      </c>
      <c r="Y456" s="12" t="s">
        <v>50</v>
      </c>
      <c r="Z456" s="12" t="s">
        <v>50</v>
      </c>
      <c r="AA456" s="12" t="s">
        <v>50</v>
      </c>
      <c r="AB456" s="12" t="s">
        <v>51</v>
      </c>
      <c r="AC456" s="12" t="s">
        <v>50</v>
      </c>
      <c r="AD456" s="12" t="s">
        <v>50</v>
      </c>
      <c r="AE456" s="12" t="s">
        <v>52</v>
      </c>
      <c r="AF456" s="12" t="s">
        <v>53</v>
      </c>
      <c r="AG456" s="12" t="s">
        <v>50</v>
      </c>
      <c r="AH456" s="19" t="s">
        <v>54</v>
      </c>
    </row>
    <row r="457" spans="2:34" ht="22.5" customHeight="1" x14ac:dyDescent="0.25">
      <c r="B457" s="18" t="s">
        <v>35</v>
      </c>
      <c r="C457" s="9" t="s">
        <v>645</v>
      </c>
      <c r="D457" s="10" t="s">
        <v>883</v>
      </c>
      <c r="E457" s="10"/>
      <c r="F457" s="10" t="s">
        <v>649</v>
      </c>
      <c r="G457" s="10" t="s">
        <v>650</v>
      </c>
      <c r="H457" s="10"/>
      <c r="I457" s="16" t="s">
        <v>184</v>
      </c>
      <c r="J457" s="10"/>
      <c r="K457" s="10"/>
      <c r="L457" s="16"/>
      <c r="M457" s="16"/>
      <c r="N457" s="16"/>
      <c r="O457" s="11">
        <v>0</v>
      </c>
      <c r="P457" s="11">
        <v>1</v>
      </c>
      <c r="Q457" s="11"/>
      <c r="R457" s="11"/>
      <c r="S457" s="12" t="s">
        <v>651</v>
      </c>
      <c r="T457" s="12" t="s">
        <v>652</v>
      </c>
      <c r="U457" s="12" t="s">
        <v>50</v>
      </c>
      <c r="V457" s="12" t="s">
        <v>50</v>
      </c>
      <c r="W457" s="12" t="s">
        <v>49</v>
      </c>
      <c r="X457" s="12" t="s">
        <v>50</v>
      </c>
      <c r="Y457" s="12" t="s">
        <v>50</v>
      </c>
      <c r="Z457" s="12" t="s">
        <v>50</v>
      </c>
      <c r="AA457" s="12" t="s">
        <v>50</v>
      </c>
      <c r="AB457" s="12" t="s">
        <v>50</v>
      </c>
      <c r="AC457" s="12" t="s">
        <v>50</v>
      </c>
      <c r="AD457" s="12" t="s">
        <v>50</v>
      </c>
      <c r="AE457" s="12" t="s">
        <v>52</v>
      </c>
      <c r="AF457" s="12" t="s">
        <v>50</v>
      </c>
      <c r="AG457" s="12" t="s">
        <v>50</v>
      </c>
      <c r="AH457" s="19" t="s">
        <v>54</v>
      </c>
    </row>
    <row r="458" spans="2:34" ht="22.5" customHeight="1" x14ac:dyDescent="0.25">
      <c r="B458" s="18" t="s">
        <v>35</v>
      </c>
      <c r="C458" s="9" t="s">
        <v>645</v>
      </c>
      <c r="D458" s="10" t="s">
        <v>883</v>
      </c>
      <c r="E458" s="10"/>
      <c r="F458" s="10" t="s">
        <v>654</v>
      </c>
      <c r="G458" s="10" t="s">
        <v>655</v>
      </c>
      <c r="H458" s="10"/>
      <c r="I458" s="16" t="s">
        <v>184</v>
      </c>
      <c r="J458" s="10"/>
      <c r="K458" s="10"/>
      <c r="L458" s="16"/>
      <c r="M458" s="16"/>
      <c r="N458" s="16"/>
      <c r="O458" s="11">
        <v>0</v>
      </c>
      <c r="P458" s="11">
        <v>2</v>
      </c>
      <c r="Q458" s="11"/>
      <c r="R458" s="11"/>
      <c r="S458" s="12" t="s">
        <v>643</v>
      </c>
      <c r="T458" s="12" t="s">
        <v>50</v>
      </c>
      <c r="U458" s="12" t="s">
        <v>50</v>
      </c>
      <c r="V458" s="12" t="s">
        <v>50</v>
      </c>
      <c r="W458" s="12" t="s">
        <v>50</v>
      </c>
      <c r="X458" s="12" t="s">
        <v>50</v>
      </c>
      <c r="Y458" s="12" t="s">
        <v>50</v>
      </c>
      <c r="Z458" s="12" t="s">
        <v>50</v>
      </c>
      <c r="AA458" s="12" t="s">
        <v>50</v>
      </c>
      <c r="AB458" s="12" t="s">
        <v>50</v>
      </c>
      <c r="AC458" s="12" t="s">
        <v>50</v>
      </c>
      <c r="AD458" s="12" t="s">
        <v>50</v>
      </c>
      <c r="AE458" s="12" t="s">
        <v>50</v>
      </c>
      <c r="AF458" s="12" t="s">
        <v>50</v>
      </c>
      <c r="AG458" s="12" t="s">
        <v>50</v>
      </c>
      <c r="AH458" s="19" t="s">
        <v>54</v>
      </c>
    </row>
    <row r="459" spans="2:34" ht="22.5" customHeight="1" x14ac:dyDescent="0.25">
      <c r="B459" s="18" t="s">
        <v>35</v>
      </c>
      <c r="C459" s="9" t="s">
        <v>410</v>
      </c>
      <c r="D459" s="10" t="s">
        <v>884</v>
      </c>
      <c r="E459" s="10"/>
      <c r="F459" s="10" t="s">
        <v>816</v>
      </c>
      <c r="G459" s="10" t="s">
        <v>183</v>
      </c>
      <c r="H459" s="10"/>
      <c r="I459" s="16" t="s">
        <v>184</v>
      </c>
      <c r="J459" s="10"/>
      <c r="K459" s="10"/>
      <c r="L459" s="16"/>
      <c r="M459" s="16"/>
      <c r="N459" s="16"/>
      <c r="O459" s="11">
        <v>0</v>
      </c>
      <c r="P459" s="11">
        <v>1</v>
      </c>
      <c r="Q459" s="11"/>
      <c r="R459" s="11"/>
      <c r="S459" s="12" t="s">
        <v>50</v>
      </c>
      <c r="T459" s="12" t="s">
        <v>50</v>
      </c>
      <c r="U459" s="12" t="s">
        <v>50</v>
      </c>
      <c r="V459" s="12" t="s">
        <v>50</v>
      </c>
      <c r="W459" s="12" t="s">
        <v>50</v>
      </c>
      <c r="X459" s="12" t="s">
        <v>50</v>
      </c>
      <c r="Y459" s="12" t="s">
        <v>50</v>
      </c>
      <c r="Z459" s="12" t="s">
        <v>50</v>
      </c>
      <c r="AA459" s="12" t="s">
        <v>50</v>
      </c>
      <c r="AB459" s="12" t="s">
        <v>50</v>
      </c>
      <c r="AC459" s="12" t="s">
        <v>50</v>
      </c>
      <c r="AD459" s="12" t="s">
        <v>50</v>
      </c>
      <c r="AE459" s="12" t="s">
        <v>50</v>
      </c>
      <c r="AF459" s="12" t="s">
        <v>50</v>
      </c>
      <c r="AG459" s="12" t="s">
        <v>50</v>
      </c>
      <c r="AH459" s="19" t="s">
        <v>50</v>
      </c>
    </row>
    <row r="460" spans="2:34" ht="22.5" customHeight="1" x14ac:dyDescent="0.25">
      <c r="B460" s="18" t="s">
        <v>35</v>
      </c>
      <c r="C460" s="9" t="s">
        <v>410</v>
      </c>
      <c r="D460" s="10" t="s">
        <v>884</v>
      </c>
      <c r="E460" s="10"/>
      <c r="F460" s="10" t="s">
        <v>38</v>
      </c>
      <c r="G460" s="10" t="s">
        <v>39</v>
      </c>
      <c r="H460" s="10"/>
      <c r="I460" s="16" t="s">
        <v>184</v>
      </c>
      <c r="J460" s="10"/>
      <c r="K460" s="10"/>
      <c r="L460" s="16"/>
      <c r="M460" s="16"/>
      <c r="N460" s="16"/>
      <c r="O460" s="11">
        <v>0</v>
      </c>
      <c r="P460" s="11">
        <v>1</v>
      </c>
      <c r="Q460" s="11"/>
      <c r="R460" s="11"/>
      <c r="S460" s="12" t="s">
        <v>45</v>
      </c>
      <c r="T460" s="12" t="s">
        <v>46</v>
      </c>
      <c r="U460" s="12" t="s">
        <v>47</v>
      </c>
      <c r="V460" s="12" t="s">
        <v>48</v>
      </c>
      <c r="W460" s="12" t="s">
        <v>49</v>
      </c>
      <c r="X460" s="12" t="s">
        <v>50</v>
      </c>
      <c r="Y460" s="12" t="s">
        <v>50</v>
      </c>
      <c r="Z460" s="12" t="s">
        <v>50</v>
      </c>
      <c r="AA460" s="12" t="s">
        <v>50</v>
      </c>
      <c r="AB460" s="12" t="s">
        <v>51</v>
      </c>
      <c r="AC460" s="12" t="s">
        <v>50</v>
      </c>
      <c r="AD460" s="12" t="s">
        <v>50</v>
      </c>
      <c r="AE460" s="12" t="s">
        <v>52</v>
      </c>
      <c r="AF460" s="12" t="s">
        <v>53</v>
      </c>
      <c r="AG460" s="12" t="s">
        <v>50</v>
      </c>
      <c r="AH460" s="19" t="s">
        <v>54</v>
      </c>
    </row>
    <row r="461" spans="2:34" ht="22.5" customHeight="1" x14ac:dyDescent="0.25">
      <c r="B461" s="18" t="s">
        <v>35</v>
      </c>
      <c r="C461" s="9" t="s">
        <v>410</v>
      </c>
      <c r="D461" s="10" t="s">
        <v>885</v>
      </c>
      <c r="E461" s="10"/>
      <c r="F461" s="10" t="s">
        <v>816</v>
      </c>
      <c r="G461" s="10" t="s">
        <v>183</v>
      </c>
      <c r="H461" s="10"/>
      <c r="I461" s="16" t="s">
        <v>184</v>
      </c>
      <c r="J461" s="10"/>
      <c r="K461" s="10"/>
      <c r="L461" s="16"/>
      <c r="M461" s="16"/>
      <c r="N461" s="16"/>
      <c r="O461" s="11">
        <v>0</v>
      </c>
      <c r="P461" s="11">
        <v>1</v>
      </c>
      <c r="Q461" s="11"/>
      <c r="R461" s="11"/>
      <c r="S461" s="12" t="s">
        <v>50</v>
      </c>
      <c r="T461" s="12" t="s">
        <v>50</v>
      </c>
      <c r="U461" s="12" t="s">
        <v>50</v>
      </c>
      <c r="V461" s="12" t="s">
        <v>50</v>
      </c>
      <c r="W461" s="12" t="s">
        <v>50</v>
      </c>
      <c r="X461" s="12" t="s">
        <v>50</v>
      </c>
      <c r="Y461" s="12" t="s">
        <v>50</v>
      </c>
      <c r="Z461" s="12" t="s">
        <v>50</v>
      </c>
      <c r="AA461" s="12" t="s">
        <v>50</v>
      </c>
      <c r="AB461" s="12" t="s">
        <v>50</v>
      </c>
      <c r="AC461" s="12" t="s">
        <v>50</v>
      </c>
      <c r="AD461" s="12" t="s">
        <v>50</v>
      </c>
      <c r="AE461" s="12" t="s">
        <v>50</v>
      </c>
      <c r="AF461" s="12" t="s">
        <v>50</v>
      </c>
      <c r="AG461" s="12" t="s">
        <v>50</v>
      </c>
      <c r="AH461" s="19" t="s">
        <v>50</v>
      </c>
    </row>
    <row r="462" spans="2:34" ht="22.5" customHeight="1" x14ac:dyDescent="0.25">
      <c r="B462" s="18" t="s">
        <v>35</v>
      </c>
      <c r="C462" s="9" t="s">
        <v>410</v>
      </c>
      <c r="D462" s="10" t="s">
        <v>885</v>
      </c>
      <c r="E462" s="10"/>
      <c r="F462" s="10" t="s">
        <v>38</v>
      </c>
      <c r="G462" s="10" t="s">
        <v>39</v>
      </c>
      <c r="H462" s="10"/>
      <c r="I462" s="16" t="s">
        <v>184</v>
      </c>
      <c r="J462" s="10"/>
      <c r="K462" s="10"/>
      <c r="L462" s="16"/>
      <c r="M462" s="16"/>
      <c r="N462" s="16"/>
      <c r="O462" s="11">
        <v>0</v>
      </c>
      <c r="P462" s="11">
        <v>1</v>
      </c>
      <c r="Q462" s="11"/>
      <c r="R462" s="11"/>
      <c r="S462" s="12" t="s">
        <v>45</v>
      </c>
      <c r="T462" s="12" t="s">
        <v>46</v>
      </c>
      <c r="U462" s="12" t="s">
        <v>47</v>
      </c>
      <c r="V462" s="12" t="s">
        <v>48</v>
      </c>
      <c r="W462" s="12" t="s">
        <v>49</v>
      </c>
      <c r="X462" s="12" t="s">
        <v>50</v>
      </c>
      <c r="Y462" s="12" t="s">
        <v>50</v>
      </c>
      <c r="Z462" s="12" t="s">
        <v>50</v>
      </c>
      <c r="AA462" s="12" t="s">
        <v>50</v>
      </c>
      <c r="AB462" s="12" t="s">
        <v>51</v>
      </c>
      <c r="AC462" s="12" t="s">
        <v>50</v>
      </c>
      <c r="AD462" s="12" t="s">
        <v>50</v>
      </c>
      <c r="AE462" s="12" t="s">
        <v>52</v>
      </c>
      <c r="AF462" s="12" t="s">
        <v>53</v>
      </c>
      <c r="AG462" s="12" t="s">
        <v>50</v>
      </c>
      <c r="AH462" s="19" t="s">
        <v>54</v>
      </c>
    </row>
    <row r="463" spans="2:34" ht="22.5" customHeight="1" x14ac:dyDescent="0.25">
      <c r="B463" s="18" t="s">
        <v>35</v>
      </c>
      <c r="C463" s="9" t="s">
        <v>872</v>
      </c>
      <c r="D463" s="10" t="s">
        <v>886</v>
      </c>
      <c r="E463" s="10"/>
      <c r="F463" s="10" t="s">
        <v>122</v>
      </c>
      <c r="G463" s="10" t="s">
        <v>123</v>
      </c>
      <c r="H463" s="10"/>
      <c r="I463" s="16" t="s">
        <v>184</v>
      </c>
      <c r="J463" s="10"/>
      <c r="K463" s="10"/>
      <c r="L463" s="16"/>
      <c r="M463" s="16"/>
      <c r="N463" s="16"/>
      <c r="O463" s="11">
        <v>0</v>
      </c>
      <c r="P463" s="11">
        <v>1</v>
      </c>
      <c r="Q463" s="11"/>
      <c r="R463" s="11"/>
      <c r="S463" s="12" t="s">
        <v>128</v>
      </c>
      <c r="T463" s="12" t="s">
        <v>46</v>
      </c>
      <c r="U463" s="12" t="s">
        <v>47</v>
      </c>
      <c r="V463" s="12" t="s">
        <v>48</v>
      </c>
      <c r="W463" s="12" t="s">
        <v>49</v>
      </c>
      <c r="X463" s="12" t="s">
        <v>54</v>
      </c>
      <c r="Y463" s="12" t="s">
        <v>129</v>
      </c>
      <c r="Z463" s="12" t="s">
        <v>130</v>
      </c>
      <c r="AA463" s="12" t="s">
        <v>131</v>
      </c>
      <c r="AB463" s="12" t="s">
        <v>132</v>
      </c>
      <c r="AC463" s="12" t="s">
        <v>50</v>
      </c>
      <c r="AD463" s="12" t="s">
        <v>50</v>
      </c>
      <c r="AE463" s="12" t="s">
        <v>52</v>
      </c>
      <c r="AF463" s="12" t="s">
        <v>53</v>
      </c>
      <c r="AG463" s="12" t="s">
        <v>133</v>
      </c>
      <c r="AH463" s="19" t="s">
        <v>54</v>
      </c>
    </row>
    <row r="464" spans="2:34" ht="22.5" customHeight="1" x14ac:dyDescent="0.25">
      <c r="B464" s="18" t="s">
        <v>35</v>
      </c>
      <c r="C464" s="9" t="s">
        <v>887</v>
      </c>
      <c r="D464" s="10" t="s">
        <v>888</v>
      </c>
      <c r="E464" s="10"/>
      <c r="F464" s="10" t="s">
        <v>301</v>
      </c>
      <c r="G464" s="10" t="s">
        <v>177</v>
      </c>
      <c r="H464" s="10"/>
      <c r="I464" s="16" t="s">
        <v>184</v>
      </c>
      <c r="J464" s="10"/>
      <c r="K464" s="10"/>
      <c r="L464" s="16"/>
      <c r="M464" s="16"/>
      <c r="N464" s="16"/>
      <c r="O464" s="11">
        <v>0</v>
      </c>
      <c r="P464" s="11">
        <v>1</v>
      </c>
      <c r="Q464" s="11"/>
      <c r="R464" s="11"/>
      <c r="S464" s="12" t="s">
        <v>45</v>
      </c>
      <c r="T464" s="12" t="s">
        <v>46</v>
      </c>
      <c r="U464" s="12" t="s">
        <v>47</v>
      </c>
      <c r="V464" s="12" t="s">
        <v>48</v>
      </c>
      <c r="W464" s="12" t="s">
        <v>49</v>
      </c>
      <c r="X464" s="12" t="s">
        <v>50</v>
      </c>
      <c r="Y464" s="12" t="s">
        <v>50</v>
      </c>
      <c r="Z464" s="12" t="s">
        <v>50</v>
      </c>
      <c r="AA464" s="12" t="s">
        <v>50</v>
      </c>
      <c r="AB464" s="12" t="s">
        <v>51</v>
      </c>
      <c r="AC464" s="12" t="s">
        <v>50</v>
      </c>
      <c r="AD464" s="12" t="s">
        <v>50</v>
      </c>
      <c r="AE464" s="12" t="s">
        <v>52</v>
      </c>
      <c r="AF464" s="12" t="s">
        <v>53</v>
      </c>
      <c r="AG464" s="12" t="s">
        <v>50</v>
      </c>
      <c r="AH464" s="19" t="s">
        <v>54</v>
      </c>
    </row>
    <row r="465" spans="2:34" ht="22.5" customHeight="1" x14ac:dyDescent="0.25">
      <c r="B465" s="18" t="s">
        <v>889</v>
      </c>
      <c r="C465" s="9" t="s">
        <v>364</v>
      </c>
      <c r="D465" s="10" t="s">
        <v>890</v>
      </c>
      <c r="E465" s="10"/>
      <c r="F465" s="10" t="s">
        <v>38</v>
      </c>
      <c r="G465" s="10" t="s">
        <v>183</v>
      </c>
      <c r="H465" s="10"/>
      <c r="I465" s="16" t="s">
        <v>184</v>
      </c>
      <c r="J465" s="10"/>
      <c r="K465" s="10"/>
      <c r="L465" s="16"/>
      <c r="M465" s="16"/>
      <c r="N465" s="16"/>
      <c r="O465" s="11">
        <v>0</v>
      </c>
      <c r="P465" s="11">
        <v>1</v>
      </c>
      <c r="Q465" s="11"/>
      <c r="R465" s="11"/>
      <c r="S465" s="12" t="s">
        <v>45</v>
      </c>
      <c r="T465" s="12" t="s">
        <v>46</v>
      </c>
      <c r="U465" s="12" t="s">
        <v>47</v>
      </c>
      <c r="V465" s="12" t="s">
        <v>48</v>
      </c>
      <c r="W465" s="12" t="s">
        <v>49</v>
      </c>
      <c r="X465" s="12" t="s">
        <v>50</v>
      </c>
      <c r="Y465" s="12" t="s">
        <v>50</v>
      </c>
      <c r="Z465" s="12" t="s">
        <v>50</v>
      </c>
      <c r="AA465" s="12" t="s">
        <v>50</v>
      </c>
      <c r="AB465" s="12" t="s">
        <v>51</v>
      </c>
      <c r="AC465" s="12" t="s">
        <v>50</v>
      </c>
      <c r="AD465" s="12" t="s">
        <v>50</v>
      </c>
      <c r="AE465" s="12" t="s">
        <v>52</v>
      </c>
      <c r="AF465" s="12" t="s">
        <v>53</v>
      </c>
      <c r="AG465" s="12" t="s">
        <v>50</v>
      </c>
      <c r="AH465" s="19" t="s">
        <v>54</v>
      </c>
    </row>
    <row r="466" spans="2:34" ht="22.5" customHeight="1" x14ac:dyDescent="0.25">
      <c r="B466" s="18" t="s">
        <v>889</v>
      </c>
      <c r="C466" s="9" t="s">
        <v>364</v>
      </c>
      <c r="D466" s="10" t="s">
        <v>891</v>
      </c>
      <c r="E466" s="10"/>
      <c r="F466" s="10" t="s">
        <v>38</v>
      </c>
      <c r="G466" s="10" t="s">
        <v>183</v>
      </c>
      <c r="H466" s="10"/>
      <c r="I466" s="16" t="s">
        <v>184</v>
      </c>
      <c r="J466" s="10"/>
      <c r="K466" s="10"/>
      <c r="L466" s="16"/>
      <c r="M466" s="16"/>
      <c r="N466" s="16"/>
      <c r="O466" s="11">
        <v>0</v>
      </c>
      <c r="P466" s="11">
        <v>1</v>
      </c>
      <c r="Q466" s="11"/>
      <c r="R466" s="11"/>
      <c r="S466" s="12" t="s">
        <v>45</v>
      </c>
      <c r="T466" s="12" t="s">
        <v>46</v>
      </c>
      <c r="U466" s="12" t="s">
        <v>47</v>
      </c>
      <c r="V466" s="12" t="s">
        <v>48</v>
      </c>
      <c r="W466" s="12" t="s">
        <v>49</v>
      </c>
      <c r="X466" s="12" t="s">
        <v>50</v>
      </c>
      <c r="Y466" s="12" t="s">
        <v>50</v>
      </c>
      <c r="Z466" s="12" t="s">
        <v>50</v>
      </c>
      <c r="AA466" s="12" t="s">
        <v>50</v>
      </c>
      <c r="AB466" s="12" t="s">
        <v>51</v>
      </c>
      <c r="AC466" s="12" t="s">
        <v>50</v>
      </c>
      <c r="AD466" s="12" t="s">
        <v>50</v>
      </c>
      <c r="AE466" s="12" t="s">
        <v>52</v>
      </c>
      <c r="AF466" s="12" t="s">
        <v>53</v>
      </c>
      <c r="AG466" s="12" t="s">
        <v>50</v>
      </c>
      <c r="AH466" s="19" t="s">
        <v>54</v>
      </c>
    </row>
    <row r="467" spans="2:34" ht="22.5" customHeight="1" x14ac:dyDescent="0.25">
      <c r="B467" s="18" t="s">
        <v>889</v>
      </c>
      <c r="C467" s="9" t="s">
        <v>364</v>
      </c>
      <c r="D467" s="10" t="s">
        <v>892</v>
      </c>
      <c r="E467" s="10"/>
      <c r="F467" s="10" t="s">
        <v>38</v>
      </c>
      <c r="G467" s="10" t="s">
        <v>183</v>
      </c>
      <c r="H467" s="10"/>
      <c r="I467" s="16" t="s">
        <v>184</v>
      </c>
      <c r="J467" s="10"/>
      <c r="K467" s="10"/>
      <c r="L467" s="16"/>
      <c r="M467" s="16"/>
      <c r="N467" s="16"/>
      <c r="O467" s="11">
        <v>0</v>
      </c>
      <c r="P467" s="11">
        <v>1</v>
      </c>
      <c r="Q467" s="11"/>
      <c r="R467" s="11"/>
      <c r="S467" s="12" t="s">
        <v>45</v>
      </c>
      <c r="T467" s="12" t="s">
        <v>46</v>
      </c>
      <c r="U467" s="12" t="s">
        <v>47</v>
      </c>
      <c r="V467" s="12" t="s">
        <v>48</v>
      </c>
      <c r="W467" s="12" t="s">
        <v>49</v>
      </c>
      <c r="X467" s="12" t="s">
        <v>50</v>
      </c>
      <c r="Y467" s="12" t="s">
        <v>50</v>
      </c>
      <c r="Z467" s="12" t="s">
        <v>50</v>
      </c>
      <c r="AA467" s="12" t="s">
        <v>50</v>
      </c>
      <c r="AB467" s="12" t="s">
        <v>51</v>
      </c>
      <c r="AC467" s="12" t="s">
        <v>50</v>
      </c>
      <c r="AD467" s="12" t="s">
        <v>50</v>
      </c>
      <c r="AE467" s="12" t="s">
        <v>52</v>
      </c>
      <c r="AF467" s="12" t="s">
        <v>53</v>
      </c>
      <c r="AG467" s="12" t="s">
        <v>50</v>
      </c>
      <c r="AH467" s="19" t="s">
        <v>54</v>
      </c>
    </row>
    <row r="468" spans="2:34" ht="22.5" customHeight="1" x14ac:dyDescent="0.25">
      <c r="B468" s="18" t="s">
        <v>632</v>
      </c>
      <c r="C468" s="9" t="s">
        <v>722</v>
      </c>
      <c r="D468" s="10" t="s">
        <v>893</v>
      </c>
      <c r="E468" s="10"/>
      <c r="F468" s="10" t="s">
        <v>38</v>
      </c>
      <c r="G468" s="10" t="s">
        <v>39</v>
      </c>
      <c r="H468" s="10"/>
      <c r="I468" s="16" t="s">
        <v>184</v>
      </c>
      <c r="J468" s="10"/>
      <c r="K468" s="10"/>
      <c r="L468" s="16"/>
      <c r="M468" s="16"/>
      <c r="N468" s="16"/>
      <c r="O468" s="11">
        <v>0</v>
      </c>
      <c r="P468" s="11">
        <v>1</v>
      </c>
      <c r="Q468" s="11"/>
      <c r="R468" s="11"/>
      <c r="S468" s="12" t="s">
        <v>45</v>
      </c>
      <c r="T468" s="12" t="s">
        <v>46</v>
      </c>
      <c r="U468" s="12" t="s">
        <v>47</v>
      </c>
      <c r="V468" s="12" t="s">
        <v>48</v>
      </c>
      <c r="W468" s="12" t="s">
        <v>49</v>
      </c>
      <c r="X468" s="12" t="s">
        <v>50</v>
      </c>
      <c r="Y468" s="12" t="s">
        <v>50</v>
      </c>
      <c r="Z468" s="12" t="s">
        <v>50</v>
      </c>
      <c r="AA468" s="12" t="s">
        <v>50</v>
      </c>
      <c r="AB468" s="12" t="s">
        <v>51</v>
      </c>
      <c r="AC468" s="12" t="s">
        <v>50</v>
      </c>
      <c r="AD468" s="12" t="s">
        <v>50</v>
      </c>
      <c r="AE468" s="12" t="s">
        <v>52</v>
      </c>
      <c r="AF468" s="12" t="s">
        <v>53</v>
      </c>
      <c r="AG468" s="12" t="s">
        <v>50</v>
      </c>
      <c r="AH468" s="19" t="s">
        <v>54</v>
      </c>
    </row>
    <row r="469" spans="2:34" ht="22.5" customHeight="1" x14ac:dyDescent="0.25">
      <c r="B469" s="18" t="s">
        <v>632</v>
      </c>
      <c r="C469" s="9" t="s">
        <v>722</v>
      </c>
      <c r="D469" s="10" t="s">
        <v>894</v>
      </c>
      <c r="E469" s="10"/>
      <c r="F469" s="10" t="s">
        <v>38</v>
      </c>
      <c r="G469" s="10" t="s">
        <v>39</v>
      </c>
      <c r="H469" s="10"/>
      <c r="I469" s="16" t="s">
        <v>184</v>
      </c>
      <c r="J469" s="10"/>
      <c r="K469" s="10"/>
      <c r="L469" s="16"/>
      <c r="M469" s="16"/>
      <c r="N469" s="16"/>
      <c r="O469" s="11">
        <v>0</v>
      </c>
      <c r="P469" s="11">
        <v>1</v>
      </c>
      <c r="Q469" s="11"/>
      <c r="R469" s="11"/>
      <c r="S469" s="12" t="s">
        <v>45</v>
      </c>
      <c r="T469" s="12" t="s">
        <v>46</v>
      </c>
      <c r="U469" s="12" t="s">
        <v>47</v>
      </c>
      <c r="V469" s="12" t="s">
        <v>48</v>
      </c>
      <c r="W469" s="12" t="s">
        <v>49</v>
      </c>
      <c r="X469" s="12" t="s">
        <v>50</v>
      </c>
      <c r="Y469" s="12" t="s">
        <v>50</v>
      </c>
      <c r="Z469" s="12" t="s">
        <v>50</v>
      </c>
      <c r="AA469" s="12" t="s">
        <v>50</v>
      </c>
      <c r="AB469" s="12" t="s">
        <v>51</v>
      </c>
      <c r="AC469" s="12" t="s">
        <v>50</v>
      </c>
      <c r="AD469" s="12" t="s">
        <v>50</v>
      </c>
      <c r="AE469" s="12" t="s">
        <v>52</v>
      </c>
      <c r="AF469" s="12" t="s">
        <v>53</v>
      </c>
      <c r="AG469" s="12" t="s">
        <v>50</v>
      </c>
      <c r="AH469" s="19" t="s">
        <v>54</v>
      </c>
    </row>
    <row r="470" spans="2:34" ht="22.5" customHeight="1" x14ac:dyDescent="0.25">
      <c r="B470" s="32"/>
      <c r="C470" s="33"/>
      <c r="D470" s="33"/>
      <c r="E470" s="33"/>
      <c r="F470" s="33" t="s">
        <v>895</v>
      </c>
      <c r="G470" s="33"/>
      <c r="H470" s="33"/>
      <c r="I470" s="33"/>
      <c r="J470" s="33"/>
      <c r="K470" s="33"/>
      <c r="L470" s="33"/>
      <c r="M470" s="33"/>
      <c r="N470" s="33"/>
      <c r="O470" s="33">
        <v>210</v>
      </c>
      <c r="P470" s="33">
        <v>263</v>
      </c>
      <c r="Q470" s="33"/>
      <c r="R470" s="33"/>
      <c r="S470" s="34"/>
      <c r="T470" s="34"/>
      <c r="U470" s="34"/>
      <c r="V470" s="34"/>
      <c r="W470" s="34"/>
      <c r="X470" s="34"/>
      <c r="Y470" s="34"/>
      <c r="Z470" s="34"/>
      <c r="AA470" s="34"/>
      <c r="AB470" s="34"/>
      <c r="AC470" s="34"/>
      <c r="AD470" s="34"/>
      <c r="AE470" s="34"/>
      <c r="AF470" s="34"/>
      <c r="AG470" s="34"/>
      <c r="AH470" s="35"/>
    </row>
  </sheetData>
  <mergeCells count="1">
    <mergeCell ref="I3:K3"/>
  </mergeCells>
  <conditionalFormatting sqref="I333:I338">
    <cfRule type="expression" dxfId="24" priority="2">
      <formula>$W333=FALSE</formula>
    </cfRule>
  </conditionalFormatting>
  <dataValidations disablePrompts="1" count="1">
    <dataValidation type="list" allowBlank="1" showInputMessage="1" showErrorMessage="1" sqref="D105:E106" xr:uid="{87A11283-E20E-4A07-B93B-970ED73C379E}">
      <formula1>monlist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16</xdr:col>
                    <xdr:colOff>1990725</xdr:colOff>
                    <xdr:row>0</xdr:row>
                    <xdr:rowOff>85725</xdr:rowOff>
                  </from>
                  <to>
                    <xdr:col>16</xdr:col>
                    <xdr:colOff>3352800</xdr:colOff>
                    <xdr:row>1</xdr:row>
                    <xdr:rowOff>219075</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8D287-9340-49C8-B879-C354D3EEE48E}">
  <sheetPr codeName="Sheet5"/>
  <dimension ref="B2:H736"/>
  <sheetViews>
    <sheetView zoomScale="80" zoomScaleNormal="80" workbookViewId="0">
      <selection activeCell="C57" sqref="C57"/>
    </sheetView>
  </sheetViews>
  <sheetFormatPr defaultRowHeight="15" x14ac:dyDescent="0.25"/>
  <cols>
    <col min="1" max="1" width="7.42578125" customWidth="1"/>
    <col min="2" max="2" width="55.42578125" customWidth="1"/>
    <col min="3" max="3" width="48.140625" customWidth="1"/>
    <col min="4" max="4" width="22" style="46" customWidth="1"/>
    <col min="5" max="5" width="24.140625" customWidth="1"/>
    <col min="6" max="6" width="24" style="41" customWidth="1"/>
    <col min="7" max="7" width="20.28515625" style="41" customWidth="1"/>
    <col min="8" max="8" width="49" style="234" customWidth="1"/>
  </cols>
  <sheetData>
    <row r="2" spans="2:8" ht="15.75" x14ac:dyDescent="0.25">
      <c r="B2" s="220" t="s">
        <v>896</v>
      </c>
      <c r="C2" s="221"/>
      <c r="D2" s="222"/>
      <c r="E2" s="221"/>
      <c r="F2" s="223"/>
      <c r="G2" s="223"/>
    </row>
    <row r="3" spans="2:8" x14ac:dyDescent="0.25">
      <c r="B3" s="219" t="s">
        <v>897</v>
      </c>
      <c r="C3" s="216"/>
      <c r="D3" s="217"/>
      <c r="E3" s="216"/>
      <c r="F3" s="218"/>
      <c r="G3" s="218"/>
    </row>
    <row r="4" spans="2:8" x14ac:dyDescent="0.25">
      <c r="B4" s="44" t="s">
        <v>12</v>
      </c>
      <c r="C4" s="44" t="s">
        <v>5</v>
      </c>
      <c r="D4" s="67" t="s">
        <v>898</v>
      </c>
      <c r="E4" s="45" t="s">
        <v>899</v>
      </c>
      <c r="F4" s="45" t="s">
        <v>900</v>
      </c>
      <c r="G4" s="45" t="s">
        <v>901</v>
      </c>
      <c r="H4" s="235" t="s">
        <v>902</v>
      </c>
    </row>
    <row r="5" spans="2:8" ht="45" x14ac:dyDescent="0.25">
      <c r="B5" t="s">
        <v>903</v>
      </c>
      <c r="C5" s="43" t="s">
        <v>904</v>
      </c>
      <c r="D5" s="46" t="s">
        <v>905</v>
      </c>
      <c r="E5" s="65">
        <v>2362</v>
      </c>
      <c r="F5" s="65"/>
      <c r="G5" s="65"/>
      <c r="H5" s="236" t="s">
        <v>906</v>
      </c>
    </row>
    <row r="6" spans="2:8" s="47" customFormat="1" ht="90" x14ac:dyDescent="0.25">
      <c r="B6" s="47" t="s">
        <v>907</v>
      </c>
      <c r="C6" s="237" t="s">
        <v>908</v>
      </c>
      <c r="D6" s="46" t="s">
        <v>905</v>
      </c>
      <c r="E6" s="238">
        <v>4687.2</v>
      </c>
      <c r="F6" s="238"/>
      <c r="G6" s="238">
        <v>500</v>
      </c>
      <c r="H6" s="239" t="s">
        <v>909</v>
      </c>
    </row>
    <row r="7" spans="2:8" s="47" customFormat="1" ht="75" x14ac:dyDescent="0.25">
      <c r="B7" s="272" t="s">
        <v>910</v>
      </c>
      <c r="C7" s="237" t="s">
        <v>911</v>
      </c>
      <c r="D7" s="46" t="s">
        <v>905</v>
      </c>
      <c r="E7" s="238">
        <v>25487</v>
      </c>
      <c r="F7" s="238"/>
      <c r="G7" s="238"/>
      <c r="H7" s="243" t="s">
        <v>912</v>
      </c>
    </row>
    <row r="8" spans="2:8" x14ac:dyDescent="0.25">
      <c r="B8" t="s">
        <v>913</v>
      </c>
      <c r="C8" s="43" t="s">
        <v>914</v>
      </c>
      <c r="D8" s="46" t="s">
        <v>905</v>
      </c>
      <c r="E8" s="64">
        <v>3345</v>
      </c>
      <c r="F8" s="65"/>
      <c r="G8" s="65">
        <v>500</v>
      </c>
      <c r="H8" s="236" t="s">
        <v>915</v>
      </c>
    </row>
    <row r="9" spans="2:8" s="47" customFormat="1" ht="60" x14ac:dyDescent="0.25">
      <c r="B9" s="47" t="s">
        <v>916</v>
      </c>
      <c r="C9" s="237" t="s">
        <v>917</v>
      </c>
      <c r="D9" s="46" t="s">
        <v>905</v>
      </c>
      <c r="E9" s="238">
        <v>4869</v>
      </c>
      <c r="F9" s="238"/>
      <c r="G9" s="238"/>
      <c r="H9" s="239" t="s">
        <v>918</v>
      </c>
    </row>
    <row r="10" spans="2:8" s="47" customFormat="1" ht="60" x14ac:dyDescent="0.25">
      <c r="B10" s="47" t="s">
        <v>919</v>
      </c>
      <c r="C10" s="237" t="s">
        <v>920</v>
      </c>
      <c r="D10" s="46" t="s">
        <v>905</v>
      </c>
      <c r="E10" s="238">
        <v>745</v>
      </c>
      <c r="F10" s="238"/>
      <c r="G10" s="238"/>
      <c r="H10" s="239" t="s">
        <v>921</v>
      </c>
    </row>
    <row r="11" spans="2:8" s="47" customFormat="1" ht="30" x14ac:dyDescent="0.25">
      <c r="B11" s="47" t="s">
        <v>922</v>
      </c>
      <c r="C11" s="237" t="s">
        <v>923</v>
      </c>
      <c r="D11" s="46" t="s">
        <v>905</v>
      </c>
      <c r="E11" s="238">
        <v>1088</v>
      </c>
      <c r="F11" s="238"/>
      <c r="G11" s="238"/>
      <c r="H11" s="239" t="s">
        <v>924</v>
      </c>
    </row>
    <row r="12" spans="2:8" s="47" customFormat="1" ht="30" x14ac:dyDescent="0.25">
      <c r="B12" s="47" t="s">
        <v>925</v>
      </c>
      <c r="C12" s="237" t="s">
        <v>926</v>
      </c>
      <c r="D12" s="46" t="s">
        <v>905</v>
      </c>
      <c r="E12" s="238">
        <v>325</v>
      </c>
      <c r="F12" s="238"/>
      <c r="G12" s="238"/>
      <c r="H12" s="239" t="s">
        <v>927</v>
      </c>
    </row>
    <row r="13" spans="2:8" s="47" customFormat="1" ht="45" x14ac:dyDescent="0.25">
      <c r="B13" s="47" t="s">
        <v>928</v>
      </c>
      <c r="C13" s="237" t="s">
        <v>929</v>
      </c>
      <c r="D13" s="46" t="s">
        <v>905</v>
      </c>
      <c r="E13" s="238">
        <v>4924</v>
      </c>
      <c r="F13" s="238"/>
      <c r="G13" s="238"/>
      <c r="H13" s="239" t="s">
        <v>930</v>
      </c>
    </row>
    <row r="14" spans="2:8" s="47" customFormat="1" ht="135" x14ac:dyDescent="0.25">
      <c r="B14" s="47" t="s">
        <v>931</v>
      </c>
      <c r="C14" s="237" t="s">
        <v>932</v>
      </c>
      <c r="D14" s="46" t="s">
        <v>905</v>
      </c>
      <c r="E14" s="64">
        <v>6460</v>
      </c>
      <c r="F14" s="64">
        <v>1127</v>
      </c>
      <c r="G14" s="238">
        <v>720</v>
      </c>
      <c r="H14" s="239" t="s">
        <v>933</v>
      </c>
    </row>
    <row r="15" spans="2:8" s="47" customFormat="1" ht="150" x14ac:dyDescent="0.25">
      <c r="B15" s="47" t="s">
        <v>934</v>
      </c>
      <c r="C15" s="237" t="s">
        <v>932</v>
      </c>
      <c r="D15" s="46" t="s">
        <v>905</v>
      </c>
      <c r="E15" s="238">
        <v>7489</v>
      </c>
      <c r="F15" s="64">
        <v>1127</v>
      </c>
      <c r="G15" s="238">
        <v>720</v>
      </c>
      <c r="H15" s="239" t="s">
        <v>935</v>
      </c>
    </row>
    <row r="16" spans="2:8" s="47" customFormat="1" ht="150" x14ac:dyDescent="0.25">
      <c r="B16" s="47" t="s">
        <v>936</v>
      </c>
      <c r="C16" s="237" t="s">
        <v>932</v>
      </c>
      <c r="D16" s="46" t="s">
        <v>905</v>
      </c>
      <c r="E16" s="64">
        <v>9742</v>
      </c>
      <c r="F16" s="64">
        <v>1127</v>
      </c>
      <c r="G16" s="64">
        <v>720</v>
      </c>
      <c r="H16" s="239" t="s">
        <v>937</v>
      </c>
    </row>
    <row r="17" spans="2:8" s="47" customFormat="1" ht="120" x14ac:dyDescent="0.25">
      <c r="B17" s="47" t="s">
        <v>938</v>
      </c>
      <c r="C17" s="237" t="s">
        <v>932</v>
      </c>
      <c r="D17" s="46" t="s">
        <v>905</v>
      </c>
      <c r="E17" s="64">
        <v>12153</v>
      </c>
      <c r="F17" s="64">
        <v>915</v>
      </c>
      <c r="G17" s="238">
        <v>720</v>
      </c>
      <c r="H17" s="239" t="s">
        <v>939</v>
      </c>
    </row>
    <row r="18" spans="2:8" s="47" customFormat="1" ht="120" x14ac:dyDescent="0.25">
      <c r="B18" s="47" t="s">
        <v>2212</v>
      </c>
      <c r="C18" s="237" t="s">
        <v>932</v>
      </c>
      <c r="D18" s="46" t="s">
        <v>905</v>
      </c>
      <c r="E18" s="64">
        <v>12153</v>
      </c>
      <c r="F18" s="64">
        <v>915</v>
      </c>
      <c r="G18" s="238">
        <v>720</v>
      </c>
      <c r="H18" s="239" t="s">
        <v>2213</v>
      </c>
    </row>
    <row r="19" spans="2:8" s="47" customFormat="1" ht="30" x14ac:dyDescent="0.25">
      <c r="B19" s="47" t="s">
        <v>940</v>
      </c>
      <c r="C19" s="237" t="s">
        <v>941</v>
      </c>
      <c r="D19" s="46" t="s">
        <v>905</v>
      </c>
      <c r="E19" s="238">
        <v>2572</v>
      </c>
      <c r="F19" s="238"/>
      <c r="G19" s="238"/>
      <c r="H19" s="239" t="s">
        <v>942</v>
      </c>
    </row>
    <row r="20" spans="2:8" s="47" customFormat="1" ht="60" x14ac:dyDescent="0.25">
      <c r="B20" s="47" t="s">
        <v>943</v>
      </c>
      <c r="C20" s="237" t="s">
        <v>944</v>
      </c>
      <c r="D20" s="46" t="s">
        <v>905</v>
      </c>
      <c r="E20" s="64">
        <v>7342</v>
      </c>
      <c r="F20" s="238"/>
      <c r="G20" s="238">
        <v>500</v>
      </c>
      <c r="H20" s="239" t="s">
        <v>945</v>
      </c>
    </row>
    <row r="21" spans="2:8" s="47" customFormat="1" ht="75" x14ac:dyDescent="0.25">
      <c r="B21" s="47" t="s">
        <v>946</v>
      </c>
      <c r="C21" s="237" t="s">
        <v>944</v>
      </c>
      <c r="D21" s="46" t="s">
        <v>905</v>
      </c>
      <c r="E21" s="238">
        <v>7999</v>
      </c>
      <c r="F21" s="238"/>
      <c r="G21" s="238">
        <v>500</v>
      </c>
      <c r="H21" s="239" t="s">
        <v>947</v>
      </c>
    </row>
    <row r="22" spans="2:8" s="47" customFormat="1" ht="135" x14ac:dyDescent="0.25">
      <c r="B22" s="47" t="s">
        <v>948</v>
      </c>
      <c r="C22" s="237" t="s">
        <v>944</v>
      </c>
      <c r="D22" s="46" t="s">
        <v>905</v>
      </c>
      <c r="E22" s="238">
        <v>7498</v>
      </c>
      <c r="F22" s="238"/>
      <c r="G22" s="238">
        <v>500</v>
      </c>
      <c r="H22" s="239" t="s">
        <v>949</v>
      </c>
    </row>
    <row r="23" spans="2:8" s="47" customFormat="1" ht="150" x14ac:dyDescent="0.25">
      <c r="B23" s="47" t="s">
        <v>950</v>
      </c>
      <c r="C23" s="237" t="s">
        <v>944</v>
      </c>
      <c r="D23" s="46" t="s">
        <v>905</v>
      </c>
      <c r="E23" s="238">
        <v>8278</v>
      </c>
      <c r="F23" s="238"/>
      <c r="G23" s="238">
        <v>500</v>
      </c>
      <c r="H23" s="239" t="s">
        <v>951</v>
      </c>
    </row>
    <row r="24" spans="2:8" s="47" customFormat="1" ht="30" x14ac:dyDescent="0.25">
      <c r="B24" s="47" t="s">
        <v>952</v>
      </c>
      <c r="C24" s="237" t="s">
        <v>953</v>
      </c>
      <c r="D24" s="46" t="s">
        <v>905</v>
      </c>
      <c r="E24" s="238">
        <v>1175</v>
      </c>
      <c r="F24" s="238"/>
      <c r="G24" s="238">
        <v>500</v>
      </c>
      <c r="H24" s="239" t="s">
        <v>954</v>
      </c>
    </row>
    <row r="25" spans="2:8" s="47" customFormat="1" ht="60" x14ac:dyDescent="0.25">
      <c r="B25" s="47" t="s">
        <v>955</v>
      </c>
      <c r="C25" s="240" t="s">
        <v>956</v>
      </c>
      <c r="D25" s="46" t="s">
        <v>905</v>
      </c>
      <c r="E25" s="238">
        <v>4121</v>
      </c>
      <c r="F25" s="238"/>
      <c r="G25" s="238">
        <v>360</v>
      </c>
      <c r="H25" s="239" t="s">
        <v>2201</v>
      </c>
    </row>
    <row r="26" spans="2:8" s="47" customFormat="1" ht="45" x14ac:dyDescent="0.25">
      <c r="B26" s="47" t="s">
        <v>957</v>
      </c>
      <c r="C26" s="237" t="s">
        <v>958</v>
      </c>
      <c r="D26" s="46" t="s">
        <v>905</v>
      </c>
      <c r="E26" s="274"/>
      <c r="F26" s="238"/>
      <c r="G26" s="238"/>
      <c r="H26" s="239" t="s">
        <v>959</v>
      </c>
    </row>
    <row r="27" spans="2:8" s="47" customFormat="1" ht="45" x14ac:dyDescent="0.25">
      <c r="B27" s="47" t="s">
        <v>960</v>
      </c>
      <c r="C27" s="237" t="s">
        <v>961</v>
      </c>
      <c r="D27" s="46" t="s">
        <v>905</v>
      </c>
      <c r="E27" s="274"/>
      <c r="F27" s="238"/>
      <c r="G27" s="238"/>
      <c r="H27" s="239" t="s">
        <v>959</v>
      </c>
    </row>
    <row r="28" spans="2:8" x14ac:dyDescent="0.25">
      <c r="B28" t="s">
        <v>962</v>
      </c>
      <c r="C28" s="43" t="s">
        <v>963</v>
      </c>
      <c r="D28" s="46" t="s">
        <v>905</v>
      </c>
      <c r="E28" s="65">
        <v>4178</v>
      </c>
      <c r="F28" s="65"/>
      <c r="G28" s="65"/>
      <c r="H28" s="236"/>
    </row>
    <row r="29" spans="2:8" s="47" customFormat="1" ht="30" x14ac:dyDescent="0.25">
      <c r="B29" s="272" t="s">
        <v>964</v>
      </c>
      <c r="C29" s="237" t="s">
        <v>965</v>
      </c>
      <c r="D29" s="46" t="s">
        <v>905</v>
      </c>
      <c r="E29" s="238">
        <v>23239</v>
      </c>
      <c r="F29" s="238"/>
      <c r="G29" s="238"/>
      <c r="H29" s="239" t="s">
        <v>966</v>
      </c>
    </row>
    <row r="30" spans="2:8" s="47" customFormat="1" ht="210" x14ac:dyDescent="0.25">
      <c r="B30" s="47" t="s">
        <v>967</v>
      </c>
      <c r="C30" s="237" t="s">
        <v>968</v>
      </c>
      <c r="D30" s="46" t="s">
        <v>905</v>
      </c>
      <c r="E30" s="238">
        <v>4464</v>
      </c>
      <c r="F30" s="238"/>
      <c r="G30" s="238">
        <v>500</v>
      </c>
      <c r="H30" s="239" t="s">
        <v>969</v>
      </c>
    </row>
    <row r="31" spans="2:8" s="47" customFormat="1" ht="60" x14ac:dyDescent="0.25">
      <c r="B31" s="47" t="s">
        <v>970</v>
      </c>
      <c r="C31" s="237" t="s">
        <v>971</v>
      </c>
      <c r="D31" s="46" t="s">
        <v>905</v>
      </c>
      <c r="E31" s="241">
        <v>3784</v>
      </c>
      <c r="F31" s="238"/>
      <c r="G31" s="238"/>
      <c r="H31" s="242" t="s">
        <v>972</v>
      </c>
    </row>
    <row r="32" spans="2:8" s="47" customFormat="1" ht="45" x14ac:dyDescent="0.25">
      <c r="B32" s="47" t="s">
        <v>973</v>
      </c>
      <c r="C32" s="237" t="s">
        <v>974</v>
      </c>
      <c r="D32" s="46" t="s">
        <v>905</v>
      </c>
      <c r="E32" s="241">
        <v>2051</v>
      </c>
      <c r="F32" s="238"/>
      <c r="G32" s="238"/>
      <c r="H32" s="242" t="s">
        <v>975</v>
      </c>
    </row>
    <row r="33" spans="2:8" s="47" customFormat="1" ht="45" x14ac:dyDescent="0.25">
      <c r="B33" s="47" t="s">
        <v>976</v>
      </c>
      <c r="C33" s="237" t="s">
        <v>977</v>
      </c>
      <c r="D33" s="46" t="s">
        <v>905</v>
      </c>
      <c r="E33" s="241">
        <v>420</v>
      </c>
      <c r="F33" s="238"/>
      <c r="G33" s="238"/>
      <c r="H33" s="242" t="s">
        <v>978</v>
      </c>
    </row>
    <row r="34" spans="2:8" s="47" customFormat="1" ht="60" x14ac:dyDescent="0.25">
      <c r="B34" s="47" t="s">
        <v>919</v>
      </c>
      <c r="C34" s="240" t="s">
        <v>920</v>
      </c>
      <c r="D34" s="46" t="s">
        <v>905</v>
      </c>
      <c r="E34" s="238">
        <v>745</v>
      </c>
      <c r="F34" s="238"/>
      <c r="G34" s="238"/>
      <c r="H34" s="242" t="s">
        <v>979</v>
      </c>
    </row>
    <row r="35" spans="2:8" s="47" customFormat="1" ht="45" x14ac:dyDescent="0.25">
      <c r="B35" s="47" t="s">
        <v>980</v>
      </c>
      <c r="C35" s="237" t="s">
        <v>981</v>
      </c>
      <c r="D35" s="46" t="s">
        <v>905</v>
      </c>
      <c r="E35" s="238">
        <v>418</v>
      </c>
      <c r="F35" s="238"/>
      <c r="G35" s="238"/>
      <c r="H35" s="242" t="s">
        <v>982</v>
      </c>
    </row>
    <row r="36" spans="2:8" s="47" customFormat="1" ht="60" x14ac:dyDescent="0.25">
      <c r="B36" s="47" t="s">
        <v>983</v>
      </c>
      <c r="C36" s="237" t="s">
        <v>984</v>
      </c>
      <c r="D36" s="46" t="s">
        <v>905</v>
      </c>
      <c r="E36" s="238">
        <v>199</v>
      </c>
      <c r="F36" s="238"/>
      <c r="G36" s="238"/>
      <c r="H36" s="242" t="s">
        <v>985</v>
      </c>
    </row>
    <row r="37" spans="2:8" s="47" customFormat="1" ht="45" x14ac:dyDescent="0.25">
      <c r="B37" s="47" t="s">
        <v>2215</v>
      </c>
      <c r="C37" s="48" t="s">
        <v>914</v>
      </c>
      <c r="D37" s="46" t="s">
        <v>905</v>
      </c>
      <c r="E37" s="258">
        <v>0</v>
      </c>
      <c r="F37" s="259">
        <v>0</v>
      </c>
      <c r="G37" s="260">
        <v>500</v>
      </c>
      <c r="H37" s="234" t="s">
        <v>2216</v>
      </c>
    </row>
    <row r="38" spans="2:8" s="47" customFormat="1" ht="90" x14ac:dyDescent="0.25">
      <c r="B38" s="47" t="s">
        <v>986</v>
      </c>
      <c r="C38" s="237" t="s">
        <v>987</v>
      </c>
      <c r="D38" s="46" t="s">
        <v>905</v>
      </c>
      <c r="E38" s="253">
        <v>1159</v>
      </c>
      <c r="F38" s="254"/>
      <c r="G38" s="255"/>
      <c r="H38" s="256" t="s">
        <v>988</v>
      </c>
    </row>
    <row r="39" spans="2:8" s="47" customFormat="1" ht="30" x14ac:dyDescent="0.25">
      <c r="B39" s="283" t="s">
        <v>989</v>
      </c>
      <c r="C39" s="284"/>
      <c r="D39" s="284"/>
      <c r="E39" s="285">
        <v>121.6</v>
      </c>
      <c r="F39" s="286" t="s">
        <v>990</v>
      </c>
      <c r="G39" s="287" t="s">
        <v>990</v>
      </c>
      <c r="H39" s="288" t="s">
        <v>991</v>
      </c>
    </row>
    <row r="40" spans="2:8" s="47" customFormat="1" ht="120" x14ac:dyDescent="0.25">
      <c r="B40" s="47" t="s">
        <v>992</v>
      </c>
      <c r="C40" s="48"/>
      <c r="D40" s="46"/>
      <c r="E40" s="258">
        <v>1370</v>
      </c>
      <c r="F40" s="259"/>
      <c r="G40" s="260"/>
      <c r="H40" s="256" t="s">
        <v>993</v>
      </c>
    </row>
    <row r="41" spans="2:8" s="47" customFormat="1" ht="90" x14ac:dyDescent="0.25">
      <c r="B41" s="47" t="s">
        <v>994</v>
      </c>
      <c r="C41" s="237"/>
      <c r="D41" s="46"/>
      <c r="E41" s="258">
        <v>995</v>
      </c>
      <c r="F41" s="259"/>
      <c r="G41" s="260"/>
      <c r="H41" s="256" t="s">
        <v>995</v>
      </c>
    </row>
    <row r="42" spans="2:8" s="47" customFormat="1" ht="90" x14ac:dyDescent="0.25">
      <c r="B42" s="272" t="s">
        <v>996</v>
      </c>
      <c r="C42" s="237" t="s">
        <v>997</v>
      </c>
      <c r="D42" s="46"/>
      <c r="E42" s="253">
        <v>108320</v>
      </c>
      <c r="F42" s="254"/>
      <c r="G42" s="255"/>
      <c r="H42" s="261" t="s">
        <v>998</v>
      </c>
    </row>
    <row r="43" spans="2:8" x14ac:dyDescent="0.25">
      <c r="B43" s="273" t="s">
        <v>999</v>
      </c>
      <c r="C43" s="43" t="s">
        <v>1000</v>
      </c>
      <c r="E43" s="249">
        <v>22716</v>
      </c>
      <c r="F43" s="250"/>
      <c r="G43" s="251"/>
      <c r="H43" s="252" t="s">
        <v>1001</v>
      </c>
    </row>
    <row r="44" spans="2:8" x14ac:dyDescent="0.25">
      <c r="B44" s="273" t="s">
        <v>1002</v>
      </c>
      <c r="C44" s="43" t="s">
        <v>1003</v>
      </c>
      <c r="E44" s="249">
        <v>70000</v>
      </c>
      <c r="F44" s="250"/>
      <c r="G44" s="251"/>
      <c r="H44" s="252" t="s">
        <v>1004</v>
      </c>
    </row>
    <row r="45" spans="2:8" s="47" customFormat="1" ht="90" x14ac:dyDescent="0.25">
      <c r="B45" s="272" t="s">
        <v>1005</v>
      </c>
      <c r="C45" s="237" t="s">
        <v>1006</v>
      </c>
      <c r="D45" s="46"/>
      <c r="E45" s="253">
        <v>53100</v>
      </c>
      <c r="F45" s="254"/>
      <c r="G45" s="255"/>
      <c r="H45" s="261" t="s">
        <v>1007</v>
      </c>
    </row>
    <row r="46" spans="2:8" s="47" customFormat="1" ht="45" x14ac:dyDescent="0.25">
      <c r="B46" s="272" t="s">
        <v>1008</v>
      </c>
      <c r="C46" s="237" t="s">
        <v>1009</v>
      </c>
      <c r="D46" s="46"/>
      <c r="E46" s="253">
        <v>30000</v>
      </c>
      <c r="F46" s="254"/>
      <c r="G46" s="255"/>
      <c r="H46" s="262" t="s">
        <v>1010</v>
      </c>
    </row>
    <row r="47" spans="2:8" x14ac:dyDescent="0.25">
      <c r="B47" s="276" t="s">
        <v>1011</v>
      </c>
      <c r="C47" s="43" t="s">
        <v>1012</v>
      </c>
      <c r="E47" s="249">
        <v>40690</v>
      </c>
      <c r="F47" s="250"/>
      <c r="G47" s="251"/>
      <c r="H47" s="252" t="s">
        <v>1013</v>
      </c>
    </row>
    <row r="48" spans="2:8" s="47" customFormat="1" ht="30" x14ac:dyDescent="0.25">
      <c r="B48" s="277" t="s">
        <v>1014</v>
      </c>
      <c r="C48" s="278"/>
      <c r="D48" s="278"/>
      <c r="E48" s="279">
        <v>860</v>
      </c>
      <c r="F48" s="280" t="s">
        <v>990</v>
      </c>
      <c r="G48" s="281" t="s">
        <v>990</v>
      </c>
      <c r="H48" s="282" t="s">
        <v>1015</v>
      </c>
    </row>
    <row r="732" spans="6:7" x14ac:dyDescent="0.25">
      <c r="F732" s="41" t="s">
        <v>1016</v>
      </c>
    </row>
    <row r="736" spans="6:7" x14ac:dyDescent="0.25">
      <c r="G736" s="41" t="s">
        <v>1016</v>
      </c>
    </row>
  </sheetData>
  <phoneticPr fontId="13"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07173-8E4D-467D-8E05-CACAB3178C4D}">
  <sheetPr codeName="Sheet4">
    <tabColor rgb="FF99FF66"/>
  </sheetPr>
  <dimension ref="B2:AP937"/>
  <sheetViews>
    <sheetView tabSelected="1" zoomScale="80" zoomScaleNormal="80" workbookViewId="0">
      <pane xSplit="7" topLeftCell="T1" activePane="topRight" state="frozen"/>
      <selection pane="topRight" activeCell="W938" sqref="W938"/>
    </sheetView>
  </sheetViews>
  <sheetFormatPr defaultColWidth="10.28515625" defaultRowHeight="19.5" customHeight="1" x14ac:dyDescent="0.25"/>
  <cols>
    <col min="1" max="1" width="2.85546875" style="7" customWidth="1"/>
    <col min="2" max="2" width="31.5703125" style="3" customWidth="1"/>
    <col min="3" max="3" width="29.140625" style="3" customWidth="1"/>
    <col min="4" max="4" width="16.7109375" style="3" customWidth="1"/>
    <col min="5" max="5" width="28.140625" style="3" customWidth="1"/>
    <col min="6" max="6" width="40.42578125" style="3" customWidth="1"/>
    <col min="7" max="7" width="29.5703125" style="3" customWidth="1"/>
    <col min="8" max="8" width="12.85546875" style="191" customWidth="1"/>
    <col min="9" max="9" width="11" style="3" customWidth="1"/>
    <col min="10" max="10" width="15.42578125" style="8" customWidth="1"/>
    <col min="11" max="11" width="54.28515625" style="3" customWidth="1"/>
    <col min="12" max="12" width="39.7109375" style="3" customWidth="1"/>
    <col min="13" max="13" width="35.140625" style="3" customWidth="1"/>
    <col min="14" max="14" width="27.85546875" style="3" customWidth="1"/>
    <col min="15" max="15" width="25.42578125" style="3" customWidth="1"/>
    <col min="16" max="16" width="11" style="5" customWidth="1"/>
    <col min="17" max="17" width="11.85546875" style="192" customWidth="1"/>
    <col min="18" max="18" width="15.28515625" style="3" customWidth="1"/>
    <col min="19" max="19" width="40.140625" style="3" customWidth="1"/>
    <col min="20" max="22" width="26.42578125" style="5" customWidth="1"/>
    <col min="23" max="23" width="26.140625" style="5" customWidth="1"/>
    <col min="24" max="24" width="18.7109375" style="5" customWidth="1"/>
    <col min="25" max="25" width="59.7109375" style="244" customWidth="1"/>
    <col min="26" max="26" width="19.85546875" style="6" hidden="1" customWidth="1"/>
    <col min="27" max="27" width="22.140625" style="6" hidden="1" customWidth="1"/>
    <col min="28" max="28" width="20.28515625" style="6" hidden="1" customWidth="1"/>
    <col min="29" max="29" width="17.140625" style="6" hidden="1" customWidth="1"/>
    <col min="30" max="30" width="19.7109375" style="6" hidden="1" customWidth="1"/>
    <col min="31" max="31" width="21.140625" style="6" hidden="1" customWidth="1"/>
    <col min="32" max="32" width="25.42578125" style="6" hidden="1" customWidth="1"/>
    <col min="33" max="33" width="20.85546875" style="6" hidden="1" customWidth="1"/>
    <col min="34" max="34" width="23" style="6" hidden="1" customWidth="1"/>
    <col min="35" max="35" width="18.7109375" style="6" hidden="1" customWidth="1"/>
    <col min="36" max="36" width="17.42578125" style="6" hidden="1" customWidth="1"/>
    <col min="37" max="37" width="11.42578125" style="6" hidden="1" customWidth="1"/>
    <col min="38" max="38" width="12.42578125" style="6" hidden="1" customWidth="1"/>
    <col min="39" max="39" width="15" style="6" hidden="1" customWidth="1"/>
    <col min="40" max="40" width="13" style="6" hidden="1" customWidth="1"/>
    <col min="41" max="41" width="15.85546875" style="6" hidden="1" customWidth="1"/>
    <col min="42" max="42" width="38.28515625" style="7" customWidth="1"/>
    <col min="43" max="16384" width="10.28515625" style="7"/>
  </cols>
  <sheetData>
    <row r="2" spans="2:41" ht="30.75" customHeight="1" x14ac:dyDescent="0.25">
      <c r="B2" s="233" t="s">
        <v>0</v>
      </c>
      <c r="C2" s="225"/>
      <c r="D2" s="225"/>
      <c r="E2" s="225"/>
      <c r="F2" s="226"/>
      <c r="G2" s="226"/>
      <c r="H2" s="227"/>
      <c r="I2" s="226"/>
      <c r="J2" s="228"/>
      <c r="K2" s="226"/>
      <c r="L2" s="226"/>
      <c r="M2" s="226"/>
      <c r="N2" s="226"/>
      <c r="O2" s="226"/>
      <c r="P2" s="229"/>
      <c r="Q2" s="230"/>
      <c r="R2" s="226"/>
      <c r="S2" s="226"/>
      <c r="T2" s="229"/>
      <c r="U2" s="229"/>
      <c r="V2" s="193" t="s">
        <v>1017</v>
      </c>
      <c r="W2" s="194">
        <f>SUBTOTAL(9,W5:W932)</f>
        <v>5763056.5599999847</v>
      </c>
    </row>
    <row r="3" spans="2:41" ht="30" customHeight="1" x14ac:dyDescent="0.25">
      <c r="B3" s="231"/>
      <c r="C3" s="231"/>
      <c r="D3" s="231"/>
      <c r="E3" s="231"/>
      <c r="F3" s="231"/>
      <c r="G3" s="231"/>
      <c r="H3" s="232"/>
      <c r="I3" s="231"/>
      <c r="J3" s="308" t="s">
        <v>1</v>
      </c>
      <c r="K3" s="308"/>
      <c r="L3" s="308"/>
      <c r="M3" s="14"/>
      <c r="N3" s="14"/>
      <c r="O3" s="14"/>
      <c r="P3" s="14"/>
      <c r="Q3" s="17"/>
      <c r="R3" s="195"/>
      <c r="S3" s="195"/>
      <c r="T3" s="17"/>
      <c r="U3" s="17"/>
      <c r="V3" s="17"/>
      <c r="W3" s="17"/>
      <c r="X3" s="17"/>
      <c r="Y3" s="245"/>
    </row>
    <row r="4" spans="2:41" ht="62.25" customHeight="1" x14ac:dyDescent="0.25">
      <c r="B4" s="196" t="s">
        <v>2</v>
      </c>
      <c r="C4" s="196" t="s">
        <v>3</v>
      </c>
      <c r="D4" s="196" t="s">
        <v>4</v>
      </c>
      <c r="E4" s="197" t="s">
        <v>1018</v>
      </c>
      <c r="F4" s="8" t="s">
        <v>6</v>
      </c>
      <c r="G4" s="197" t="s">
        <v>7</v>
      </c>
      <c r="H4" s="198" t="s">
        <v>1019</v>
      </c>
      <c r="I4" s="199" t="s">
        <v>8</v>
      </c>
      <c r="J4" s="200" t="s">
        <v>9</v>
      </c>
      <c r="K4" s="200" t="s">
        <v>10</v>
      </c>
      <c r="L4" s="200" t="s">
        <v>11</v>
      </c>
      <c r="M4" s="200" t="s">
        <v>12</v>
      </c>
      <c r="N4" s="200" t="s">
        <v>13</v>
      </c>
      <c r="O4" s="200" t="s">
        <v>14</v>
      </c>
      <c r="P4" s="201" t="s">
        <v>15</v>
      </c>
      <c r="Q4" s="202" t="s">
        <v>16</v>
      </c>
      <c r="R4" s="203" t="s">
        <v>898</v>
      </c>
      <c r="S4" s="202" t="s">
        <v>1020</v>
      </c>
      <c r="T4" s="203" t="s">
        <v>899</v>
      </c>
      <c r="U4" s="202" t="s">
        <v>1021</v>
      </c>
      <c r="V4" s="203" t="s">
        <v>1022</v>
      </c>
      <c r="W4" s="202" t="s">
        <v>1023</v>
      </c>
      <c r="X4" s="204" t="s">
        <v>17</v>
      </c>
      <c r="Y4" s="205" t="s">
        <v>18</v>
      </c>
      <c r="Z4" s="206" t="s">
        <v>1024</v>
      </c>
      <c r="AA4" s="206" t="s">
        <v>20</v>
      </c>
      <c r="AB4" s="206" t="s">
        <v>21</v>
      </c>
      <c r="AC4" s="206" t="s">
        <v>22</v>
      </c>
      <c r="AD4" s="206" t="s">
        <v>23</v>
      </c>
      <c r="AE4" s="206" t="s">
        <v>24</v>
      </c>
      <c r="AF4" s="206" t="s">
        <v>25</v>
      </c>
      <c r="AG4" s="206" t="s">
        <v>26</v>
      </c>
      <c r="AH4" s="206" t="s">
        <v>27</v>
      </c>
      <c r="AI4" s="206" t="s">
        <v>28</v>
      </c>
      <c r="AJ4" s="206" t="s">
        <v>29</v>
      </c>
      <c r="AK4" s="206" t="s">
        <v>30</v>
      </c>
      <c r="AL4" s="206" t="s">
        <v>31</v>
      </c>
      <c r="AM4" s="206" t="s">
        <v>32</v>
      </c>
      <c r="AN4" s="206" t="s">
        <v>33</v>
      </c>
      <c r="AO4" s="206" t="s">
        <v>34</v>
      </c>
    </row>
    <row r="5" spans="2:41" ht="227.25" customHeight="1" x14ac:dyDescent="0.25">
      <c r="B5" s="207" t="s">
        <v>161</v>
      </c>
      <c r="C5" s="66" t="s">
        <v>640</v>
      </c>
      <c r="D5" s="4" t="s">
        <v>641</v>
      </c>
      <c r="E5" s="4" t="s">
        <v>1025</v>
      </c>
      <c r="F5" s="4" t="s">
        <v>1026</v>
      </c>
      <c r="G5" s="4" t="s">
        <v>39</v>
      </c>
      <c r="H5" s="208">
        <v>1</v>
      </c>
      <c r="I5" s="4"/>
      <c r="J5" s="15"/>
      <c r="K5" s="4" t="str">
        <f>_xlfn.IFNA(VLOOKUP($J5,WH_Data[],6,FALSE),"")</f>
        <v/>
      </c>
      <c r="L5" s="4" t="str">
        <f>_xlfn.IFNA(VLOOKUP($J5,WH_Data[],3,FALSE),"")</f>
        <v/>
      </c>
      <c r="M5" s="4" t="str">
        <f>_xlfn.IFNA(VLOOKUP($J5,WH_Data[],5,FALSE),"")</f>
        <v/>
      </c>
      <c r="N5" s="4" t="str">
        <f>_xlfn.IFNA(VLOOKUP($J5,WH_Data[],7,FALSE),"")</f>
        <v/>
      </c>
      <c r="O5" s="4" t="str">
        <f>_xlfn.IFNA(VLOOKUP($J5,WH_Data[],8,FALSE),"")</f>
        <v/>
      </c>
      <c r="P5" s="8"/>
      <c r="Q5" s="300">
        <v>2</v>
      </c>
      <c r="R5" s="66" t="s">
        <v>905</v>
      </c>
      <c r="S5" s="66" t="s">
        <v>967</v>
      </c>
      <c r="T5" s="210">
        <v>6464</v>
      </c>
      <c r="U5" s="303">
        <v>398</v>
      </c>
      <c r="V5" s="210">
        <f>_xlfn.IFNA(VLOOKUP(Mon_ILR2[[#This Row],[New Model]],PhilipsLibary[],5,FALSE),"0")</f>
        <v>0</v>
      </c>
      <c r="W5" s="210">
        <f>Mon_ILR2[[#This Row],[Accessory Rate]]+Mon_ILR2[[#This Row],[Mounting Rate]]+Mon_ILR2[[#This Row],[Unit Rate]]*Mon_ILR2[[#This Row],[New Quantity Required ]]</f>
        <v>13326</v>
      </c>
      <c r="X5" s="8"/>
      <c r="Y5" s="269" t="s">
        <v>2181</v>
      </c>
      <c r="Z5" s="6" t="s">
        <v>643</v>
      </c>
      <c r="AA5" s="6" t="s">
        <v>50</v>
      </c>
      <c r="AB5" s="6" t="s">
        <v>50</v>
      </c>
      <c r="AC5" s="6" t="s">
        <v>50</v>
      </c>
      <c r="AD5" s="6" t="s">
        <v>50</v>
      </c>
      <c r="AE5" s="6" t="s">
        <v>50</v>
      </c>
      <c r="AF5" s="6" t="s">
        <v>50</v>
      </c>
      <c r="AG5" s="6" t="s">
        <v>50</v>
      </c>
      <c r="AH5" s="6" t="s">
        <v>50</v>
      </c>
      <c r="AI5" s="6" t="s">
        <v>50</v>
      </c>
      <c r="AJ5" s="6" t="s">
        <v>50</v>
      </c>
      <c r="AK5" s="6" t="s">
        <v>50</v>
      </c>
      <c r="AL5" s="6" t="s">
        <v>52</v>
      </c>
      <c r="AM5" s="6" t="s">
        <v>50</v>
      </c>
      <c r="AN5" s="6" t="s">
        <v>50</v>
      </c>
      <c r="AO5" s="6" t="s">
        <v>54</v>
      </c>
    </row>
    <row r="6" spans="2:41" ht="216.75" customHeight="1" x14ac:dyDescent="0.25">
      <c r="B6" s="207" t="s">
        <v>161</v>
      </c>
      <c r="C6" s="66" t="s">
        <v>640</v>
      </c>
      <c r="D6" s="4" t="s">
        <v>644</v>
      </c>
      <c r="E6" s="4" t="s">
        <v>1025</v>
      </c>
      <c r="F6" s="4" t="s">
        <v>1026</v>
      </c>
      <c r="G6" s="4" t="s">
        <v>39</v>
      </c>
      <c r="H6" s="208">
        <v>1</v>
      </c>
      <c r="I6" s="4"/>
      <c r="J6" s="15"/>
      <c r="K6" s="4" t="str">
        <f>_xlfn.IFNA(VLOOKUP($J6,WH_Data[],6,FALSE),"")</f>
        <v/>
      </c>
      <c r="L6" s="4" t="str">
        <f>_xlfn.IFNA(VLOOKUP($J6,WH_Data[],3,FALSE),"")</f>
        <v/>
      </c>
      <c r="M6" s="4" t="str">
        <f>_xlfn.IFNA(VLOOKUP($J6,WH_Data[],5,FALSE),"")</f>
        <v/>
      </c>
      <c r="N6" s="4" t="str">
        <f>_xlfn.IFNA(VLOOKUP($J6,WH_Data[],7,FALSE),"")</f>
        <v/>
      </c>
      <c r="O6" s="4" t="str">
        <f>_xlfn.IFNA(VLOOKUP($J6,WH_Data[],8,FALSE),"")</f>
        <v/>
      </c>
      <c r="P6" s="8"/>
      <c r="Q6" s="300">
        <v>2</v>
      </c>
      <c r="R6" s="66" t="s">
        <v>905</v>
      </c>
      <c r="S6" s="66" t="s">
        <v>967</v>
      </c>
      <c r="T6" s="210">
        <v>6464</v>
      </c>
      <c r="U6" s="303">
        <v>398</v>
      </c>
      <c r="V6" s="210">
        <f>_xlfn.IFNA(VLOOKUP(Mon_ILR2[[#This Row],[New Model]],PhilipsLibary[],5,FALSE),"0")</f>
        <v>0</v>
      </c>
      <c r="W6" s="210">
        <f>Mon_ILR2[[#This Row],[Accessory Rate]]+Mon_ILR2[[#This Row],[Mounting Rate]]+Mon_ILR2[[#This Row],[Unit Rate]]*Mon_ILR2[[#This Row],[New Quantity Required ]]</f>
        <v>13326</v>
      </c>
      <c r="X6" s="8"/>
      <c r="Y6" s="269" t="s">
        <v>2181</v>
      </c>
      <c r="Z6" s="6" t="s">
        <v>643</v>
      </c>
      <c r="AA6" s="6" t="s">
        <v>50</v>
      </c>
      <c r="AB6" s="6" t="s">
        <v>50</v>
      </c>
      <c r="AC6" s="6" t="s">
        <v>50</v>
      </c>
      <c r="AD6" s="6" t="s">
        <v>50</v>
      </c>
      <c r="AE6" s="6" t="s">
        <v>50</v>
      </c>
      <c r="AF6" s="6" t="s">
        <v>50</v>
      </c>
      <c r="AG6" s="6" t="s">
        <v>50</v>
      </c>
      <c r="AH6" s="6" t="s">
        <v>50</v>
      </c>
      <c r="AI6" s="6" t="s">
        <v>50</v>
      </c>
      <c r="AJ6" s="6" t="s">
        <v>50</v>
      </c>
      <c r="AK6" s="6" t="s">
        <v>50</v>
      </c>
      <c r="AL6" s="6" t="s">
        <v>52</v>
      </c>
      <c r="AM6" s="6" t="s">
        <v>50</v>
      </c>
      <c r="AN6" s="6" t="s">
        <v>50</v>
      </c>
      <c r="AO6" s="6" t="s">
        <v>54</v>
      </c>
    </row>
    <row r="7" spans="2:41" ht="60" customHeight="1" x14ac:dyDescent="0.25">
      <c r="B7" s="207" t="s">
        <v>161</v>
      </c>
      <c r="C7" s="66" t="s">
        <v>185</v>
      </c>
      <c r="D7" s="4" t="s">
        <v>186</v>
      </c>
      <c r="E7" s="4" t="s">
        <v>1027</v>
      </c>
      <c r="F7" s="4" t="s">
        <v>932</v>
      </c>
      <c r="G7" s="4" t="s">
        <v>39</v>
      </c>
      <c r="H7" s="208">
        <v>1</v>
      </c>
      <c r="I7" s="4"/>
      <c r="J7" s="46" t="s">
        <v>193</v>
      </c>
      <c r="K7" s="4" t="str">
        <f>_xlfn.IFNA(VLOOKUP($J7,WH_Data[],6,FALSE),"")</f>
        <v>MONITORING SYSTEMS, PHYSIOLOGIC</v>
      </c>
      <c r="L7" s="4" t="str">
        <f>_xlfn.IFNA(VLOOKUP($J7,WH_Data[],3,FALSE),"")</f>
        <v>PHILIPS MEDICAL SYSTEMS AUSTRA</v>
      </c>
      <c r="M7" s="4" t="str">
        <f>_xlfn.IFNA(VLOOKUP($J7,WH_Data[],5,FALSE),"")</f>
        <v>IntelliVue MX450</v>
      </c>
      <c r="N7" s="4" t="str">
        <f>_xlfn.IFNA(VLOOKUP($J7,WH_Data[],7,FALSE),"")</f>
        <v>DE671F0762</v>
      </c>
      <c r="O7" s="4" t="str">
        <f>_xlfn.IFNA(VLOOKUP($J7,WH_Data[],8,FALSE),"")</f>
        <v>CCU FH</v>
      </c>
      <c r="P7" s="8">
        <v>1</v>
      </c>
      <c r="Q7" s="209">
        <f>Mon_ILR2[[#This Row],[Qty Required]]-Mon_ILR2[[#This Row],[QTY Transfer]]</f>
        <v>0</v>
      </c>
      <c r="R7" s="66" t="s">
        <v>905</v>
      </c>
      <c r="S7" s="66" t="s">
        <v>931</v>
      </c>
      <c r="T7" s="210">
        <v>629</v>
      </c>
      <c r="U7" s="210">
        <f>_xlfn.IFNA(VLOOKUP(Mon_ILR2[[#This Row],[New Model]],PhilipsLibary[],5,FALSE),"0")</f>
        <v>1127</v>
      </c>
      <c r="V7" s="210">
        <v>1659</v>
      </c>
      <c r="W7" s="210">
        <v>3415</v>
      </c>
      <c r="X7" s="246" t="s">
        <v>1028</v>
      </c>
      <c r="Y7" s="246" t="s">
        <v>988</v>
      </c>
      <c r="Z7" s="6" t="s">
        <v>45</v>
      </c>
      <c r="AA7" s="6" t="s">
        <v>46</v>
      </c>
      <c r="AB7" s="6" t="s">
        <v>47</v>
      </c>
      <c r="AC7" s="6" t="s">
        <v>48</v>
      </c>
      <c r="AD7" s="6" t="s">
        <v>49</v>
      </c>
      <c r="AE7" s="6" t="s">
        <v>50</v>
      </c>
      <c r="AF7" s="6" t="s">
        <v>50</v>
      </c>
      <c r="AG7" s="6" t="s">
        <v>50</v>
      </c>
      <c r="AH7" s="6" t="s">
        <v>50</v>
      </c>
      <c r="AI7" s="6" t="s">
        <v>51</v>
      </c>
      <c r="AJ7" s="6" t="s">
        <v>50</v>
      </c>
      <c r="AK7" s="6" t="s">
        <v>50</v>
      </c>
      <c r="AL7" s="6" t="s">
        <v>52</v>
      </c>
      <c r="AM7" s="6" t="s">
        <v>53</v>
      </c>
      <c r="AN7" s="6" t="s">
        <v>50</v>
      </c>
      <c r="AO7" s="6" t="s">
        <v>54</v>
      </c>
    </row>
    <row r="8" spans="2:41" ht="60" customHeight="1" x14ac:dyDescent="0.25">
      <c r="B8" s="207" t="s">
        <v>161</v>
      </c>
      <c r="C8" s="66" t="s">
        <v>191</v>
      </c>
      <c r="D8" s="4" t="s">
        <v>192</v>
      </c>
      <c r="E8" s="4" t="s">
        <v>1027</v>
      </c>
      <c r="F8" s="4" t="s">
        <v>932</v>
      </c>
      <c r="G8" s="4" t="s">
        <v>39</v>
      </c>
      <c r="H8" s="208">
        <v>1</v>
      </c>
      <c r="I8" s="4"/>
      <c r="J8" s="46" t="s">
        <v>370</v>
      </c>
      <c r="K8" s="4" t="str">
        <f>_xlfn.IFNA(VLOOKUP($J8,WH_Data[],6,FALSE),"")</f>
        <v>MONITORING SYSTEMS, PHYSIOLOGIC</v>
      </c>
      <c r="L8" s="4" t="str">
        <f>_xlfn.IFNA(VLOOKUP($J8,WH_Data[],3,FALSE),"")</f>
        <v>PHILIPS MEDICAL SYSTEMS AUSTRA</v>
      </c>
      <c r="M8" s="4" t="str">
        <f>_xlfn.IFNA(VLOOKUP($J8,WH_Data[],5,FALSE),"")</f>
        <v>IntelliVue MX450</v>
      </c>
      <c r="N8" s="4" t="str">
        <f>_xlfn.IFNA(VLOOKUP($J8,WH_Data[],7,FALSE),"")</f>
        <v>DE671K6566</v>
      </c>
      <c r="O8" s="4" t="str">
        <f>_xlfn.IFNA(VLOOKUP($J8,WH_Data[],8,FALSE),"")</f>
        <v>CCU FH</v>
      </c>
      <c r="P8" s="8">
        <v>1</v>
      </c>
      <c r="Q8" s="209">
        <f>Mon_ILR2[[#This Row],[Qty Required]]-Mon_ILR2[[#This Row],[QTY Transfer]]</f>
        <v>0</v>
      </c>
      <c r="R8" s="66" t="s">
        <v>905</v>
      </c>
      <c r="S8" s="66" t="s">
        <v>931</v>
      </c>
      <c r="T8" s="210">
        <v>629</v>
      </c>
      <c r="U8" s="210">
        <f>_xlfn.IFNA(VLOOKUP(Mon_ILR2[[#This Row],[New Model]],PhilipsLibary[],5,FALSE),"0")</f>
        <v>1127</v>
      </c>
      <c r="V8" s="210">
        <v>1659</v>
      </c>
      <c r="W8" s="210">
        <v>3415</v>
      </c>
      <c r="X8" s="246" t="s">
        <v>1028</v>
      </c>
      <c r="Y8" s="246" t="s">
        <v>988</v>
      </c>
      <c r="Z8" s="6" t="s">
        <v>45</v>
      </c>
      <c r="AA8" s="6" t="s">
        <v>46</v>
      </c>
      <c r="AB8" s="6" t="s">
        <v>47</v>
      </c>
      <c r="AC8" s="6" t="s">
        <v>48</v>
      </c>
      <c r="AD8" s="6" t="s">
        <v>49</v>
      </c>
      <c r="AE8" s="6" t="s">
        <v>50</v>
      </c>
      <c r="AF8" s="6" t="s">
        <v>50</v>
      </c>
      <c r="AG8" s="6" t="s">
        <v>50</v>
      </c>
      <c r="AH8" s="6" t="s">
        <v>50</v>
      </c>
      <c r="AI8" s="6" t="s">
        <v>51</v>
      </c>
      <c r="AJ8" s="6" t="s">
        <v>50</v>
      </c>
      <c r="AK8" s="6" t="s">
        <v>50</v>
      </c>
      <c r="AL8" s="6" t="s">
        <v>52</v>
      </c>
      <c r="AM8" s="6" t="s">
        <v>53</v>
      </c>
      <c r="AN8" s="6" t="s">
        <v>50</v>
      </c>
      <c r="AO8" s="6" t="s">
        <v>54</v>
      </c>
    </row>
    <row r="9" spans="2:41" ht="60" customHeight="1" x14ac:dyDescent="0.25">
      <c r="B9" s="207" t="s">
        <v>161</v>
      </c>
      <c r="C9" s="66" t="s">
        <v>191</v>
      </c>
      <c r="D9" s="4" t="s">
        <v>192</v>
      </c>
      <c r="E9" s="4" t="s">
        <v>1027</v>
      </c>
      <c r="F9" s="4" t="s">
        <v>932</v>
      </c>
      <c r="G9" s="4" t="s">
        <v>39</v>
      </c>
      <c r="H9" s="208">
        <v>1</v>
      </c>
      <c r="I9" s="4"/>
      <c r="J9" s="46" t="s">
        <v>181</v>
      </c>
      <c r="K9" s="4" t="str">
        <f>_xlfn.IFNA(VLOOKUP($J9,WH_Data[],6,FALSE),"")</f>
        <v>MONITORING SYSTEMS, PHYSIOLOGIC</v>
      </c>
      <c r="L9" s="4" t="str">
        <f>_xlfn.IFNA(VLOOKUP($J9,WH_Data[],3,FALSE),"")</f>
        <v>PHILIPS MEDICAL SYSTEMS AUSTRA</v>
      </c>
      <c r="M9" s="4" t="str">
        <f>_xlfn.IFNA(VLOOKUP($J9,WH_Data[],5,FALSE),"")</f>
        <v>IntelliVue MX450</v>
      </c>
      <c r="N9" s="4" t="str">
        <f>_xlfn.IFNA(VLOOKUP($J9,WH_Data[],7,FALSE),"")</f>
        <v>DE671K6583</v>
      </c>
      <c r="O9" s="4" t="str">
        <f>_xlfn.IFNA(VLOOKUP($J9,WH_Data[],8,FALSE),"")</f>
        <v>CCU FH</v>
      </c>
      <c r="P9" s="8">
        <v>1</v>
      </c>
      <c r="Q9" s="209">
        <f>Mon_ILR2[[#This Row],[Qty Required]]-Mon_ILR2[[#This Row],[QTY Transfer]]</f>
        <v>0</v>
      </c>
      <c r="R9" s="66" t="s">
        <v>905</v>
      </c>
      <c r="S9" s="66" t="s">
        <v>931</v>
      </c>
      <c r="T9" s="210">
        <v>629</v>
      </c>
      <c r="U9" s="210">
        <f>_xlfn.IFNA(VLOOKUP(Mon_ILR2[[#This Row],[New Model]],PhilipsLibary[],5,FALSE),"0")</f>
        <v>1127</v>
      </c>
      <c r="V9" s="210">
        <v>1659</v>
      </c>
      <c r="W9" s="210">
        <v>3415</v>
      </c>
      <c r="X9" s="246" t="s">
        <v>1028</v>
      </c>
      <c r="Y9" s="246" t="s">
        <v>988</v>
      </c>
      <c r="Z9" s="6" t="s">
        <v>45</v>
      </c>
      <c r="AA9" s="6" t="s">
        <v>46</v>
      </c>
      <c r="AB9" s="6" t="s">
        <v>47</v>
      </c>
      <c r="AC9" s="6" t="s">
        <v>48</v>
      </c>
      <c r="AD9" s="6" t="s">
        <v>49</v>
      </c>
      <c r="AE9" s="6" t="s">
        <v>50</v>
      </c>
      <c r="AF9" s="6" t="s">
        <v>50</v>
      </c>
      <c r="AG9" s="6" t="s">
        <v>50</v>
      </c>
      <c r="AH9" s="6" t="s">
        <v>50</v>
      </c>
      <c r="AI9" s="6" t="s">
        <v>51</v>
      </c>
      <c r="AJ9" s="6" t="s">
        <v>50</v>
      </c>
      <c r="AK9" s="6" t="s">
        <v>50</v>
      </c>
      <c r="AL9" s="6" t="s">
        <v>52</v>
      </c>
      <c r="AM9" s="6" t="s">
        <v>53</v>
      </c>
      <c r="AN9" s="6" t="s">
        <v>50</v>
      </c>
      <c r="AO9" s="6" t="s">
        <v>54</v>
      </c>
    </row>
    <row r="10" spans="2:41" ht="60" customHeight="1" x14ac:dyDescent="0.25">
      <c r="B10" s="207" t="s">
        <v>161</v>
      </c>
      <c r="C10" s="66" t="s">
        <v>191</v>
      </c>
      <c r="D10" s="4" t="s">
        <v>201</v>
      </c>
      <c r="E10" s="4" t="s">
        <v>1027</v>
      </c>
      <c r="F10" s="4" t="s">
        <v>932</v>
      </c>
      <c r="G10" s="4" t="s">
        <v>39</v>
      </c>
      <c r="H10" s="208">
        <v>1</v>
      </c>
      <c r="I10" s="4"/>
      <c r="J10" s="46" t="s">
        <v>215</v>
      </c>
      <c r="K10" s="4" t="str">
        <f>_xlfn.IFNA(VLOOKUP($J10,WH_Data[],6,FALSE),"")</f>
        <v>MONITORING SYSTEMS, PHYSIOLOGIC</v>
      </c>
      <c r="L10" s="4" t="str">
        <f>_xlfn.IFNA(VLOOKUP($J10,WH_Data[],3,FALSE),"")</f>
        <v>PHILIPS MEDICAL SYSTEMS AUSTRA</v>
      </c>
      <c r="M10" s="4" t="str">
        <f>_xlfn.IFNA(VLOOKUP($J10,WH_Data[],5,FALSE),"")</f>
        <v>IntelliVue MX500</v>
      </c>
      <c r="N10" s="4" t="str">
        <f>_xlfn.IFNA(VLOOKUP($J10,WH_Data[],7,FALSE),"")</f>
        <v>DE671F0907</v>
      </c>
      <c r="O10" s="4" t="str">
        <f>_xlfn.IFNA(VLOOKUP($J10,WH_Data[],8,FALSE),"")</f>
        <v>CCU FH</v>
      </c>
      <c r="P10" s="8">
        <v>1</v>
      </c>
      <c r="Q10" s="209">
        <f>Mon_ILR2[[#This Row],[Qty Required]]-Mon_ILR2[[#This Row],[QTY Transfer]]</f>
        <v>0</v>
      </c>
      <c r="R10" s="66" t="s">
        <v>905</v>
      </c>
      <c r="S10" s="66" t="s">
        <v>931</v>
      </c>
      <c r="T10" s="210">
        <v>629</v>
      </c>
      <c r="U10" s="210">
        <f>_xlfn.IFNA(VLOOKUP(Mon_ILR2[[#This Row],[New Model]],PhilipsLibary[],5,FALSE),"0")</f>
        <v>1127</v>
      </c>
      <c r="V10" s="210">
        <v>1659</v>
      </c>
      <c r="W10" s="210">
        <v>3415</v>
      </c>
      <c r="X10" s="246" t="s">
        <v>1028</v>
      </c>
      <c r="Y10" s="246" t="s">
        <v>988</v>
      </c>
      <c r="Z10" s="6" t="s">
        <v>45</v>
      </c>
      <c r="AA10" s="6" t="s">
        <v>46</v>
      </c>
      <c r="AB10" s="6" t="s">
        <v>47</v>
      </c>
      <c r="AC10" s="6" t="s">
        <v>48</v>
      </c>
      <c r="AD10" s="6" t="s">
        <v>49</v>
      </c>
      <c r="AE10" s="6" t="s">
        <v>50</v>
      </c>
      <c r="AF10" s="6" t="s">
        <v>50</v>
      </c>
      <c r="AG10" s="6" t="s">
        <v>50</v>
      </c>
      <c r="AH10" s="6" t="s">
        <v>50</v>
      </c>
      <c r="AI10" s="6" t="s">
        <v>51</v>
      </c>
      <c r="AJ10" s="6" t="s">
        <v>50</v>
      </c>
      <c r="AK10" s="6" t="s">
        <v>50</v>
      </c>
      <c r="AL10" s="6" t="s">
        <v>52</v>
      </c>
      <c r="AM10" s="6" t="s">
        <v>53</v>
      </c>
      <c r="AN10" s="6" t="s">
        <v>50</v>
      </c>
      <c r="AO10" s="6" t="s">
        <v>54</v>
      </c>
    </row>
    <row r="11" spans="2:41" ht="60" customHeight="1" x14ac:dyDescent="0.25">
      <c r="B11" s="207" t="s">
        <v>161</v>
      </c>
      <c r="C11" s="66" t="s">
        <v>191</v>
      </c>
      <c r="D11" s="4" t="s">
        <v>201</v>
      </c>
      <c r="E11" s="4" t="s">
        <v>1027</v>
      </c>
      <c r="F11" s="4" t="s">
        <v>932</v>
      </c>
      <c r="G11" s="4" t="s">
        <v>39</v>
      </c>
      <c r="H11" s="208">
        <v>1</v>
      </c>
      <c r="I11" s="4"/>
      <c r="J11" s="46" t="s">
        <v>208</v>
      </c>
      <c r="K11" s="4" t="str">
        <f>_xlfn.IFNA(VLOOKUP($J11,WH_Data[],6,FALSE),"")</f>
        <v>MONITORING SYSTEMS, PHYSIOLOGIC</v>
      </c>
      <c r="L11" s="4" t="str">
        <f>_xlfn.IFNA(VLOOKUP($J11,WH_Data[],3,FALSE),"")</f>
        <v>PHILIPS MEDICAL SYSTEMS AUSTRA</v>
      </c>
      <c r="M11" s="4" t="str">
        <f>_xlfn.IFNA(VLOOKUP($J11,WH_Data[],5,FALSE),"")</f>
        <v>IntelliVue MX500</v>
      </c>
      <c r="N11" s="4" t="str">
        <f>_xlfn.IFNA(VLOOKUP($J11,WH_Data[],7,FALSE),"")</f>
        <v>DE671F0906</v>
      </c>
      <c r="O11" s="4" t="str">
        <f>_xlfn.IFNA(VLOOKUP($J11,WH_Data[],8,FALSE),"")</f>
        <v>CCU FH</v>
      </c>
      <c r="P11" s="8">
        <v>1</v>
      </c>
      <c r="Q11" s="209">
        <f>Mon_ILR2[[#This Row],[Qty Required]]-Mon_ILR2[[#This Row],[QTY Transfer]]</f>
        <v>0</v>
      </c>
      <c r="R11" s="66" t="s">
        <v>905</v>
      </c>
      <c r="S11" s="66" t="s">
        <v>931</v>
      </c>
      <c r="T11" s="210">
        <v>629</v>
      </c>
      <c r="U11" s="210">
        <f>_xlfn.IFNA(VLOOKUP(Mon_ILR2[[#This Row],[New Model]],PhilipsLibary[],5,FALSE),"0")</f>
        <v>1127</v>
      </c>
      <c r="V11" s="210">
        <v>1659</v>
      </c>
      <c r="W11" s="210">
        <v>3415</v>
      </c>
      <c r="X11" s="246" t="s">
        <v>1028</v>
      </c>
      <c r="Y11" s="246" t="s">
        <v>988</v>
      </c>
      <c r="Z11" s="6" t="s">
        <v>45</v>
      </c>
      <c r="AA11" s="6" t="s">
        <v>46</v>
      </c>
      <c r="AB11" s="6" t="s">
        <v>47</v>
      </c>
      <c r="AC11" s="6" t="s">
        <v>48</v>
      </c>
      <c r="AD11" s="6" t="s">
        <v>49</v>
      </c>
      <c r="AE11" s="6" t="s">
        <v>50</v>
      </c>
      <c r="AF11" s="6" t="s">
        <v>50</v>
      </c>
      <c r="AG11" s="6" t="s">
        <v>50</v>
      </c>
      <c r="AH11" s="6" t="s">
        <v>50</v>
      </c>
      <c r="AI11" s="6" t="s">
        <v>51</v>
      </c>
      <c r="AJ11" s="6" t="s">
        <v>50</v>
      </c>
      <c r="AK11" s="6" t="s">
        <v>50</v>
      </c>
      <c r="AL11" s="6" t="s">
        <v>52</v>
      </c>
      <c r="AM11" s="6" t="s">
        <v>53</v>
      </c>
      <c r="AN11" s="6" t="s">
        <v>50</v>
      </c>
      <c r="AO11" s="6" t="s">
        <v>54</v>
      </c>
    </row>
    <row r="12" spans="2:41" ht="60" customHeight="1" x14ac:dyDescent="0.25">
      <c r="B12" s="207" t="s">
        <v>161</v>
      </c>
      <c r="C12" s="66" t="s">
        <v>191</v>
      </c>
      <c r="D12" s="4" t="s">
        <v>207</v>
      </c>
      <c r="E12" s="4" t="s">
        <v>1027</v>
      </c>
      <c r="F12" s="4" t="s">
        <v>932</v>
      </c>
      <c r="G12" s="4" t="s">
        <v>39</v>
      </c>
      <c r="H12" s="208">
        <v>1</v>
      </c>
      <c r="I12" s="4"/>
      <c r="J12" s="46" t="s">
        <v>1029</v>
      </c>
      <c r="K12" s="4" t="str">
        <f>_xlfn.IFNA(VLOOKUP($J12,WH_Data[],6,FALSE),"")</f>
        <v>MONITORING SYSTEMS, PHYSIOLOGIC</v>
      </c>
      <c r="L12" s="4" t="str">
        <f>_xlfn.IFNA(VLOOKUP($J12,WH_Data[],3,FALSE),"")</f>
        <v>PHILIPS MEDICAL SYSTEMS AUSTRA</v>
      </c>
      <c r="M12" s="4" t="str">
        <f>_xlfn.IFNA(VLOOKUP($J12,WH_Data[],5,FALSE),"")</f>
        <v>IntelliVue MX500</v>
      </c>
      <c r="N12" s="4" t="str">
        <f>_xlfn.IFNA(VLOOKUP($J12,WH_Data[],7,FALSE),"")</f>
        <v>DE671F0905</v>
      </c>
      <c r="O12" s="4" t="str">
        <f>_xlfn.IFNA(VLOOKUP($J12,WH_Data[],8,FALSE),"")</f>
        <v>CCU FH</v>
      </c>
      <c r="P12" s="8">
        <v>1</v>
      </c>
      <c r="Q12" s="209">
        <f>Mon_ILR2[[#This Row],[Qty Required]]-Mon_ILR2[[#This Row],[QTY Transfer]]</f>
        <v>0</v>
      </c>
      <c r="R12" s="66" t="s">
        <v>905</v>
      </c>
      <c r="S12" s="66" t="s">
        <v>931</v>
      </c>
      <c r="T12" s="210">
        <v>629</v>
      </c>
      <c r="U12" s="210">
        <f>_xlfn.IFNA(VLOOKUP(Mon_ILR2[[#This Row],[New Model]],PhilipsLibary[],5,FALSE),"0")</f>
        <v>1127</v>
      </c>
      <c r="V12" s="210">
        <v>1659</v>
      </c>
      <c r="W12" s="210">
        <v>3415</v>
      </c>
      <c r="X12" s="246" t="s">
        <v>1028</v>
      </c>
      <c r="Y12" s="246" t="s">
        <v>988</v>
      </c>
      <c r="Z12" s="6" t="s">
        <v>45</v>
      </c>
      <c r="AA12" s="6" t="s">
        <v>46</v>
      </c>
      <c r="AB12" s="6" t="s">
        <v>47</v>
      </c>
      <c r="AC12" s="6" t="s">
        <v>48</v>
      </c>
      <c r="AD12" s="6" t="s">
        <v>49</v>
      </c>
      <c r="AE12" s="6" t="s">
        <v>50</v>
      </c>
      <c r="AF12" s="6" t="s">
        <v>50</v>
      </c>
      <c r="AG12" s="6" t="s">
        <v>50</v>
      </c>
      <c r="AH12" s="6" t="s">
        <v>50</v>
      </c>
      <c r="AI12" s="6" t="s">
        <v>51</v>
      </c>
      <c r="AJ12" s="6" t="s">
        <v>50</v>
      </c>
      <c r="AK12" s="6" t="s">
        <v>50</v>
      </c>
      <c r="AL12" s="6" t="s">
        <v>52</v>
      </c>
      <c r="AM12" s="6" t="s">
        <v>53</v>
      </c>
      <c r="AN12" s="6" t="s">
        <v>50</v>
      </c>
      <c r="AO12" s="6" t="s">
        <v>54</v>
      </c>
    </row>
    <row r="13" spans="2:41" ht="60" customHeight="1" x14ac:dyDescent="0.25">
      <c r="B13" s="207" t="s">
        <v>161</v>
      </c>
      <c r="C13" s="66" t="s">
        <v>191</v>
      </c>
      <c r="D13" s="4" t="s">
        <v>207</v>
      </c>
      <c r="E13" s="4" t="s">
        <v>1027</v>
      </c>
      <c r="F13" s="4" t="s">
        <v>932</v>
      </c>
      <c r="G13" s="4" t="s">
        <v>39</v>
      </c>
      <c r="H13" s="208">
        <v>1</v>
      </c>
      <c r="I13" s="4"/>
      <c r="J13" s="15"/>
      <c r="K13" s="4" t="str">
        <f>_xlfn.IFNA(VLOOKUP($J13,WH_Data[],6,FALSE),"")</f>
        <v/>
      </c>
      <c r="L13" s="4" t="str">
        <f>_xlfn.IFNA(VLOOKUP($J13,WH_Data[],3,FALSE),"")</f>
        <v/>
      </c>
      <c r="M13" s="4" t="str">
        <f>_xlfn.IFNA(VLOOKUP($J13,WH_Data[],5,FALSE),"")</f>
        <v/>
      </c>
      <c r="N13" s="4" t="str">
        <f>_xlfn.IFNA(VLOOKUP($J13,WH_Data[],7,FALSE),"")</f>
        <v/>
      </c>
      <c r="O13" s="4" t="str">
        <f>_xlfn.IFNA(VLOOKUP($J13,WH_Data[],8,FALSE),"")</f>
        <v/>
      </c>
      <c r="P13" s="8"/>
      <c r="Q13" s="209">
        <f>Mon_ILR2[[#This Row],[Qty Required]]-Mon_ILR2[[#This Row],[QTY Transfer]]</f>
        <v>1</v>
      </c>
      <c r="R13" s="66" t="s">
        <v>905</v>
      </c>
      <c r="S13" s="66" t="s">
        <v>931</v>
      </c>
      <c r="T13" s="210">
        <f>_xlfn.IFNA(VLOOKUP(Mon_ILR2[[#This Row],[New Model]],PhilipsLibary[],4,FALSE),"0")</f>
        <v>6460</v>
      </c>
      <c r="U13" s="210">
        <f>_xlfn.IFNA(VLOOKUP(Mon_ILR2[[#This Row],[New Model]],PhilipsLibary[],5,FALSE),"0")</f>
        <v>1127</v>
      </c>
      <c r="V13" s="210">
        <v>1879</v>
      </c>
      <c r="W13" s="210">
        <f>Mon_ILR2[[#This Row],[Accessory Rate]]+Mon_ILR2[[#This Row],[Mounting Rate]]+Mon_ILR2[[#This Row],[Unit Rate]]*Mon_ILR2[[#This Row],[New Quantity Required ]]</f>
        <v>9466</v>
      </c>
      <c r="X13" s="8"/>
      <c r="Y13" s="246" t="s">
        <v>988</v>
      </c>
      <c r="Z13" s="6" t="s">
        <v>45</v>
      </c>
      <c r="AA13" s="6" t="s">
        <v>46</v>
      </c>
      <c r="AB13" s="6" t="s">
        <v>47</v>
      </c>
      <c r="AC13" s="6" t="s">
        <v>48</v>
      </c>
      <c r="AD13" s="6" t="s">
        <v>49</v>
      </c>
      <c r="AE13" s="6" t="s">
        <v>50</v>
      </c>
      <c r="AF13" s="6" t="s">
        <v>50</v>
      </c>
      <c r="AG13" s="6" t="s">
        <v>50</v>
      </c>
      <c r="AH13" s="6" t="s">
        <v>50</v>
      </c>
      <c r="AI13" s="6" t="s">
        <v>51</v>
      </c>
      <c r="AJ13" s="6" t="s">
        <v>50</v>
      </c>
      <c r="AK13" s="6" t="s">
        <v>50</v>
      </c>
      <c r="AL13" s="6" t="s">
        <v>52</v>
      </c>
      <c r="AM13" s="6" t="s">
        <v>53</v>
      </c>
      <c r="AN13" s="6" t="s">
        <v>50</v>
      </c>
      <c r="AO13" s="6" t="s">
        <v>54</v>
      </c>
    </row>
    <row r="14" spans="2:41" ht="60" customHeight="1" x14ac:dyDescent="0.25">
      <c r="B14" s="207" t="s">
        <v>161</v>
      </c>
      <c r="C14" s="66" t="s">
        <v>191</v>
      </c>
      <c r="D14" s="4" t="s">
        <v>214</v>
      </c>
      <c r="E14" s="4" t="s">
        <v>1027</v>
      </c>
      <c r="F14" s="4" t="s">
        <v>932</v>
      </c>
      <c r="G14" s="4" t="s">
        <v>39</v>
      </c>
      <c r="H14" s="208">
        <v>1</v>
      </c>
      <c r="I14" s="4"/>
      <c r="J14" s="15"/>
      <c r="K14" s="4" t="str">
        <f>_xlfn.IFNA(VLOOKUP($J14,WH_Data[],6,FALSE),"")</f>
        <v/>
      </c>
      <c r="L14" s="4" t="str">
        <f>_xlfn.IFNA(VLOOKUP($J14,WH_Data[],3,FALSE),"")</f>
        <v/>
      </c>
      <c r="M14" s="4" t="str">
        <f>_xlfn.IFNA(VLOOKUP($J14,WH_Data[],5,FALSE),"")</f>
        <v/>
      </c>
      <c r="N14" s="4" t="str">
        <f>_xlfn.IFNA(VLOOKUP($J14,WH_Data[],7,FALSE),"")</f>
        <v/>
      </c>
      <c r="O14" s="4" t="str">
        <f>_xlfn.IFNA(VLOOKUP($J14,WH_Data[],8,FALSE),"")</f>
        <v/>
      </c>
      <c r="P14" s="8"/>
      <c r="Q14" s="209">
        <f>Mon_ILR2[[#This Row],[Qty Required]]-Mon_ILR2[[#This Row],[QTY Transfer]]</f>
        <v>1</v>
      </c>
      <c r="R14" s="66" t="s">
        <v>905</v>
      </c>
      <c r="S14" s="66" t="s">
        <v>931</v>
      </c>
      <c r="T14" s="210">
        <f>_xlfn.IFNA(VLOOKUP(Mon_ILR2[[#This Row],[New Model]],PhilipsLibary[],4,FALSE),"0")</f>
        <v>6460</v>
      </c>
      <c r="U14" s="210">
        <f>_xlfn.IFNA(VLOOKUP(Mon_ILR2[[#This Row],[New Model]],PhilipsLibary[],5,FALSE),"0")</f>
        <v>1127</v>
      </c>
      <c r="V14" s="210">
        <v>1879</v>
      </c>
      <c r="W14" s="210">
        <f>Mon_ILR2[[#This Row],[Accessory Rate]]+Mon_ILR2[[#This Row],[Mounting Rate]]+Mon_ILR2[[#This Row],[Unit Rate]]*Mon_ILR2[[#This Row],[New Quantity Required ]]</f>
        <v>9466</v>
      </c>
      <c r="X14" s="8"/>
      <c r="Y14" s="246" t="s">
        <v>988</v>
      </c>
      <c r="Z14" s="6" t="s">
        <v>45</v>
      </c>
      <c r="AA14" s="6" t="s">
        <v>46</v>
      </c>
      <c r="AB14" s="6" t="s">
        <v>47</v>
      </c>
      <c r="AC14" s="6" t="s">
        <v>48</v>
      </c>
      <c r="AD14" s="6" t="s">
        <v>49</v>
      </c>
      <c r="AE14" s="6" t="s">
        <v>50</v>
      </c>
      <c r="AF14" s="6" t="s">
        <v>50</v>
      </c>
      <c r="AG14" s="6" t="s">
        <v>50</v>
      </c>
      <c r="AH14" s="6" t="s">
        <v>50</v>
      </c>
      <c r="AI14" s="6" t="s">
        <v>51</v>
      </c>
      <c r="AJ14" s="6" t="s">
        <v>50</v>
      </c>
      <c r="AK14" s="6" t="s">
        <v>50</v>
      </c>
      <c r="AL14" s="6" t="s">
        <v>52</v>
      </c>
      <c r="AM14" s="6" t="s">
        <v>53</v>
      </c>
      <c r="AN14" s="6" t="s">
        <v>50</v>
      </c>
      <c r="AO14" s="6" t="s">
        <v>54</v>
      </c>
    </row>
    <row r="15" spans="2:41" ht="60" customHeight="1" x14ac:dyDescent="0.25">
      <c r="B15" s="207" t="s">
        <v>161</v>
      </c>
      <c r="C15" s="66" t="s">
        <v>191</v>
      </c>
      <c r="D15" s="4" t="s">
        <v>214</v>
      </c>
      <c r="E15" s="4" t="s">
        <v>1027</v>
      </c>
      <c r="F15" s="4" t="s">
        <v>932</v>
      </c>
      <c r="G15" s="4" t="s">
        <v>39</v>
      </c>
      <c r="H15" s="208">
        <v>1</v>
      </c>
      <c r="I15" s="4"/>
      <c r="J15" s="15"/>
      <c r="K15" s="4" t="str">
        <f>_xlfn.IFNA(VLOOKUP($J15,WH_Data[],6,FALSE),"")</f>
        <v/>
      </c>
      <c r="L15" s="4" t="str">
        <f>_xlfn.IFNA(VLOOKUP($J15,WH_Data[],3,FALSE),"")</f>
        <v/>
      </c>
      <c r="M15" s="4" t="str">
        <f>_xlfn.IFNA(VLOOKUP($J15,WH_Data[],5,FALSE),"")</f>
        <v/>
      </c>
      <c r="N15" s="4" t="str">
        <f>_xlfn.IFNA(VLOOKUP($J15,WH_Data[],7,FALSE),"")</f>
        <v/>
      </c>
      <c r="O15" s="4" t="str">
        <f>_xlfn.IFNA(VLOOKUP($J15,WH_Data[],8,FALSE),"")</f>
        <v/>
      </c>
      <c r="P15" s="8"/>
      <c r="Q15" s="209">
        <f>Mon_ILR2[[#This Row],[Qty Required]]-Mon_ILR2[[#This Row],[QTY Transfer]]</f>
        <v>1</v>
      </c>
      <c r="R15" s="66" t="s">
        <v>905</v>
      </c>
      <c r="S15" s="66" t="s">
        <v>931</v>
      </c>
      <c r="T15" s="210">
        <f>_xlfn.IFNA(VLOOKUP(Mon_ILR2[[#This Row],[New Model]],PhilipsLibary[],4,FALSE),"0")</f>
        <v>6460</v>
      </c>
      <c r="U15" s="210">
        <f>_xlfn.IFNA(VLOOKUP(Mon_ILR2[[#This Row],[New Model]],PhilipsLibary[],5,FALSE),"0")</f>
        <v>1127</v>
      </c>
      <c r="V15" s="210">
        <v>1879</v>
      </c>
      <c r="W15" s="210">
        <f>Mon_ILR2[[#This Row],[Accessory Rate]]+Mon_ILR2[[#This Row],[Mounting Rate]]+Mon_ILR2[[#This Row],[Unit Rate]]*Mon_ILR2[[#This Row],[New Quantity Required ]]</f>
        <v>9466</v>
      </c>
      <c r="X15" s="8"/>
      <c r="Y15" s="246" t="s">
        <v>988</v>
      </c>
      <c r="Z15" s="6" t="s">
        <v>45</v>
      </c>
      <c r="AA15" s="6" t="s">
        <v>46</v>
      </c>
      <c r="AB15" s="6" t="s">
        <v>47</v>
      </c>
      <c r="AC15" s="6" t="s">
        <v>48</v>
      </c>
      <c r="AD15" s="6" t="s">
        <v>49</v>
      </c>
      <c r="AE15" s="6" t="s">
        <v>50</v>
      </c>
      <c r="AF15" s="6" t="s">
        <v>50</v>
      </c>
      <c r="AG15" s="6" t="s">
        <v>50</v>
      </c>
      <c r="AH15" s="6" t="s">
        <v>50</v>
      </c>
      <c r="AI15" s="6" t="s">
        <v>51</v>
      </c>
      <c r="AJ15" s="6" t="s">
        <v>50</v>
      </c>
      <c r="AK15" s="6" t="s">
        <v>50</v>
      </c>
      <c r="AL15" s="6" t="s">
        <v>52</v>
      </c>
      <c r="AM15" s="6" t="s">
        <v>53</v>
      </c>
      <c r="AN15" s="6" t="s">
        <v>50</v>
      </c>
      <c r="AO15" s="6" t="s">
        <v>54</v>
      </c>
    </row>
    <row r="16" spans="2:41" ht="60" customHeight="1" x14ac:dyDescent="0.25">
      <c r="B16" s="207" t="s">
        <v>161</v>
      </c>
      <c r="C16" s="66" t="s">
        <v>225</v>
      </c>
      <c r="D16" s="4" t="s">
        <v>226</v>
      </c>
      <c r="E16" s="4" t="s">
        <v>1027</v>
      </c>
      <c r="F16" s="4" t="s">
        <v>932</v>
      </c>
      <c r="G16" s="4" t="s">
        <v>39</v>
      </c>
      <c r="H16" s="208">
        <v>1</v>
      </c>
      <c r="I16" s="4"/>
      <c r="J16" s="15"/>
      <c r="K16" s="4" t="str">
        <f>_xlfn.IFNA(VLOOKUP($J16,WH_Data[],6,FALSE),"")</f>
        <v/>
      </c>
      <c r="L16" s="4" t="str">
        <f>_xlfn.IFNA(VLOOKUP($J16,WH_Data[],3,FALSE),"")</f>
        <v/>
      </c>
      <c r="M16" s="4" t="str">
        <f>_xlfn.IFNA(VLOOKUP($J16,WH_Data[],5,FALSE),"")</f>
        <v/>
      </c>
      <c r="N16" s="4" t="str">
        <f>_xlfn.IFNA(VLOOKUP($J16,WH_Data[],7,FALSE),"")</f>
        <v/>
      </c>
      <c r="O16" s="4" t="str">
        <f>_xlfn.IFNA(VLOOKUP($J16,WH_Data[],8,FALSE),"")</f>
        <v/>
      </c>
      <c r="P16" s="8"/>
      <c r="Q16" s="209">
        <f>Mon_ILR2[[#This Row],[Qty Required]]-Mon_ILR2[[#This Row],[QTY Transfer]]</f>
        <v>1</v>
      </c>
      <c r="R16" s="66" t="s">
        <v>905</v>
      </c>
      <c r="S16" s="66" t="s">
        <v>931</v>
      </c>
      <c r="T16" s="210">
        <f>_xlfn.IFNA(VLOOKUP(Mon_ILR2[[#This Row],[New Model]],PhilipsLibary[],4,FALSE),"0")</f>
        <v>6460</v>
      </c>
      <c r="U16" s="210">
        <f>_xlfn.IFNA(VLOOKUP(Mon_ILR2[[#This Row],[New Model]],PhilipsLibary[],5,FALSE),"0")</f>
        <v>1127</v>
      </c>
      <c r="V16" s="210">
        <v>1879</v>
      </c>
      <c r="W16" s="210">
        <f>Mon_ILR2[[#This Row],[Accessory Rate]]+Mon_ILR2[[#This Row],[Mounting Rate]]+Mon_ILR2[[#This Row],[Unit Rate]]*Mon_ILR2[[#This Row],[New Quantity Required ]]</f>
        <v>9466</v>
      </c>
      <c r="X16" s="8"/>
      <c r="Y16" s="246" t="s">
        <v>988</v>
      </c>
      <c r="Z16" s="6" t="s">
        <v>45</v>
      </c>
      <c r="AA16" s="6" t="s">
        <v>46</v>
      </c>
      <c r="AB16" s="6" t="s">
        <v>47</v>
      </c>
      <c r="AC16" s="6" t="s">
        <v>48</v>
      </c>
      <c r="AD16" s="6" t="s">
        <v>49</v>
      </c>
      <c r="AE16" s="6" t="s">
        <v>50</v>
      </c>
      <c r="AF16" s="6" t="s">
        <v>50</v>
      </c>
      <c r="AG16" s="6" t="s">
        <v>50</v>
      </c>
      <c r="AH16" s="6" t="s">
        <v>50</v>
      </c>
      <c r="AI16" s="6" t="s">
        <v>51</v>
      </c>
      <c r="AJ16" s="6" t="s">
        <v>50</v>
      </c>
      <c r="AK16" s="6" t="s">
        <v>50</v>
      </c>
      <c r="AL16" s="6" t="s">
        <v>52</v>
      </c>
      <c r="AM16" s="6" t="s">
        <v>53</v>
      </c>
      <c r="AN16" s="6" t="s">
        <v>50</v>
      </c>
      <c r="AO16" s="6" t="s">
        <v>54</v>
      </c>
    </row>
    <row r="17" spans="2:41" ht="75" x14ac:dyDescent="0.25">
      <c r="B17" s="207" t="s">
        <v>161</v>
      </c>
      <c r="C17" s="66" t="s">
        <v>191</v>
      </c>
      <c r="D17" s="4" t="s">
        <v>229</v>
      </c>
      <c r="E17" s="4" t="s">
        <v>1027</v>
      </c>
      <c r="F17" s="4" t="s">
        <v>932</v>
      </c>
      <c r="G17" s="4" t="s">
        <v>39</v>
      </c>
      <c r="H17" s="208">
        <v>1</v>
      </c>
      <c r="I17" s="4"/>
      <c r="J17" s="15"/>
      <c r="K17" s="4" t="str">
        <f>_xlfn.IFNA(VLOOKUP($J17,WH_Data[],6,FALSE),"")</f>
        <v/>
      </c>
      <c r="L17" s="4" t="str">
        <f>_xlfn.IFNA(VLOOKUP($J17,WH_Data[],3,FALSE),"")</f>
        <v/>
      </c>
      <c r="M17" s="4" t="str">
        <f>_xlfn.IFNA(VLOOKUP($J17,WH_Data[],5,FALSE),"")</f>
        <v/>
      </c>
      <c r="N17" s="4" t="str">
        <f>_xlfn.IFNA(VLOOKUP($J17,WH_Data[],7,FALSE),"")</f>
        <v/>
      </c>
      <c r="O17" s="4" t="str">
        <f>_xlfn.IFNA(VLOOKUP($J17,WH_Data[],8,FALSE),"")</f>
        <v/>
      </c>
      <c r="P17" s="8"/>
      <c r="Q17" s="209">
        <f>Mon_ILR2[[#This Row],[Qty Required]]-Mon_ILR2[[#This Row],[QTY Transfer]]</f>
        <v>1</v>
      </c>
      <c r="R17" s="66" t="s">
        <v>905</v>
      </c>
      <c r="S17" s="66" t="s">
        <v>931</v>
      </c>
      <c r="T17" s="210">
        <f>_xlfn.IFNA(VLOOKUP(Mon_ILR2[[#This Row],[New Model]],PhilipsLibary[],4,FALSE),"0")</f>
        <v>6460</v>
      </c>
      <c r="U17" s="210">
        <f>_xlfn.IFNA(VLOOKUP(Mon_ILR2[[#This Row],[New Model]],PhilipsLibary[],5,FALSE),"0")</f>
        <v>1127</v>
      </c>
      <c r="V17" s="210">
        <v>1879</v>
      </c>
      <c r="W17" s="210">
        <f>Mon_ILR2[[#This Row],[Accessory Rate]]+Mon_ILR2[[#This Row],[Mounting Rate]]+Mon_ILR2[[#This Row],[Unit Rate]]*Mon_ILR2[[#This Row],[New Quantity Required ]]</f>
        <v>9466</v>
      </c>
      <c r="X17" s="8"/>
      <c r="Y17" s="246" t="s">
        <v>988</v>
      </c>
      <c r="Z17" s="6" t="s">
        <v>45</v>
      </c>
      <c r="AA17" s="6" t="s">
        <v>46</v>
      </c>
      <c r="AB17" s="6" t="s">
        <v>47</v>
      </c>
      <c r="AC17" s="6" t="s">
        <v>48</v>
      </c>
      <c r="AD17" s="6" t="s">
        <v>49</v>
      </c>
      <c r="AE17" s="6" t="s">
        <v>50</v>
      </c>
      <c r="AF17" s="6" t="s">
        <v>50</v>
      </c>
      <c r="AG17" s="6" t="s">
        <v>50</v>
      </c>
      <c r="AH17" s="6" t="s">
        <v>50</v>
      </c>
      <c r="AI17" s="6" t="s">
        <v>51</v>
      </c>
      <c r="AJ17" s="6" t="s">
        <v>50</v>
      </c>
      <c r="AK17" s="6" t="s">
        <v>50</v>
      </c>
      <c r="AL17" s="6" t="s">
        <v>52</v>
      </c>
      <c r="AM17" s="6" t="s">
        <v>53</v>
      </c>
      <c r="AN17" s="6" t="s">
        <v>50</v>
      </c>
      <c r="AO17" s="6" t="s">
        <v>54</v>
      </c>
    </row>
    <row r="18" spans="2:41" ht="75" x14ac:dyDescent="0.25">
      <c r="B18" s="207" t="s">
        <v>161</v>
      </c>
      <c r="C18" s="66" t="s">
        <v>191</v>
      </c>
      <c r="D18" s="4" t="s">
        <v>229</v>
      </c>
      <c r="E18" s="4" t="s">
        <v>1027</v>
      </c>
      <c r="F18" s="4" t="s">
        <v>932</v>
      </c>
      <c r="G18" s="4" t="s">
        <v>39</v>
      </c>
      <c r="H18" s="208">
        <v>1</v>
      </c>
      <c r="I18" s="4"/>
      <c r="J18" s="15"/>
      <c r="K18" s="4" t="str">
        <f>_xlfn.IFNA(VLOOKUP($J18,WH_Data[],6,FALSE),"")</f>
        <v/>
      </c>
      <c r="L18" s="4" t="str">
        <f>_xlfn.IFNA(VLOOKUP($J18,WH_Data[],3,FALSE),"")</f>
        <v/>
      </c>
      <c r="M18" s="4" t="str">
        <f>_xlfn.IFNA(VLOOKUP($J18,WH_Data[],5,FALSE),"")</f>
        <v/>
      </c>
      <c r="N18" s="4" t="str">
        <f>_xlfn.IFNA(VLOOKUP($J18,WH_Data[],7,FALSE),"")</f>
        <v/>
      </c>
      <c r="O18" s="4" t="str">
        <f>_xlfn.IFNA(VLOOKUP($J18,WH_Data[],8,FALSE),"")</f>
        <v/>
      </c>
      <c r="P18" s="8"/>
      <c r="Q18" s="209">
        <f>Mon_ILR2[[#This Row],[Qty Required]]-Mon_ILR2[[#This Row],[QTY Transfer]]</f>
        <v>1</v>
      </c>
      <c r="R18" s="66" t="s">
        <v>905</v>
      </c>
      <c r="S18" s="66" t="s">
        <v>931</v>
      </c>
      <c r="T18" s="210">
        <f>_xlfn.IFNA(VLOOKUP(Mon_ILR2[[#This Row],[New Model]],PhilipsLibary[],4,FALSE),"0")</f>
        <v>6460</v>
      </c>
      <c r="U18" s="210">
        <f>_xlfn.IFNA(VLOOKUP(Mon_ILR2[[#This Row],[New Model]],PhilipsLibary[],5,FALSE),"0")</f>
        <v>1127</v>
      </c>
      <c r="V18" s="210">
        <v>1879</v>
      </c>
      <c r="W18" s="210">
        <f>Mon_ILR2[[#This Row],[Accessory Rate]]+Mon_ILR2[[#This Row],[Mounting Rate]]+Mon_ILR2[[#This Row],[Unit Rate]]*Mon_ILR2[[#This Row],[New Quantity Required ]]</f>
        <v>9466</v>
      </c>
      <c r="X18" s="8"/>
      <c r="Y18" s="246" t="s">
        <v>988</v>
      </c>
      <c r="Z18" s="6" t="s">
        <v>45</v>
      </c>
      <c r="AA18" s="6" t="s">
        <v>46</v>
      </c>
      <c r="AB18" s="6" t="s">
        <v>47</v>
      </c>
      <c r="AC18" s="6" t="s">
        <v>48</v>
      </c>
      <c r="AD18" s="6" t="s">
        <v>49</v>
      </c>
      <c r="AE18" s="6" t="s">
        <v>50</v>
      </c>
      <c r="AF18" s="6" t="s">
        <v>50</v>
      </c>
      <c r="AG18" s="6" t="s">
        <v>50</v>
      </c>
      <c r="AH18" s="6" t="s">
        <v>50</v>
      </c>
      <c r="AI18" s="6" t="s">
        <v>51</v>
      </c>
      <c r="AJ18" s="6" t="s">
        <v>50</v>
      </c>
      <c r="AK18" s="6" t="s">
        <v>50</v>
      </c>
      <c r="AL18" s="6" t="s">
        <v>52</v>
      </c>
      <c r="AM18" s="6" t="s">
        <v>53</v>
      </c>
      <c r="AN18" s="6" t="s">
        <v>50</v>
      </c>
      <c r="AO18" s="6" t="s">
        <v>54</v>
      </c>
    </row>
    <row r="19" spans="2:41" ht="60" customHeight="1" x14ac:dyDescent="0.25">
      <c r="B19" s="207" t="s">
        <v>161</v>
      </c>
      <c r="C19" s="66" t="s">
        <v>191</v>
      </c>
      <c r="D19" s="4" t="s">
        <v>233</v>
      </c>
      <c r="E19" s="4" t="s">
        <v>1027</v>
      </c>
      <c r="F19" s="4" t="s">
        <v>932</v>
      </c>
      <c r="G19" s="4" t="s">
        <v>39</v>
      </c>
      <c r="H19" s="208">
        <v>1</v>
      </c>
      <c r="I19" s="4"/>
      <c r="J19" s="15"/>
      <c r="K19" s="4" t="str">
        <f>_xlfn.IFNA(VLOOKUP($J19,WH_Data[],6,FALSE),"")</f>
        <v/>
      </c>
      <c r="L19" s="4" t="str">
        <f>_xlfn.IFNA(VLOOKUP($J19,WH_Data[],3,FALSE),"")</f>
        <v/>
      </c>
      <c r="M19" s="4" t="str">
        <f>_xlfn.IFNA(VLOOKUP($J19,WH_Data[],5,FALSE),"")</f>
        <v/>
      </c>
      <c r="N19" s="4" t="str">
        <f>_xlfn.IFNA(VLOOKUP($J19,WH_Data[],7,FALSE),"")</f>
        <v/>
      </c>
      <c r="O19" s="4" t="str">
        <f>_xlfn.IFNA(VLOOKUP($J19,WH_Data[],8,FALSE),"")</f>
        <v/>
      </c>
      <c r="P19" s="8"/>
      <c r="Q19" s="209">
        <f>Mon_ILR2[[#This Row],[Qty Required]]-Mon_ILR2[[#This Row],[QTY Transfer]]</f>
        <v>1</v>
      </c>
      <c r="R19" s="66" t="s">
        <v>905</v>
      </c>
      <c r="S19" s="66" t="s">
        <v>931</v>
      </c>
      <c r="T19" s="210">
        <f>_xlfn.IFNA(VLOOKUP(Mon_ILR2[[#This Row],[New Model]],PhilipsLibary[],4,FALSE),"0")</f>
        <v>6460</v>
      </c>
      <c r="U19" s="210">
        <f>_xlfn.IFNA(VLOOKUP(Mon_ILR2[[#This Row],[New Model]],PhilipsLibary[],5,FALSE),"0")</f>
        <v>1127</v>
      </c>
      <c r="V19" s="210">
        <v>1879</v>
      </c>
      <c r="W19" s="210">
        <f>Mon_ILR2[[#This Row],[Accessory Rate]]+Mon_ILR2[[#This Row],[Mounting Rate]]+Mon_ILR2[[#This Row],[Unit Rate]]*Mon_ILR2[[#This Row],[New Quantity Required ]]</f>
        <v>9466</v>
      </c>
      <c r="X19" s="8"/>
      <c r="Y19" s="246" t="s">
        <v>988</v>
      </c>
      <c r="Z19" s="6" t="s">
        <v>45</v>
      </c>
      <c r="AA19" s="6" t="s">
        <v>46</v>
      </c>
      <c r="AB19" s="6" t="s">
        <v>47</v>
      </c>
      <c r="AC19" s="6" t="s">
        <v>48</v>
      </c>
      <c r="AD19" s="6" t="s">
        <v>49</v>
      </c>
      <c r="AE19" s="6" t="s">
        <v>50</v>
      </c>
      <c r="AF19" s="6" t="s">
        <v>50</v>
      </c>
      <c r="AG19" s="6" t="s">
        <v>50</v>
      </c>
      <c r="AH19" s="6" t="s">
        <v>50</v>
      </c>
      <c r="AI19" s="6" t="s">
        <v>51</v>
      </c>
      <c r="AJ19" s="6" t="s">
        <v>50</v>
      </c>
      <c r="AK19" s="6" t="s">
        <v>50</v>
      </c>
      <c r="AL19" s="6" t="s">
        <v>52</v>
      </c>
      <c r="AM19" s="6" t="s">
        <v>53</v>
      </c>
      <c r="AN19" s="6" t="s">
        <v>50</v>
      </c>
      <c r="AO19" s="6" t="s">
        <v>54</v>
      </c>
    </row>
    <row r="20" spans="2:41" ht="60" customHeight="1" x14ac:dyDescent="0.25">
      <c r="B20" s="207" t="s">
        <v>161</v>
      </c>
      <c r="C20" s="66" t="s">
        <v>191</v>
      </c>
      <c r="D20" s="4" t="s">
        <v>233</v>
      </c>
      <c r="E20" s="4" t="s">
        <v>1027</v>
      </c>
      <c r="F20" s="4" t="s">
        <v>932</v>
      </c>
      <c r="G20" s="4" t="s">
        <v>39</v>
      </c>
      <c r="H20" s="208">
        <v>1</v>
      </c>
      <c r="I20" s="4"/>
      <c r="J20" s="15"/>
      <c r="K20" s="4" t="str">
        <f>_xlfn.IFNA(VLOOKUP($J20,WH_Data[],6,FALSE),"")</f>
        <v/>
      </c>
      <c r="L20" s="4" t="str">
        <f>_xlfn.IFNA(VLOOKUP($J20,WH_Data[],3,FALSE),"")</f>
        <v/>
      </c>
      <c r="M20" s="4" t="str">
        <f>_xlfn.IFNA(VLOOKUP($J20,WH_Data[],5,FALSE),"")</f>
        <v/>
      </c>
      <c r="N20" s="4" t="str">
        <f>_xlfn.IFNA(VLOOKUP($J20,WH_Data[],7,FALSE),"")</f>
        <v/>
      </c>
      <c r="O20" s="4" t="str">
        <f>_xlfn.IFNA(VLOOKUP($J20,WH_Data[],8,FALSE),"")</f>
        <v/>
      </c>
      <c r="P20" s="8"/>
      <c r="Q20" s="209">
        <f>Mon_ILR2[[#This Row],[Qty Required]]-Mon_ILR2[[#This Row],[QTY Transfer]]</f>
        <v>1</v>
      </c>
      <c r="R20" s="66" t="s">
        <v>905</v>
      </c>
      <c r="S20" s="66" t="s">
        <v>931</v>
      </c>
      <c r="T20" s="210">
        <f>_xlfn.IFNA(VLOOKUP(Mon_ILR2[[#This Row],[New Model]],PhilipsLibary[],4,FALSE),"0")</f>
        <v>6460</v>
      </c>
      <c r="U20" s="210">
        <f>_xlfn.IFNA(VLOOKUP(Mon_ILR2[[#This Row],[New Model]],PhilipsLibary[],5,FALSE),"0")</f>
        <v>1127</v>
      </c>
      <c r="V20" s="210">
        <v>1879</v>
      </c>
      <c r="W20" s="210">
        <f>Mon_ILR2[[#This Row],[Accessory Rate]]+Mon_ILR2[[#This Row],[Mounting Rate]]+Mon_ILR2[[#This Row],[Unit Rate]]*Mon_ILR2[[#This Row],[New Quantity Required ]]</f>
        <v>9466</v>
      </c>
      <c r="X20" s="8"/>
      <c r="Y20" s="246" t="s">
        <v>988</v>
      </c>
      <c r="Z20" s="6" t="s">
        <v>45</v>
      </c>
      <c r="AA20" s="6" t="s">
        <v>46</v>
      </c>
      <c r="AB20" s="6" t="s">
        <v>47</v>
      </c>
      <c r="AC20" s="6" t="s">
        <v>48</v>
      </c>
      <c r="AD20" s="6" t="s">
        <v>49</v>
      </c>
      <c r="AE20" s="6" t="s">
        <v>50</v>
      </c>
      <c r="AF20" s="6" t="s">
        <v>50</v>
      </c>
      <c r="AG20" s="6" t="s">
        <v>50</v>
      </c>
      <c r="AH20" s="6" t="s">
        <v>50</v>
      </c>
      <c r="AI20" s="6" t="s">
        <v>51</v>
      </c>
      <c r="AJ20" s="6" t="s">
        <v>50</v>
      </c>
      <c r="AK20" s="6" t="s">
        <v>50</v>
      </c>
      <c r="AL20" s="6" t="s">
        <v>52</v>
      </c>
      <c r="AM20" s="6" t="s">
        <v>53</v>
      </c>
      <c r="AN20" s="6" t="s">
        <v>50</v>
      </c>
      <c r="AO20" s="6" t="s">
        <v>54</v>
      </c>
    </row>
    <row r="21" spans="2:41" ht="118.5" customHeight="1" x14ac:dyDescent="0.25">
      <c r="B21" s="207" t="s">
        <v>161</v>
      </c>
      <c r="C21" s="66" t="s">
        <v>238</v>
      </c>
      <c r="D21" s="4" t="s">
        <v>239</v>
      </c>
      <c r="E21" s="4" t="s">
        <v>1027</v>
      </c>
      <c r="F21" s="4" t="s">
        <v>932</v>
      </c>
      <c r="G21" s="4" t="s">
        <v>39</v>
      </c>
      <c r="H21" s="208">
        <v>1</v>
      </c>
      <c r="I21" s="4"/>
      <c r="J21" s="15"/>
      <c r="K21" s="4" t="str">
        <f>_xlfn.IFNA(VLOOKUP($J21,WH_Data[],6,FALSE),"")</f>
        <v/>
      </c>
      <c r="L21" s="4" t="str">
        <f>_xlfn.IFNA(VLOOKUP($J21,WH_Data[],3,FALSE),"")</f>
        <v/>
      </c>
      <c r="M21" s="4" t="str">
        <f>_xlfn.IFNA(VLOOKUP($J21,WH_Data[],5,FALSE),"")</f>
        <v/>
      </c>
      <c r="N21" s="4" t="str">
        <f>_xlfn.IFNA(VLOOKUP($J21,WH_Data[],7,FALSE),"")</f>
        <v/>
      </c>
      <c r="O21" s="4" t="str">
        <f>_xlfn.IFNA(VLOOKUP($J21,WH_Data[],8,FALSE),"")</f>
        <v/>
      </c>
      <c r="P21" s="8"/>
      <c r="Q21" s="209">
        <f>Mon_ILR2[[#This Row],[Qty Required]]-Mon_ILR2[[#This Row],[QTY Transfer]]</f>
        <v>1</v>
      </c>
      <c r="R21" s="66" t="s">
        <v>905</v>
      </c>
      <c r="S21" s="66" t="s">
        <v>931</v>
      </c>
      <c r="T21" s="210">
        <f>_xlfn.IFNA(VLOOKUP(Mon_ILR2[[#This Row],[New Model]],PhilipsLibary[],4,FALSE),"0")</f>
        <v>6460</v>
      </c>
      <c r="U21" s="210">
        <f>_xlfn.IFNA(VLOOKUP(Mon_ILR2[[#This Row],[New Model]],PhilipsLibary[],5,FALSE),"0")</f>
        <v>1127</v>
      </c>
      <c r="V21" s="210">
        <v>1879</v>
      </c>
      <c r="W21" s="210">
        <f>Mon_ILR2[[#This Row],[Accessory Rate]]+Mon_ILR2[[#This Row],[Mounting Rate]]+Mon_ILR2[[#This Row],[Unit Rate]]*Mon_ILR2[[#This Row],[New Quantity Required ]]</f>
        <v>9466</v>
      </c>
      <c r="X21" s="8"/>
      <c r="Y21" s="289" t="s">
        <v>2150</v>
      </c>
      <c r="Z21" s="6" t="s">
        <v>45</v>
      </c>
      <c r="AA21" s="6" t="s">
        <v>46</v>
      </c>
      <c r="AB21" s="6" t="s">
        <v>47</v>
      </c>
      <c r="AC21" s="6" t="s">
        <v>48</v>
      </c>
      <c r="AD21" s="6" t="s">
        <v>49</v>
      </c>
      <c r="AE21" s="6" t="s">
        <v>50</v>
      </c>
      <c r="AF21" s="6" t="s">
        <v>50</v>
      </c>
      <c r="AG21" s="6" t="s">
        <v>50</v>
      </c>
      <c r="AH21" s="6" t="s">
        <v>50</v>
      </c>
      <c r="AI21" s="6" t="s">
        <v>51</v>
      </c>
      <c r="AJ21" s="6" t="s">
        <v>50</v>
      </c>
      <c r="AK21" s="6" t="s">
        <v>50</v>
      </c>
      <c r="AL21" s="6" t="s">
        <v>52</v>
      </c>
      <c r="AM21" s="6" t="s">
        <v>53</v>
      </c>
      <c r="AN21" s="6" t="s">
        <v>50</v>
      </c>
      <c r="AO21" s="6" t="s">
        <v>54</v>
      </c>
    </row>
    <row r="22" spans="2:41" ht="113.25" customHeight="1" x14ac:dyDescent="0.25">
      <c r="B22" s="207" t="s">
        <v>161</v>
      </c>
      <c r="C22" s="66" t="s">
        <v>238</v>
      </c>
      <c r="D22" s="4" t="s">
        <v>242</v>
      </c>
      <c r="E22" s="4" t="s">
        <v>1027</v>
      </c>
      <c r="F22" s="4" t="s">
        <v>932</v>
      </c>
      <c r="G22" s="4" t="s">
        <v>39</v>
      </c>
      <c r="H22" s="208">
        <v>1</v>
      </c>
      <c r="I22" s="4"/>
      <c r="J22" s="15"/>
      <c r="K22" s="4" t="str">
        <f>_xlfn.IFNA(VLOOKUP($J22,WH_Data[],6,FALSE),"")</f>
        <v/>
      </c>
      <c r="L22" s="4" t="str">
        <f>_xlfn.IFNA(VLOOKUP($J22,WH_Data[],3,FALSE),"")</f>
        <v/>
      </c>
      <c r="M22" s="4" t="str">
        <f>_xlfn.IFNA(VLOOKUP($J22,WH_Data[],5,FALSE),"")</f>
        <v/>
      </c>
      <c r="N22" s="4" t="str">
        <f>_xlfn.IFNA(VLOOKUP($J22,WH_Data[],7,FALSE),"")</f>
        <v/>
      </c>
      <c r="O22" s="4" t="str">
        <f>_xlfn.IFNA(VLOOKUP($J22,WH_Data[],8,FALSE),"")</f>
        <v/>
      </c>
      <c r="P22" s="8"/>
      <c r="Q22" s="209">
        <f>Mon_ILR2[[#This Row],[Qty Required]]-Mon_ILR2[[#This Row],[QTY Transfer]]</f>
        <v>1</v>
      </c>
      <c r="R22" s="66" t="s">
        <v>905</v>
      </c>
      <c r="S22" s="66" t="s">
        <v>931</v>
      </c>
      <c r="T22" s="210">
        <f>_xlfn.IFNA(VLOOKUP(Mon_ILR2[[#This Row],[New Model]],PhilipsLibary[],4,FALSE),"0")</f>
        <v>6460</v>
      </c>
      <c r="U22" s="210">
        <f>_xlfn.IFNA(VLOOKUP(Mon_ILR2[[#This Row],[New Model]],PhilipsLibary[],5,FALSE),"0")</f>
        <v>1127</v>
      </c>
      <c r="V22" s="210">
        <v>1879</v>
      </c>
      <c r="W22" s="210">
        <f>Mon_ILR2[[#This Row],[Accessory Rate]]+Mon_ILR2[[#This Row],[Mounting Rate]]+Mon_ILR2[[#This Row],[Unit Rate]]*Mon_ILR2[[#This Row],[New Quantity Required ]]</f>
        <v>9466</v>
      </c>
      <c r="X22" s="8"/>
      <c r="Y22" s="289" t="s">
        <v>2150</v>
      </c>
      <c r="Z22" s="6" t="s">
        <v>45</v>
      </c>
      <c r="AA22" s="6" t="s">
        <v>46</v>
      </c>
      <c r="AB22" s="6" t="s">
        <v>47</v>
      </c>
      <c r="AC22" s="6" t="s">
        <v>48</v>
      </c>
      <c r="AD22" s="6" t="s">
        <v>49</v>
      </c>
      <c r="AE22" s="6" t="s">
        <v>50</v>
      </c>
      <c r="AF22" s="6" t="s">
        <v>50</v>
      </c>
      <c r="AG22" s="6" t="s">
        <v>50</v>
      </c>
      <c r="AH22" s="6" t="s">
        <v>50</v>
      </c>
      <c r="AI22" s="6" t="s">
        <v>51</v>
      </c>
      <c r="AJ22" s="6" t="s">
        <v>50</v>
      </c>
      <c r="AK22" s="6" t="s">
        <v>50</v>
      </c>
      <c r="AL22" s="6" t="s">
        <v>52</v>
      </c>
      <c r="AM22" s="6" t="s">
        <v>53</v>
      </c>
      <c r="AN22" s="6" t="s">
        <v>50</v>
      </c>
      <c r="AO22" s="6" t="s">
        <v>54</v>
      </c>
    </row>
    <row r="23" spans="2:41" ht="120.75" customHeight="1" x14ac:dyDescent="0.25">
      <c r="B23" s="207" t="s">
        <v>161</v>
      </c>
      <c r="C23" s="66" t="s">
        <v>238</v>
      </c>
      <c r="D23" s="4" t="s">
        <v>245</v>
      </c>
      <c r="E23" s="4" t="s">
        <v>1027</v>
      </c>
      <c r="F23" s="4" t="s">
        <v>932</v>
      </c>
      <c r="G23" s="4" t="s">
        <v>39</v>
      </c>
      <c r="H23" s="208">
        <v>1</v>
      </c>
      <c r="I23" s="4"/>
      <c r="J23" s="15"/>
      <c r="K23" s="4" t="str">
        <f>_xlfn.IFNA(VLOOKUP($J23,WH_Data[],6,FALSE),"")</f>
        <v/>
      </c>
      <c r="L23" s="4" t="str">
        <f>_xlfn.IFNA(VLOOKUP($J23,WH_Data[],3,FALSE),"")</f>
        <v/>
      </c>
      <c r="M23" s="4" t="str">
        <f>_xlfn.IFNA(VLOOKUP($J23,WH_Data[],5,FALSE),"")</f>
        <v/>
      </c>
      <c r="N23" s="4" t="str">
        <f>_xlfn.IFNA(VLOOKUP($J23,WH_Data[],7,FALSE),"")</f>
        <v/>
      </c>
      <c r="O23" s="4" t="str">
        <f>_xlfn.IFNA(VLOOKUP($J23,WH_Data[],8,FALSE),"")</f>
        <v/>
      </c>
      <c r="P23" s="8"/>
      <c r="Q23" s="209">
        <f>Mon_ILR2[[#This Row],[Qty Required]]-Mon_ILR2[[#This Row],[QTY Transfer]]</f>
        <v>1</v>
      </c>
      <c r="R23" s="66" t="s">
        <v>905</v>
      </c>
      <c r="S23" s="66" t="s">
        <v>931</v>
      </c>
      <c r="T23" s="210">
        <f>_xlfn.IFNA(VLOOKUP(Mon_ILR2[[#This Row],[New Model]],PhilipsLibary[],4,FALSE),"0")</f>
        <v>6460</v>
      </c>
      <c r="U23" s="210">
        <f>_xlfn.IFNA(VLOOKUP(Mon_ILR2[[#This Row],[New Model]],PhilipsLibary[],5,FALSE),"0")</f>
        <v>1127</v>
      </c>
      <c r="V23" s="210">
        <v>1879</v>
      </c>
      <c r="W23" s="210">
        <f>Mon_ILR2[[#This Row],[Accessory Rate]]+Mon_ILR2[[#This Row],[Mounting Rate]]+Mon_ILR2[[#This Row],[Unit Rate]]*Mon_ILR2[[#This Row],[New Quantity Required ]]</f>
        <v>9466</v>
      </c>
      <c r="X23" s="8"/>
      <c r="Y23" s="289" t="s">
        <v>2150</v>
      </c>
      <c r="Z23" s="6" t="s">
        <v>45</v>
      </c>
      <c r="AA23" s="6" t="s">
        <v>46</v>
      </c>
      <c r="AB23" s="6" t="s">
        <v>47</v>
      </c>
      <c r="AC23" s="6" t="s">
        <v>48</v>
      </c>
      <c r="AD23" s="6" t="s">
        <v>49</v>
      </c>
      <c r="AE23" s="6" t="s">
        <v>50</v>
      </c>
      <c r="AF23" s="6" t="s">
        <v>50</v>
      </c>
      <c r="AG23" s="6" t="s">
        <v>50</v>
      </c>
      <c r="AH23" s="6" t="s">
        <v>50</v>
      </c>
      <c r="AI23" s="6" t="s">
        <v>51</v>
      </c>
      <c r="AJ23" s="6" t="s">
        <v>50</v>
      </c>
      <c r="AK23" s="6" t="s">
        <v>50</v>
      </c>
      <c r="AL23" s="6" t="s">
        <v>52</v>
      </c>
      <c r="AM23" s="6" t="s">
        <v>53</v>
      </c>
      <c r="AN23" s="6" t="s">
        <v>50</v>
      </c>
      <c r="AO23" s="6" t="s">
        <v>54</v>
      </c>
    </row>
    <row r="24" spans="2:41" ht="117" customHeight="1" x14ac:dyDescent="0.25">
      <c r="B24" s="207" t="s">
        <v>161</v>
      </c>
      <c r="C24" s="66" t="s">
        <v>238</v>
      </c>
      <c r="D24" s="4" t="s">
        <v>248</v>
      </c>
      <c r="E24" s="4" t="s">
        <v>1027</v>
      </c>
      <c r="F24" s="4" t="s">
        <v>932</v>
      </c>
      <c r="G24" s="4" t="s">
        <v>39</v>
      </c>
      <c r="H24" s="208">
        <v>1</v>
      </c>
      <c r="I24" s="4"/>
      <c r="J24" s="15"/>
      <c r="K24" s="4" t="str">
        <f>_xlfn.IFNA(VLOOKUP($J24,WH_Data[],6,FALSE),"")</f>
        <v/>
      </c>
      <c r="L24" s="4" t="str">
        <f>_xlfn.IFNA(VLOOKUP($J24,WH_Data[],3,FALSE),"")</f>
        <v/>
      </c>
      <c r="M24" s="4" t="str">
        <f>_xlfn.IFNA(VLOOKUP($J24,WH_Data[],5,FALSE),"")</f>
        <v/>
      </c>
      <c r="N24" s="4" t="str">
        <f>_xlfn.IFNA(VLOOKUP($J24,WH_Data[],7,FALSE),"")</f>
        <v/>
      </c>
      <c r="O24" s="4" t="str">
        <f>_xlfn.IFNA(VLOOKUP($J24,WH_Data[],8,FALSE),"")</f>
        <v/>
      </c>
      <c r="P24" s="8"/>
      <c r="Q24" s="209">
        <f>Mon_ILR2[[#This Row],[Qty Required]]-Mon_ILR2[[#This Row],[QTY Transfer]]</f>
        <v>1</v>
      </c>
      <c r="R24" s="66" t="s">
        <v>905</v>
      </c>
      <c r="S24" s="66" t="s">
        <v>931</v>
      </c>
      <c r="T24" s="210">
        <f>_xlfn.IFNA(VLOOKUP(Mon_ILR2[[#This Row],[New Model]],PhilipsLibary[],4,FALSE),"0")</f>
        <v>6460</v>
      </c>
      <c r="U24" s="210">
        <f>_xlfn.IFNA(VLOOKUP(Mon_ILR2[[#This Row],[New Model]],PhilipsLibary[],5,FALSE),"0")</f>
        <v>1127</v>
      </c>
      <c r="V24" s="210">
        <v>1879</v>
      </c>
      <c r="W24" s="210">
        <f>Mon_ILR2[[#This Row],[Accessory Rate]]+Mon_ILR2[[#This Row],[Mounting Rate]]+Mon_ILR2[[#This Row],[Unit Rate]]*Mon_ILR2[[#This Row],[New Quantity Required ]]</f>
        <v>9466</v>
      </c>
      <c r="X24" s="8"/>
      <c r="Y24" s="289" t="s">
        <v>2150</v>
      </c>
      <c r="Z24" s="6" t="s">
        <v>45</v>
      </c>
      <c r="AA24" s="6" t="s">
        <v>46</v>
      </c>
      <c r="AB24" s="6" t="s">
        <v>47</v>
      </c>
      <c r="AC24" s="6" t="s">
        <v>48</v>
      </c>
      <c r="AD24" s="6" t="s">
        <v>49</v>
      </c>
      <c r="AE24" s="6" t="s">
        <v>50</v>
      </c>
      <c r="AF24" s="6" t="s">
        <v>50</v>
      </c>
      <c r="AG24" s="6" t="s">
        <v>50</v>
      </c>
      <c r="AH24" s="6" t="s">
        <v>50</v>
      </c>
      <c r="AI24" s="6" t="s">
        <v>51</v>
      </c>
      <c r="AJ24" s="6" t="s">
        <v>50</v>
      </c>
      <c r="AK24" s="6" t="s">
        <v>50</v>
      </c>
      <c r="AL24" s="6" t="s">
        <v>52</v>
      </c>
      <c r="AM24" s="6" t="s">
        <v>53</v>
      </c>
      <c r="AN24" s="6" t="s">
        <v>50</v>
      </c>
      <c r="AO24" s="6" t="s">
        <v>54</v>
      </c>
    </row>
    <row r="25" spans="2:41" ht="109.5" customHeight="1" x14ac:dyDescent="0.25">
      <c r="B25" s="207" t="s">
        <v>161</v>
      </c>
      <c r="C25" s="66" t="s">
        <v>251</v>
      </c>
      <c r="D25" s="4" t="s">
        <v>252</v>
      </c>
      <c r="E25" s="4" t="s">
        <v>1027</v>
      </c>
      <c r="F25" s="4" t="s">
        <v>932</v>
      </c>
      <c r="G25" s="4" t="s">
        <v>39</v>
      </c>
      <c r="H25" s="208">
        <v>1</v>
      </c>
      <c r="I25" s="4"/>
      <c r="J25" s="15"/>
      <c r="K25" s="4" t="str">
        <f>_xlfn.IFNA(VLOOKUP($J25,WH_Data[],6,FALSE),"")</f>
        <v/>
      </c>
      <c r="L25" s="4" t="str">
        <f>_xlfn.IFNA(VLOOKUP($J25,WH_Data[],3,FALSE),"")</f>
        <v/>
      </c>
      <c r="M25" s="4" t="str">
        <f>_xlfn.IFNA(VLOOKUP($J25,WH_Data[],5,FALSE),"")</f>
        <v/>
      </c>
      <c r="N25" s="4" t="str">
        <f>_xlfn.IFNA(VLOOKUP($J25,WH_Data[],7,FALSE),"")</f>
        <v/>
      </c>
      <c r="O25" s="4" t="str">
        <f>_xlfn.IFNA(VLOOKUP($J25,WH_Data[],8,FALSE),"")</f>
        <v/>
      </c>
      <c r="P25" s="8"/>
      <c r="Q25" s="209">
        <f>Mon_ILR2[[#This Row],[Qty Required]]-Mon_ILR2[[#This Row],[QTY Transfer]]</f>
        <v>1</v>
      </c>
      <c r="R25" s="66" t="s">
        <v>905</v>
      </c>
      <c r="S25" s="66" t="s">
        <v>931</v>
      </c>
      <c r="T25" s="210">
        <f>_xlfn.IFNA(VLOOKUP(Mon_ILR2[[#This Row],[New Model]],PhilipsLibary[],4,FALSE),"0")</f>
        <v>6460</v>
      </c>
      <c r="U25" s="210">
        <f>_xlfn.IFNA(VLOOKUP(Mon_ILR2[[#This Row],[New Model]],PhilipsLibary[],5,FALSE),"0")</f>
        <v>1127</v>
      </c>
      <c r="V25" s="210">
        <v>1879</v>
      </c>
      <c r="W25" s="210">
        <f>Mon_ILR2[[#This Row],[Accessory Rate]]+Mon_ILR2[[#This Row],[Mounting Rate]]+Mon_ILR2[[#This Row],[Unit Rate]]*Mon_ILR2[[#This Row],[New Quantity Required ]]</f>
        <v>9466</v>
      </c>
      <c r="X25" s="8"/>
      <c r="Y25" s="289" t="s">
        <v>2150</v>
      </c>
      <c r="Z25" s="6" t="s">
        <v>45</v>
      </c>
      <c r="AA25" s="6" t="s">
        <v>46</v>
      </c>
      <c r="AB25" s="6" t="s">
        <v>47</v>
      </c>
      <c r="AC25" s="6" t="s">
        <v>48</v>
      </c>
      <c r="AD25" s="6" t="s">
        <v>49</v>
      </c>
      <c r="AE25" s="6" t="s">
        <v>50</v>
      </c>
      <c r="AF25" s="6" t="s">
        <v>50</v>
      </c>
      <c r="AG25" s="6" t="s">
        <v>50</v>
      </c>
      <c r="AH25" s="6" t="s">
        <v>50</v>
      </c>
      <c r="AI25" s="6" t="s">
        <v>51</v>
      </c>
      <c r="AJ25" s="6" t="s">
        <v>50</v>
      </c>
      <c r="AK25" s="6" t="s">
        <v>50</v>
      </c>
      <c r="AL25" s="6" t="s">
        <v>52</v>
      </c>
      <c r="AM25" s="6" t="s">
        <v>53</v>
      </c>
      <c r="AN25" s="6" t="s">
        <v>50</v>
      </c>
      <c r="AO25" s="6" t="s">
        <v>54</v>
      </c>
    </row>
    <row r="26" spans="2:41" ht="120.75" customHeight="1" x14ac:dyDescent="0.25">
      <c r="B26" s="207" t="s">
        <v>161</v>
      </c>
      <c r="C26" s="66" t="s">
        <v>251</v>
      </c>
      <c r="D26" s="4" t="s">
        <v>255</v>
      </c>
      <c r="E26" s="4" t="s">
        <v>1027</v>
      </c>
      <c r="F26" s="4" t="s">
        <v>932</v>
      </c>
      <c r="G26" s="4" t="s">
        <v>39</v>
      </c>
      <c r="H26" s="208">
        <v>1</v>
      </c>
      <c r="I26" s="4"/>
      <c r="J26" s="15"/>
      <c r="K26" s="4" t="str">
        <f>_xlfn.IFNA(VLOOKUP($J26,WH_Data[],6,FALSE),"")</f>
        <v/>
      </c>
      <c r="L26" s="4" t="str">
        <f>_xlfn.IFNA(VLOOKUP($J26,WH_Data[],3,FALSE),"")</f>
        <v/>
      </c>
      <c r="M26" s="4" t="str">
        <f>_xlfn.IFNA(VLOOKUP($J26,WH_Data[],5,FALSE),"")</f>
        <v/>
      </c>
      <c r="N26" s="4" t="str">
        <f>_xlfn.IFNA(VLOOKUP($J26,WH_Data[],7,FALSE),"")</f>
        <v/>
      </c>
      <c r="O26" s="4" t="str">
        <f>_xlfn.IFNA(VLOOKUP($J26,WH_Data[],8,FALSE),"")</f>
        <v/>
      </c>
      <c r="P26" s="8"/>
      <c r="Q26" s="209">
        <f>Mon_ILR2[[#This Row],[Qty Required]]-Mon_ILR2[[#This Row],[QTY Transfer]]</f>
        <v>1</v>
      </c>
      <c r="R26" s="66" t="s">
        <v>905</v>
      </c>
      <c r="S26" s="66" t="s">
        <v>931</v>
      </c>
      <c r="T26" s="210">
        <f>_xlfn.IFNA(VLOOKUP(Mon_ILR2[[#This Row],[New Model]],PhilipsLibary[],4,FALSE),"0")</f>
        <v>6460</v>
      </c>
      <c r="U26" s="210">
        <f>_xlfn.IFNA(VLOOKUP(Mon_ILR2[[#This Row],[New Model]],PhilipsLibary[],5,FALSE),"0")</f>
        <v>1127</v>
      </c>
      <c r="V26" s="210">
        <v>1879</v>
      </c>
      <c r="W26" s="210">
        <f>Mon_ILR2[[#This Row],[Accessory Rate]]+Mon_ILR2[[#This Row],[Mounting Rate]]+Mon_ILR2[[#This Row],[Unit Rate]]*Mon_ILR2[[#This Row],[New Quantity Required ]]</f>
        <v>9466</v>
      </c>
      <c r="X26" s="8"/>
      <c r="Y26" s="289" t="s">
        <v>2150</v>
      </c>
      <c r="Z26" s="6" t="s">
        <v>45</v>
      </c>
      <c r="AA26" s="6" t="s">
        <v>46</v>
      </c>
      <c r="AB26" s="6" t="s">
        <v>47</v>
      </c>
      <c r="AC26" s="6" t="s">
        <v>48</v>
      </c>
      <c r="AD26" s="6" t="s">
        <v>49</v>
      </c>
      <c r="AE26" s="6" t="s">
        <v>50</v>
      </c>
      <c r="AF26" s="6" t="s">
        <v>50</v>
      </c>
      <c r="AG26" s="6" t="s">
        <v>50</v>
      </c>
      <c r="AH26" s="6" t="s">
        <v>50</v>
      </c>
      <c r="AI26" s="6" t="s">
        <v>51</v>
      </c>
      <c r="AJ26" s="6" t="s">
        <v>50</v>
      </c>
      <c r="AK26" s="6" t="s">
        <v>50</v>
      </c>
      <c r="AL26" s="6" t="s">
        <v>52</v>
      </c>
      <c r="AM26" s="6" t="s">
        <v>53</v>
      </c>
      <c r="AN26" s="6" t="s">
        <v>50</v>
      </c>
      <c r="AO26" s="6" t="s">
        <v>54</v>
      </c>
    </row>
    <row r="27" spans="2:41" ht="114.75" customHeight="1" x14ac:dyDescent="0.25">
      <c r="B27" s="207" t="s">
        <v>161</v>
      </c>
      <c r="C27" s="66" t="s">
        <v>251</v>
      </c>
      <c r="D27" s="4" t="s">
        <v>258</v>
      </c>
      <c r="E27" s="4" t="s">
        <v>1027</v>
      </c>
      <c r="F27" s="4" t="s">
        <v>932</v>
      </c>
      <c r="G27" s="4" t="s">
        <v>39</v>
      </c>
      <c r="H27" s="208">
        <v>1</v>
      </c>
      <c r="I27" s="4"/>
      <c r="J27" s="15"/>
      <c r="K27" s="4" t="str">
        <f>_xlfn.IFNA(VLOOKUP($J27,WH_Data[],6,FALSE),"")</f>
        <v/>
      </c>
      <c r="L27" s="4" t="str">
        <f>_xlfn.IFNA(VLOOKUP($J27,WH_Data[],3,FALSE),"")</f>
        <v/>
      </c>
      <c r="M27" s="4" t="str">
        <f>_xlfn.IFNA(VLOOKUP($J27,WH_Data[],5,FALSE),"")</f>
        <v/>
      </c>
      <c r="N27" s="4" t="str">
        <f>_xlfn.IFNA(VLOOKUP($J27,WH_Data[],7,FALSE),"")</f>
        <v/>
      </c>
      <c r="O27" s="4" t="str">
        <f>_xlfn.IFNA(VLOOKUP($J27,WH_Data[],8,FALSE),"")</f>
        <v/>
      </c>
      <c r="P27" s="8"/>
      <c r="Q27" s="209">
        <f>Mon_ILR2[[#This Row],[Qty Required]]-Mon_ILR2[[#This Row],[QTY Transfer]]</f>
        <v>1</v>
      </c>
      <c r="R27" s="66" t="s">
        <v>905</v>
      </c>
      <c r="S27" s="66" t="s">
        <v>931</v>
      </c>
      <c r="T27" s="210">
        <f>_xlfn.IFNA(VLOOKUP(Mon_ILR2[[#This Row],[New Model]],PhilipsLibary[],4,FALSE),"0")</f>
        <v>6460</v>
      </c>
      <c r="U27" s="210">
        <f>_xlfn.IFNA(VLOOKUP(Mon_ILR2[[#This Row],[New Model]],PhilipsLibary[],5,FALSE),"0")</f>
        <v>1127</v>
      </c>
      <c r="V27" s="210">
        <v>1879</v>
      </c>
      <c r="W27" s="210">
        <f>Mon_ILR2[[#This Row],[Accessory Rate]]+Mon_ILR2[[#This Row],[Mounting Rate]]+Mon_ILR2[[#This Row],[Unit Rate]]*Mon_ILR2[[#This Row],[New Quantity Required ]]</f>
        <v>9466</v>
      </c>
      <c r="X27" s="8"/>
      <c r="Y27" s="289" t="s">
        <v>2150</v>
      </c>
      <c r="Z27" s="6" t="s">
        <v>45</v>
      </c>
      <c r="AA27" s="6" t="s">
        <v>46</v>
      </c>
      <c r="AB27" s="6" t="s">
        <v>47</v>
      </c>
      <c r="AC27" s="6" t="s">
        <v>48</v>
      </c>
      <c r="AD27" s="6" t="s">
        <v>49</v>
      </c>
      <c r="AE27" s="6" t="s">
        <v>50</v>
      </c>
      <c r="AF27" s="6" t="s">
        <v>50</v>
      </c>
      <c r="AG27" s="6" t="s">
        <v>50</v>
      </c>
      <c r="AH27" s="6" t="s">
        <v>50</v>
      </c>
      <c r="AI27" s="6" t="s">
        <v>51</v>
      </c>
      <c r="AJ27" s="6" t="s">
        <v>50</v>
      </c>
      <c r="AK27" s="6" t="s">
        <v>50</v>
      </c>
      <c r="AL27" s="6" t="s">
        <v>52</v>
      </c>
      <c r="AM27" s="6" t="s">
        <v>53</v>
      </c>
      <c r="AN27" s="6" t="s">
        <v>50</v>
      </c>
      <c r="AO27" s="6" t="s">
        <v>54</v>
      </c>
    </row>
    <row r="28" spans="2:41" ht="19.5" customHeight="1" x14ac:dyDescent="0.25">
      <c r="B28" s="207" t="s">
        <v>161</v>
      </c>
      <c r="C28" s="66" t="s">
        <v>174</v>
      </c>
      <c r="D28" s="4" t="s">
        <v>175</v>
      </c>
      <c r="E28" s="4" t="s">
        <v>956</v>
      </c>
      <c r="F28" s="4" t="s">
        <v>1030</v>
      </c>
      <c r="G28" s="4" t="s">
        <v>39</v>
      </c>
      <c r="H28" s="208">
        <v>8</v>
      </c>
      <c r="I28" s="4"/>
      <c r="J28" s="15"/>
      <c r="K28" s="4" t="str">
        <f>_xlfn.IFNA(VLOOKUP($J28,WH_Data[],6,FALSE),"")</f>
        <v/>
      </c>
      <c r="L28" s="4" t="str">
        <f>_xlfn.IFNA(VLOOKUP($J28,WH_Data[],3,FALSE),"")</f>
        <v/>
      </c>
      <c r="M28" s="4" t="str">
        <f>_xlfn.IFNA(VLOOKUP($J28,WH_Data[],5,FALSE),"")</f>
        <v/>
      </c>
      <c r="N28" s="4" t="str">
        <f>_xlfn.IFNA(VLOOKUP($J28,WH_Data[],7,FALSE),"")</f>
        <v/>
      </c>
      <c r="O28" s="4" t="str">
        <f>_xlfn.IFNA(VLOOKUP($J28,WH_Data[],8,FALSE),"")</f>
        <v/>
      </c>
      <c r="P28" s="8"/>
      <c r="Q28" s="209">
        <f>Mon_ILR2[[#This Row],[Qty Required]]-Mon_ILR2[[#This Row],[QTY Transfer]]</f>
        <v>8</v>
      </c>
      <c r="R28" s="66" t="s">
        <v>905</v>
      </c>
      <c r="S28" s="66" t="s">
        <v>976</v>
      </c>
      <c r="T28" s="210">
        <f>_xlfn.IFNA(VLOOKUP(Mon_ILR2[[#This Row],[New Model]],PhilipsLibary[],4,FALSE),"0")</f>
        <v>420</v>
      </c>
      <c r="U28" s="210">
        <f>_xlfn.IFNA(VLOOKUP(Mon_ILR2[[#This Row],[New Model]],PhilipsLibary[],5,FALSE),"0")</f>
        <v>0</v>
      </c>
      <c r="V28" s="210">
        <f>_xlfn.IFNA(VLOOKUP(Mon_ILR2[[#This Row],[New Model]],PhilipsLibary[],5,FALSE),"0")</f>
        <v>0</v>
      </c>
      <c r="W28" s="210">
        <f>Mon_ILR2[[#This Row],[Accessory Rate]]+Mon_ILR2[[#This Row],[Mounting Rate]]+Mon_ILR2[[#This Row],[Unit Rate]]*Mon_ILR2[[#This Row],[New Quantity Required ]]</f>
        <v>3360</v>
      </c>
      <c r="X28" s="8"/>
      <c r="Y28" s="246"/>
    </row>
    <row r="29" spans="2:41" ht="126.75" customHeight="1" x14ac:dyDescent="0.25">
      <c r="B29" s="207" t="s">
        <v>161</v>
      </c>
      <c r="C29" s="66" t="s">
        <v>251</v>
      </c>
      <c r="D29" s="4" t="s">
        <v>261</v>
      </c>
      <c r="E29" s="304" t="s">
        <v>1072</v>
      </c>
      <c r="F29" s="4" t="s">
        <v>932</v>
      </c>
      <c r="G29" s="4" t="s">
        <v>39</v>
      </c>
      <c r="H29" s="208">
        <v>1</v>
      </c>
      <c r="I29" s="4"/>
      <c r="J29" s="15"/>
      <c r="K29" s="4" t="str">
        <f>_xlfn.IFNA(VLOOKUP($J29,WH_Data[],6,FALSE),"")</f>
        <v/>
      </c>
      <c r="L29" s="4" t="str">
        <f>_xlfn.IFNA(VLOOKUP($J29,WH_Data[],3,FALSE),"")</f>
        <v/>
      </c>
      <c r="M29" s="4" t="str">
        <f>_xlfn.IFNA(VLOOKUP($J29,WH_Data[],5,FALSE),"")</f>
        <v/>
      </c>
      <c r="N29" s="4" t="str">
        <f>_xlfn.IFNA(VLOOKUP($J29,WH_Data[],7,FALSE),"")</f>
        <v/>
      </c>
      <c r="O29" s="4" t="str">
        <f>_xlfn.IFNA(VLOOKUP($J29,WH_Data[],8,FALSE),"")</f>
        <v/>
      </c>
      <c r="P29" s="8"/>
      <c r="Q29" s="209">
        <f>Mon_ILR2[[#This Row],[Qty Required]]-Mon_ILR2[[#This Row],[QTY Transfer]]</f>
        <v>1</v>
      </c>
      <c r="R29" s="66" t="s">
        <v>905</v>
      </c>
      <c r="S29" s="304" t="s">
        <v>938</v>
      </c>
      <c r="T29" s="303">
        <f>_xlfn.IFNA(VLOOKUP(Mon_ILR2[[#This Row],[New Model]],PhilipsLibary[],4,FALSE),"0")</f>
        <v>12153</v>
      </c>
      <c r="U29" s="303">
        <f>_xlfn.IFNA(VLOOKUP(Mon_ILR2[[#This Row],[New Model]],PhilipsLibary[],5,FALSE),"0")</f>
        <v>915</v>
      </c>
      <c r="V29" s="303">
        <v>1879</v>
      </c>
      <c r="W29" s="303">
        <f>Mon_ILR2[[#This Row],[Accessory Rate]]+Mon_ILR2[[#This Row],[Mounting Rate]]+Mon_ILR2[[#This Row],[Unit Rate]]*Mon_ILR2[[#This Row],[New Quantity Required ]]</f>
        <v>14947</v>
      </c>
      <c r="X29" s="8"/>
      <c r="Y29" s="289" t="s">
        <v>2148</v>
      </c>
      <c r="Z29" s="6" t="s">
        <v>45</v>
      </c>
      <c r="AA29" s="6" t="s">
        <v>46</v>
      </c>
      <c r="AB29" s="6" t="s">
        <v>47</v>
      </c>
      <c r="AC29" s="6" t="s">
        <v>48</v>
      </c>
      <c r="AD29" s="6" t="s">
        <v>49</v>
      </c>
      <c r="AE29" s="6" t="s">
        <v>50</v>
      </c>
      <c r="AF29" s="6" t="s">
        <v>50</v>
      </c>
      <c r="AG29" s="6" t="s">
        <v>50</v>
      </c>
      <c r="AH29" s="6" t="s">
        <v>50</v>
      </c>
      <c r="AI29" s="6" t="s">
        <v>51</v>
      </c>
      <c r="AJ29" s="6" t="s">
        <v>50</v>
      </c>
      <c r="AK29" s="6" t="s">
        <v>50</v>
      </c>
      <c r="AL29" s="6" t="s">
        <v>52</v>
      </c>
      <c r="AM29" s="6" t="s">
        <v>53</v>
      </c>
      <c r="AN29" s="6" t="s">
        <v>50</v>
      </c>
      <c r="AO29" s="6" t="s">
        <v>54</v>
      </c>
    </row>
    <row r="30" spans="2:41" ht="75" x14ac:dyDescent="0.25">
      <c r="B30" s="207" t="s">
        <v>161</v>
      </c>
      <c r="C30" s="66" t="s">
        <v>191</v>
      </c>
      <c r="D30" s="4" t="s">
        <v>264</v>
      </c>
      <c r="E30" s="4" t="s">
        <v>1027</v>
      </c>
      <c r="F30" s="4" t="s">
        <v>932</v>
      </c>
      <c r="G30" s="4" t="s">
        <v>39</v>
      </c>
      <c r="H30" s="208">
        <v>1</v>
      </c>
      <c r="I30" s="4"/>
      <c r="J30" s="15"/>
      <c r="K30" s="4" t="str">
        <f>_xlfn.IFNA(VLOOKUP($J30,WH_Data[],6,FALSE),"")</f>
        <v/>
      </c>
      <c r="L30" s="4" t="str">
        <f>_xlfn.IFNA(VLOOKUP($J30,WH_Data[],3,FALSE),"")</f>
        <v/>
      </c>
      <c r="M30" s="4" t="str">
        <f>_xlfn.IFNA(VLOOKUP($J30,WH_Data[],5,FALSE),"")</f>
        <v/>
      </c>
      <c r="N30" s="4" t="str">
        <f>_xlfn.IFNA(VLOOKUP($J30,WH_Data[],7,FALSE),"")</f>
        <v/>
      </c>
      <c r="O30" s="4" t="str">
        <f>_xlfn.IFNA(VLOOKUP($J30,WH_Data[],8,FALSE),"")</f>
        <v/>
      </c>
      <c r="P30" s="8"/>
      <c r="Q30" s="209">
        <f>Mon_ILR2[[#This Row],[Qty Required]]-Mon_ILR2[[#This Row],[QTY Transfer]]</f>
        <v>1</v>
      </c>
      <c r="R30" s="66" t="s">
        <v>905</v>
      </c>
      <c r="S30" s="66" t="s">
        <v>931</v>
      </c>
      <c r="T30" s="210">
        <f>_xlfn.IFNA(VLOOKUP(Mon_ILR2[[#This Row],[New Model]],PhilipsLibary[],4,FALSE),"0")</f>
        <v>6460</v>
      </c>
      <c r="U30" s="210">
        <f>_xlfn.IFNA(VLOOKUP(Mon_ILR2[[#This Row],[New Model]],PhilipsLibary[],5,FALSE),"0")</f>
        <v>1127</v>
      </c>
      <c r="V30" s="210">
        <v>1879</v>
      </c>
      <c r="W30" s="210">
        <f>Mon_ILR2[[#This Row],[Accessory Rate]]+Mon_ILR2[[#This Row],[Mounting Rate]]+Mon_ILR2[[#This Row],[Unit Rate]]*Mon_ILR2[[#This Row],[New Quantity Required ]]</f>
        <v>9466</v>
      </c>
      <c r="X30" s="8"/>
      <c r="Y30" s="246" t="s">
        <v>988</v>
      </c>
      <c r="Z30" s="6" t="s">
        <v>45</v>
      </c>
      <c r="AA30" s="6" t="s">
        <v>46</v>
      </c>
      <c r="AB30" s="6" t="s">
        <v>47</v>
      </c>
      <c r="AC30" s="6" t="s">
        <v>48</v>
      </c>
      <c r="AD30" s="6" t="s">
        <v>49</v>
      </c>
      <c r="AE30" s="6" t="s">
        <v>50</v>
      </c>
      <c r="AF30" s="6" t="s">
        <v>50</v>
      </c>
      <c r="AG30" s="6" t="s">
        <v>50</v>
      </c>
      <c r="AH30" s="6" t="s">
        <v>50</v>
      </c>
      <c r="AI30" s="6" t="s">
        <v>51</v>
      </c>
      <c r="AJ30" s="6" t="s">
        <v>50</v>
      </c>
      <c r="AK30" s="6" t="s">
        <v>50</v>
      </c>
      <c r="AL30" s="6" t="s">
        <v>52</v>
      </c>
      <c r="AM30" s="6" t="s">
        <v>53</v>
      </c>
      <c r="AN30" s="6" t="s">
        <v>50</v>
      </c>
      <c r="AO30" s="6" t="s">
        <v>54</v>
      </c>
    </row>
    <row r="31" spans="2:41" ht="75" x14ac:dyDescent="0.25">
      <c r="B31" s="207" t="s">
        <v>161</v>
      </c>
      <c r="C31" s="66" t="s">
        <v>191</v>
      </c>
      <c r="D31" s="4" t="s">
        <v>264</v>
      </c>
      <c r="E31" s="4" t="s">
        <v>1027</v>
      </c>
      <c r="F31" s="4" t="s">
        <v>932</v>
      </c>
      <c r="G31" s="4" t="s">
        <v>39</v>
      </c>
      <c r="H31" s="208">
        <v>1</v>
      </c>
      <c r="I31" s="4"/>
      <c r="J31" s="15"/>
      <c r="K31" s="4" t="str">
        <f>_xlfn.IFNA(VLOOKUP($J31,WH_Data[],6,FALSE),"")</f>
        <v/>
      </c>
      <c r="L31" s="4" t="str">
        <f>_xlfn.IFNA(VLOOKUP($J31,WH_Data[],3,FALSE),"")</f>
        <v/>
      </c>
      <c r="M31" s="4" t="str">
        <f>_xlfn.IFNA(VLOOKUP($J31,WH_Data[],5,FALSE),"")</f>
        <v/>
      </c>
      <c r="N31" s="4" t="str">
        <f>_xlfn.IFNA(VLOOKUP($J31,WH_Data[],7,FALSE),"")</f>
        <v/>
      </c>
      <c r="O31" s="4" t="str">
        <f>_xlfn.IFNA(VLOOKUP($J31,WH_Data[],8,FALSE),"")</f>
        <v/>
      </c>
      <c r="P31" s="8"/>
      <c r="Q31" s="209">
        <f>Mon_ILR2[[#This Row],[Qty Required]]-Mon_ILR2[[#This Row],[QTY Transfer]]</f>
        <v>1</v>
      </c>
      <c r="R31" s="66" t="s">
        <v>905</v>
      </c>
      <c r="S31" s="66" t="s">
        <v>931</v>
      </c>
      <c r="T31" s="210">
        <f>_xlfn.IFNA(VLOOKUP(Mon_ILR2[[#This Row],[New Model]],PhilipsLibary[],4,FALSE),"0")</f>
        <v>6460</v>
      </c>
      <c r="U31" s="210">
        <f>_xlfn.IFNA(VLOOKUP(Mon_ILR2[[#This Row],[New Model]],PhilipsLibary[],5,FALSE),"0")</f>
        <v>1127</v>
      </c>
      <c r="V31" s="210">
        <v>1879</v>
      </c>
      <c r="W31" s="210">
        <f>Mon_ILR2[[#This Row],[Accessory Rate]]+Mon_ILR2[[#This Row],[Mounting Rate]]+Mon_ILR2[[#This Row],[Unit Rate]]*Mon_ILR2[[#This Row],[New Quantity Required ]]</f>
        <v>9466</v>
      </c>
      <c r="X31" s="8"/>
      <c r="Y31" s="246" t="s">
        <v>988</v>
      </c>
      <c r="Z31" s="6" t="s">
        <v>45</v>
      </c>
      <c r="AA31" s="6" t="s">
        <v>46</v>
      </c>
      <c r="AB31" s="6" t="s">
        <v>47</v>
      </c>
      <c r="AC31" s="6" t="s">
        <v>48</v>
      </c>
      <c r="AD31" s="6" t="s">
        <v>49</v>
      </c>
      <c r="AE31" s="6" t="s">
        <v>50</v>
      </c>
      <c r="AF31" s="6" t="s">
        <v>50</v>
      </c>
      <c r="AG31" s="6" t="s">
        <v>50</v>
      </c>
      <c r="AH31" s="6" t="s">
        <v>50</v>
      </c>
      <c r="AI31" s="6" t="s">
        <v>51</v>
      </c>
      <c r="AJ31" s="6" t="s">
        <v>50</v>
      </c>
      <c r="AK31" s="6" t="s">
        <v>50</v>
      </c>
      <c r="AL31" s="6" t="s">
        <v>52</v>
      </c>
      <c r="AM31" s="6" t="s">
        <v>53</v>
      </c>
      <c r="AN31" s="6" t="s">
        <v>50</v>
      </c>
      <c r="AO31" s="6" t="s">
        <v>54</v>
      </c>
    </row>
    <row r="32" spans="2:41" ht="75" x14ac:dyDescent="0.25">
      <c r="B32" s="207" t="s">
        <v>161</v>
      </c>
      <c r="C32" s="66" t="s">
        <v>191</v>
      </c>
      <c r="D32" s="4" t="s">
        <v>270</v>
      </c>
      <c r="E32" s="4" t="s">
        <v>1027</v>
      </c>
      <c r="F32" s="4" t="s">
        <v>932</v>
      </c>
      <c r="G32" s="4" t="s">
        <v>39</v>
      </c>
      <c r="H32" s="208">
        <v>1</v>
      </c>
      <c r="I32" s="4"/>
      <c r="J32" s="15"/>
      <c r="K32" s="4" t="str">
        <f>_xlfn.IFNA(VLOOKUP($J32,WH_Data[],6,FALSE),"")</f>
        <v/>
      </c>
      <c r="L32" s="4" t="str">
        <f>_xlfn.IFNA(VLOOKUP($J32,WH_Data[],3,FALSE),"")</f>
        <v/>
      </c>
      <c r="M32" s="4" t="str">
        <f>_xlfn.IFNA(VLOOKUP($J32,WH_Data[],5,FALSE),"")</f>
        <v/>
      </c>
      <c r="N32" s="4" t="str">
        <f>_xlfn.IFNA(VLOOKUP($J32,WH_Data[],7,FALSE),"")</f>
        <v/>
      </c>
      <c r="O32" s="4" t="str">
        <f>_xlfn.IFNA(VLOOKUP($J32,WH_Data[],8,FALSE),"")</f>
        <v/>
      </c>
      <c r="P32" s="8"/>
      <c r="Q32" s="209">
        <f>Mon_ILR2[[#This Row],[Qty Required]]-Mon_ILR2[[#This Row],[QTY Transfer]]</f>
        <v>1</v>
      </c>
      <c r="R32" s="66" t="s">
        <v>905</v>
      </c>
      <c r="S32" s="66" t="s">
        <v>931</v>
      </c>
      <c r="T32" s="210">
        <f>_xlfn.IFNA(VLOOKUP(Mon_ILR2[[#This Row],[New Model]],PhilipsLibary[],4,FALSE),"0")</f>
        <v>6460</v>
      </c>
      <c r="U32" s="210">
        <f>_xlfn.IFNA(VLOOKUP(Mon_ILR2[[#This Row],[New Model]],PhilipsLibary[],5,FALSE),"0")</f>
        <v>1127</v>
      </c>
      <c r="V32" s="210">
        <v>1879</v>
      </c>
      <c r="W32" s="210">
        <f>Mon_ILR2[[#This Row],[Accessory Rate]]+Mon_ILR2[[#This Row],[Mounting Rate]]+Mon_ILR2[[#This Row],[Unit Rate]]*Mon_ILR2[[#This Row],[New Quantity Required ]]</f>
        <v>9466</v>
      </c>
      <c r="X32" s="8"/>
      <c r="Y32" s="246" t="s">
        <v>988</v>
      </c>
      <c r="Z32" s="6" t="s">
        <v>45</v>
      </c>
      <c r="AA32" s="6" t="s">
        <v>46</v>
      </c>
      <c r="AB32" s="6" t="s">
        <v>47</v>
      </c>
      <c r="AC32" s="6" t="s">
        <v>48</v>
      </c>
      <c r="AD32" s="6" t="s">
        <v>49</v>
      </c>
      <c r="AE32" s="6" t="s">
        <v>50</v>
      </c>
      <c r="AF32" s="6" t="s">
        <v>50</v>
      </c>
      <c r="AG32" s="6" t="s">
        <v>50</v>
      </c>
      <c r="AH32" s="6" t="s">
        <v>50</v>
      </c>
      <c r="AI32" s="6" t="s">
        <v>51</v>
      </c>
      <c r="AJ32" s="6" t="s">
        <v>50</v>
      </c>
      <c r="AK32" s="6" t="s">
        <v>50</v>
      </c>
      <c r="AL32" s="6" t="s">
        <v>52</v>
      </c>
      <c r="AM32" s="6" t="s">
        <v>53</v>
      </c>
      <c r="AN32" s="6" t="s">
        <v>50</v>
      </c>
      <c r="AO32" s="6" t="s">
        <v>54</v>
      </c>
    </row>
    <row r="33" spans="2:41" ht="75" x14ac:dyDescent="0.25">
      <c r="B33" s="207" t="s">
        <v>161</v>
      </c>
      <c r="C33" s="66" t="s">
        <v>191</v>
      </c>
      <c r="D33" s="4" t="s">
        <v>270</v>
      </c>
      <c r="E33" s="4" t="s">
        <v>1027</v>
      </c>
      <c r="F33" s="4" t="s">
        <v>932</v>
      </c>
      <c r="G33" s="4" t="s">
        <v>39</v>
      </c>
      <c r="H33" s="208">
        <v>1</v>
      </c>
      <c r="I33" s="4"/>
      <c r="J33" s="15"/>
      <c r="K33" s="4" t="str">
        <f>_xlfn.IFNA(VLOOKUP($J33,WH_Data[],6,FALSE),"")</f>
        <v/>
      </c>
      <c r="L33" s="4" t="str">
        <f>_xlfn.IFNA(VLOOKUP($J33,WH_Data[],3,FALSE),"")</f>
        <v/>
      </c>
      <c r="M33" s="4" t="str">
        <f>_xlfn.IFNA(VLOOKUP($J33,WH_Data[],5,FALSE),"")</f>
        <v/>
      </c>
      <c r="N33" s="4" t="str">
        <f>_xlfn.IFNA(VLOOKUP($J33,WH_Data[],7,FALSE),"")</f>
        <v/>
      </c>
      <c r="O33" s="4" t="str">
        <f>_xlfn.IFNA(VLOOKUP($J33,WH_Data[],8,FALSE),"")</f>
        <v/>
      </c>
      <c r="P33" s="8"/>
      <c r="Q33" s="209">
        <f>Mon_ILR2[[#This Row],[Qty Required]]-Mon_ILR2[[#This Row],[QTY Transfer]]</f>
        <v>1</v>
      </c>
      <c r="R33" s="66" t="s">
        <v>905</v>
      </c>
      <c r="S33" s="66" t="s">
        <v>931</v>
      </c>
      <c r="T33" s="210">
        <f>_xlfn.IFNA(VLOOKUP(Mon_ILR2[[#This Row],[New Model]],PhilipsLibary[],4,FALSE),"0")</f>
        <v>6460</v>
      </c>
      <c r="U33" s="210">
        <f>_xlfn.IFNA(VLOOKUP(Mon_ILR2[[#This Row],[New Model]],PhilipsLibary[],5,FALSE),"0")</f>
        <v>1127</v>
      </c>
      <c r="V33" s="210">
        <v>1879</v>
      </c>
      <c r="W33" s="210">
        <f>Mon_ILR2[[#This Row],[Accessory Rate]]+Mon_ILR2[[#This Row],[Mounting Rate]]+Mon_ILR2[[#This Row],[Unit Rate]]*Mon_ILR2[[#This Row],[New Quantity Required ]]</f>
        <v>9466</v>
      </c>
      <c r="X33" s="8"/>
      <c r="Y33" s="246" t="s">
        <v>988</v>
      </c>
      <c r="Z33" s="6" t="s">
        <v>45</v>
      </c>
      <c r="AA33" s="6" t="s">
        <v>46</v>
      </c>
      <c r="AB33" s="6" t="s">
        <v>47</v>
      </c>
      <c r="AC33" s="6" t="s">
        <v>48</v>
      </c>
      <c r="AD33" s="6" t="s">
        <v>49</v>
      </c>
      <c r="AE33" s="6" t="s">
        <v>50</v>
      </c>
      <c r="AF33" s="6" t="s">
        <v>50</v>
      </c>
      <c r="AG33" s="6" t="s">
        <v>50</v>
      </c>
      <c r="AH33" s="6" t="s">
        <v>50</v>
      </c>
      <c r="AI33" s="6" t="s">
        <v>51</v>
      </c>
      <c r="AJ33" s="6" t="s">
        <v>50</v>
      </c>
      <c r="AK33" s="6" t="s">
        <v>50</v>
      </c>
      <c r="AL33" s="6" t="s">
        <v>52</v>
      </c>
      <c r="AM33" s="6" t="s">
        <v>53</v>
      </c>
      <c r="AN33" s="6" t="s">
        <v>50</v>
      </c>
      <c r="AO33" s="6" t="s">
        <v>54</v>
      </c>
    </row>
    <row r="34" spans="2:41" ht="45" x14ac:dyDescent="0.25">
      <c r="B34" s="207" t="s">
        <v>275</v>
      </c>
      <c r="C34" s="66" t="s">
        <v>645</v>
      </c>
      <c r="D34" s="4" t="s">
        <v>660</v>
      </c>
      <c r="E34" s="4" t="s">
        <v>1025</v>
      </c>
      <c r="F34" s="4" t="s">
        <v>1031</v>
      </c>
      <c r="G34" s="4" t="s">
        <v>39</v>
      </c>
      <c r="H34" s="208">
        <v>1</v>
      </c>
      <c r="I34" s="4"/>
      <c r="J34" s="15"/>
      <c r="K34" s="4" t="str">
        <f>_xlfn.IFNA(VLOOKUP($J34,WH_Data[],6,FALSE),"")</f>
        <v/>
      </c>
      <c r="L34" s="4" t="str">
        <f>_xlfn.IFNA(VLOOKUP($J34,WH_Data[],3,FALSE),"")</f>
        <v/>
      </c>
      <c r="M34" s="4" t="str">
        <f>_xlfn.IFNA(VLOOKUP($J34,WH_Data[],5,FALSE),"")</f>
        <v/>
      </c>
      <c r="N34" s="4" t="str">
        <f>_xlfn.IFNA(VLOOKUP($J34,WH_Data[],7,FALSE),"")</f>
        <v/>
      </c>
      <c r="O34" s="4" t="str">
        <f>_xlfn.IFNA(VLOOKUP($J34,WH_Data[],8,FALSE),"")</f>
        <v/>
      </c>
      <c r="P34" s="8"/>
      <c r="Q34" s="209">
        <f>Mon_ILR2[[#This Row],[Qty Required]]-Mon_ILR2[[#This Row],[QTY Transfer]]</f>
        <v>1</v>
      </c>
      <c r="R34" s="66" t="s">
        <v>905</v>
      </c>
      <c r="S34" s="66" t="s">
        <v>960</v>
      </c>
      <c r="T34" s="210">
        <v>93179</v>
      </c>
      <c r="U34" s="210">
        <v>0</v>
      </c>
      <c r="V34" s="210">
        <f>_xlfn.IFNA(VLOOKUP(Mon_ILR2[[#This Row],[New Model]],PhilipsLibary[],5,FALSE),"0")</f>
        <v>0</v>
      </c>
      <c r="W34" s="210">
        <f>Mon_ILR2[[#This Row],[Accessory Rate]]+Mon_ILR2[[#This Row],[Mounting Rate]]+Mon_ILR2[[#This Row],[Unit Rate]]*Mon_ILR2[[#This Row],[New Quantity Required ]]</f>
        <v>93179</v>
      </c>
      <c r="X34" s="8"/>
      <c r="Y34" s="246" t="s">
        <v>2157</v>
      </c>
      <c r="Z34" s="6" t="s">
        <v>651</v>
      </c>
      <c r="AA34" s="6" t="s">
        <v>652</v>
      </c>
      <c r="AB34" s="6" t="s">
        <v>50</v>
      </c>
      <c r="AC34" s="6" t="s">
        <v>50</v>
      </c>
      <c r="AD34" s="6" t="s">
        <v>49</v>
      </c>
      <c r="AE34" s="6" t="s">
        <v>50</v>
      </c>
      <c r="AF34" s="6" t="s">
        <v>50</v>
      </c>
      <c r="AG34" s="6" t="s">
        <v>50</v>
      </c>
      <c r="AH34" s="6" t="s">
        <v>50</v>
      </c>
      <c r="AI34" s="6" t="s">
        <v>50</v>
      </c>
      <c r="AJ34" s="6" t="s">
        <v>50</v>
      </c>
      <c r="AK34" s="6" t="s">
        <v>50</v>
      </c>
      <c r="AL34" s="6" t="s">
        <v>52</v>
      </c>
      <c r="AM34" s="6" t="s">
        <v>50</v>
      </c>
      <c r="AN34" s="6" t="s">
        <v>50</v>
      </c>
      <c r="AO34" s="6" t="s">
        <v>54</v>
      </c>
    </row>
    <row r="35" spans="2:41" ht="75" x14ac:dyDescent="0.25">
      <c r="B35" s="207" t="s">
        <v>275</v>
      </c>
      <c r="C35" s="66" t="s">
        <v>645</v>
      </c>
      <c r="D35" s="4" t="s">
        <v>660</v>
      </c>
      <c r="E35" s="4" t="s">
        <v>1025</v>
      </c>
      <c r="F35" s="4" t="s">
        <v>654</v>
      </c>
      <c r="G35" s="4" t="s">
        <v>39</v>
      </c>
      <c r="H35" s="208">
        <v>3</v>
      </c>
      <c r="I35" s="4"/>
      <c r="J35" s="15"/>
      <c r="K35" s="4" t="str">
        <f>_xlfn.IFNA(VLOOKUP($J35,WH_Data[],6,FALSE),"")</f>
        <v/>
      </c>
      <c r="L35" s="4" t="str">
        <f>_xlfn.IFNA(VLOOKUP($J35,WH_Data[],3,FALSE),"")</f>
        <v/>
      </c>
      <c r="M35" s="4" t="str">
        <f>_xlfn.IFNA(VLOOKUP($J35,WH_Data[],5,FALSE),"")</f>
        <v/>
      </c>
      <c r="N35" s="4" t="str">
        <f>_xlfn.IFNA(VLOOKUP($J35,WH_Data[],7,FALSE),"")</f>
        <v/>
      </c>
      <c r="O35" s="4" t="str">
        <f>_xlfn.IFNA(VLOOKUP($J35,WH_Data[],8,FALSE),"")</f>
        <v/>
      </c>
      <c r="P35" s="8"/>
      <c r="Q35" s="275">
        <v>2</v>
      </c>
      <c r="R35" s="66" t="s">
        <v>905</v>
      </c>
      <c r="S35" s="66" t="s">
        <v>903</v>
      </c>
      <c r="T35" s="210">
        <f>_xlfn.IFNA(VLOOKUP(Mon_ILR2[[#This Row],[New Model]],PhilipsLibary[],4,FALSE),"0")</f>
        <v>2362</v>
      </c>
      <c r="U35" s="303">
        <v>398</v>
      </c>
      <c r="V35" s="210">
        <f>_xlfn.IFNA(VLOOKUP(Mon_ILR2[[#This Row],[New Model]],PhilipsLibary[],5,FALSE),"0")</f>
        <v>0</v>
      </c>
      <c r="W35" s="210">
        <f>Mon_ILR2[[#This Row],[Accessory Rate]]+Mon_ILR2[[#This Row],[Mounting Rate]]+Mon_ILR2[[#This Row],[Unit Rate]]*Mon_ILR2[[#This Row],[New Quantity Required ]]</f>
        <v>5122</v>
      </c>
      <c r="X35" s="8"/>
      <c r="Y35" s="257" t="s">
        <v>2182</v>
      </c>
      <c r="Z35" s="6" t="s">
        <v>643</v>
      </c>
      <c r="AA35" s="6" t="s">
        <v>50</v>
      </c>
      <c r="AB35" s="6" t="s">
        <v>50</v>
      </c>
      <c r="AC35" s="6" t="s">
        <v>50</v>
      </c>
      <c r="AD35" s="6" t="s">
        <v>50</v>
      </c>
      <c r="AE35" s="6" t="s">
        <v>50</v>
      </c>
      <c r="AF35" s="6" t="s">
        <v>50</v>
      </c>
      <c r="AG35" s="6" t="s">
        <v>50</v>
      </c>
      <c r="AH35" s="6" t="s">
        <v>50</v>
      </c>
      <c r="AI35" s="6" t="s">
        <v>50</v>
      </c>
      <c r="AJ35" s="6" t="s">
        <v>50</v>
      </c>
      <c r="AK35" s="6" t="s">
        <v>50</v>
      </c>
      <c r="AL35" s="6" t="s">
        <v>50</v>
      </c>
      <c r="AM35" s="6" t="s">
        <v>50</v>
      </c>
      <c r="AN35" s="6" t="s">
        <v>50</v>
      </c>
      <c r="AO35" s="6" t="s">
        <v>54</v>
      </c>
    </row>
    <row r="36" spans="2:41" ht="135" x14ac:dyDescent="0.25">
      <c r="B36" s="207" t="s">
        <v>275</v>
      </c>
      <c r="C36" s="66" t="s">
        <v>609</v>
      </c>
      <c r="D36" s="4" t="s">
        <v>736</v>
      </c>
      <c r="E36" s="4" t="s">
        <v>1027</v>
      </c>
      <c r="F36" s="4" t="s">
        <v>932</v>
      </c>
      <c r="G36" s="4" t="s">
        <v>39</v>
      </c>
      <c r="H36" s="208">
        <v>1</v>
      </c>
      <c r="I36" s="4"/>
      <c r="J36" s="46" t="s">
        <v>273</v>
      </c>
      <c r="K36" s="4" t="str">
        <f>_xlfn.IFNA(VLOOKUP($J36,WH_Data[],6,FALSE),"")</f>
        <v>MONITORING SYSTEMS, PHYSIOLOGIC</v>
      </c>
      <c r="L36" s="4" t="str">
        <f>_xlfn.IFNA(VLOOKUP($J36,WH_Data[],3,FALSE),"")</f>
        <v>PHILIPS MEDICAL SYSTEMS AUSTRA</v>
      </c>
      <c r="M36" s="4" t="str">
        <f>_xlfn.IFNA(VLOOKUP($J36,WH_Data[],5,FALSE),"")</f>
        <v>IntelliVue MX450</v>
      </c>
      <c r="N36" s="4" t="str">
        <f>_xlfn.IFNA(VLOOKUP($J36,WH_Data[],7,FALSE),"")</f>
        <v>DE35122844</v>
      </c>
      <c r="O36" s="4" t="str">
        <f>_xlfn.IFNA(VLOOKUP($J36,WH_Data[],8,FALSE),"")</f>
        <v>EMERGENCY DEPARTMENT</v>
      </c>
      <c r="P36" s="8">
        <v>1</v>
      </c>
      <c r="Q36" s="209">
        <f>Mon_ILR2[[#This Row],[Qty Required]]-Mon_ILR2[[#This Row],[QTY Transfer]]</f>
        <v>0</v>
      </c>
      <c r="R36" s="66" t="s">
        <v>905</v>
      </c>
      <c r="S36" s="66" t="s">
        <v>931</v>
      </c>
      <c r="T36" s="210">
        <v>629</v>
      </c>
      <c r="U36" s="210">
        <f>_xlfn.IFNA(VLOOKUP(Mon_ILR2[[#This Row],[New Model]],PhilipsLibary[],5,FALSE),"0")</f>
        <v>1127</v>
      </c>
      <c r="V36" s="210">
        <v>1659</v>
      </c>
      <c r="W36" s="210">
        <v>3415</v>
      </c>
      <c r="X36" s="246" t="s">
        <v>1028</v>
      </c>
      <c r="Y36" s="246" t="s">
        <v>988</v>
      </c>
      <c r="Z36" s="6" t="s">
        <v>45</v>
      </c>
      <c r="AA36" s="6" t="s">
        <v>46</v>
      </c>
      <c r="AB36" s="6" t="s">
        <v>47</v>
      </c>
      <c r="AC36" s="6" t="s">
        <v>48</v>
      </c>
      <c r="AD36" s="6" t="s">
        <v>49</v>
      </c>
      <c r="AE36" s="6" t="s">
        <v>50</v>
      </c>
      <c r="AF36" s="6" t="s">
        <v>50</v>
      </c>
      <c r="AG36" s="6" t="s">
        <v>50</v>
      </c>
      <c r="AH36" s="6" t="s">
        <v>50</v>
      </c>
      <c r="AI36" s="6" t="s">
        <v>51</v>
      </c>
      <c r="AJ36" s="6" t="s">
        <v>50</v>
      </c>
      <c r="AK36" s="6" t="s">
        <v>50</v>
      </c>
      <c r="AL36" s="6" t="s">
        <v>52</v>
      </c>
      <c r="AM36" s="6" t="s">
        <v>53</v>
      </c>
      <c r="AN36" s="6" t="s">
        <v>50</v>
      </c>
      <c r="AO36" s="6" t="s">
        <v>54</v>
      </c>
    </row>
    <row r="37" spans="2:41" ht="135" x14ac:dyDescent="0.25">
      <c r="B37" s="207" t="s">
        <v>275</v>
      </c>
      <c r="C37" s="66" t="s">
        <v>609</v>
      </c>
      <c r="D37" s="4" t="s">
        <v>746</v>
      </c>
      <c r="E37" s="4" t="s">
        <v>1027</v>
      </c>
      <c r="F37" s="4" t="s">
        <v>932</v>
      </c>
      <c r="G37" s="4" t="s">
        <v>39</v>
      </c>
      <c r="H37" s="208">
        <v>1</v>
      </c>
      <c r="I37" s="4"/>
      <c r="J37" s="46" t="s">
        <v>253</v>
      </c>
      <c r="K37" s="4" t="str">
        <f>_xlfn.IFNA(VLOOKUP($J37,WH_Data[],6,FALSE),"")</f>
        <v>MONITORING SYSTEMS, PHYSIOLOGIC</v>
      </c>
      <c r="L37" s="4" t="str">
        <f>_xlfn.IFNA(VLOOKUP($J37,WH_Data[],3,FALSE),"")</f>
        <v>PHILIPS MEDICAL SYSTEMS AUSTRA</v>
      </c>
      <c r="M37" s="4" t="str">
        <f>_xlfn.IFNA(VLOOKUP($J37,WH_Data[],5,FALSE),"")</f>
        <v>IntelliVue MX450</v>
      </c>
      <c r="N37" s="4" t="str">
        <f>_xlfn.IFNA(VLOOKUP($J37,WH_Data[],7,FALSE),"")</f>
        <v>DE35157533</v>
      </c>
      <c r="O37" s="4" t="str">
        <f>_xlfn.IFNA(VLOOKUP($J37,WH_Data[],8,FALSE),"")</f>
        <v>EMERGENCY DEPARTMENT</v>
      </c>
      <c r="P37" s="8">
        <v>1</v>
      </c>
      <c r="Q37" s="209">
        <f>Mon_ILR2[[#This Row],[Qty Required]]-Mon_ILR2[[#This Row],[QTY Transfer]]</f>
        <v>0</v>
      </c>
      <c r="R37" s="66" t="s">
        <v>905</v>
      </c>
      <c r="S37" s="66" t="s">
        <v>931</v>
      </c>
      <c r="T37" s="210">
        <v>629</v>
      </c>
      <c r="U37" s="210">
        <f>_xlfn.IFNA(VLOOKUP(Mon_ILR2[[#This Row],[New Model]],PhilipsLibary[],5,FALSE),"0")</f>
        <v>1127</v>
      </c>
      <c r="V37" s="210">
        <v>1659</v>
      </c>
      <c r="W37" s="210">
        <v>3415</v>
      </c>
      <c r="X37" s="246" t="s">
        <v>1028</v>
      </c>
      <c r="Y37" s="246" t="s">
        <v>988</v>
      </c>
      <c r="Z37" s="6" t="s">
        <v>45</v>
      </c>
      <c r="AA37" s="6" t="s">
        <v>46</v>
      </c>
      <c r="AB37" s="6" t="s">
        <v>47</v>
      </c>
      <c r="AC37" s="6" t="s">
        <v>48</v>
      </c>
      <c r="AD37" s="6" t="s">
        <v>49</v>
      </c>
      <c r="AE37" s="6" t="s">
        <v>50</v>
      </c>
      <c r="AF37" s="6" t="s">
        <v>50</v>
      </c>
      <c r="AG37" s="6" t="s">
        <v>50</v>
      </c>
      <c r="AH37" s="6" t="s">
        <v>50</v>
      </c>
      <c r="AI37" s="6" t="s">
        <v>51</v>
      </c>
      <c r="AJ37" s="6" t="s">
        <v>50</v>
      </c>
      <c r="AK37" s="6" t="s">
        <v>50</v>
      </c>
      <c r="AL37" s="6" t="s">
        <v>52</v>
      </c>
      <c r="AM37" s="6" t="s">
        <v>53</v>
      </c>
      <c r="AN37" s="6" t="s">
        <v>50</v>
      </c>
      <c r="AO37" s="6" t="s">
        <v>54</v>
      </c>
    </row>
    <row r="38" spans="2:41" ht="135" x14ac:dyDescent="0.25">
      <c r="B38" s="207" t="s">
        <v>275</v>
      </c>
      <c r="C38" s="66" t="s">
        <v>700</v>
      </c>
      <c r="D38" s="4" t="s">
        <v>701</v>
      </c>
      <c r="E38" s="4" t="s">
        <v>1027</v>
      </c>
      <c r="F38" s="4" t="s">
        <v>932</v>
      </c>
      <c r="G38" s="4" t="s">
        <v>39</v>
      </c>
      <c r="H38" s="208">
        <v>1</v>
      </c>
      <c r="I38" s="4"/>
      <c r="J38" s="46" t="s">
        <v>249</v>
      </c>
      <c r="K38" s="4" t="str">
        <f>_xlfn.IFNA(VLOOKUP($J38,WH_Data[],6,FALSE),"")</f>
        <v>MONITORING SYSTEMS, PHYSIOLOGIC</v>
      </c>
      <c r="L38" s="4" t="str">
        <f>_xlfn.IFNA(VLOOKUP($J38,WH_Data[],3,FALSE),"")</f>
        <v>PHILIPS MEDICAL SYSTEMS AUSTRA</v>
      </c>
      <c r="M38" s="4" t="str">
        <f>_xlfn.IFNA(VLOOKUP($J38,WH_Data[],5,FALSE),"")</f>
        <v>IntelliVue MX450</v>
      </c>
      <c r="N38" s="4" t="str">
        <f>_xlfn.IFNA(VLOOKUP($J38,WH_Data[],7,FALSE),"")</f>
        <v>DE35157531</v>
      </c>
      <c r="O38" s="4" t="str">
        <f>_xlfn.IFNA(VLOOKUP($J38,WH_Data[],8,FALSE),"")</f>
        <v>EMERGENCY DEPARTMENT</v>
      </c>
      <c r="P38" s="8">
        <v>1</v>
      </c>
      <c r="Q38" s="209">
        <f>Mon_ILR2[[#This Row],[Qty Required]]-Mon_ILR2[[#This Row],[QTY Transfer]]</f>
        <v>0</v>
      </c>
      <c r="R38" s="66" t="s">
        <v>905</v>
      </c>
      <c r="S38" s="66" t="s">
        <v>931</v>
      </c>
      <c r="T38" s="210">
        <v>629</v>
      </c>
      <c r="U38" s="210">
        <f>_xlfn.IFNA(VLOOKUP(Mon_ILR2[[#This Row],[New Model]],PhilipsLibary[],5,FALSE),"0")</f>
        <v>1127</v>
      </c>
      <c r="V38" s="210">
        <v>1659</v>
      </c>
      <c r="W38" s="210">
        <v>3415</v>
      </c>
      <c r="X38" s="246" t="s">
        <v>1028</v>
      </c>
      <c r="Y38" s="246" t="s">
        <v>988</v>
      </c>
      <c r="Z38" s="6" t="s">
        <v>45</v>
      </c>
      <c r="AA38" s="6" t="s">
        <v>46</v>
      </c>
      <c r="AB38" s="6" t="s">
        <v>47</v>
      </c>
      <c r="AC38" s="6" t="s">
        <v>48</v>
      </c>
      <c r="AD38" s="6" t="s">
        <v>49</v>
      </c>
      <c r="AE38" s="6" t="s">
        <v>50</v>
      </c>
      <c r="AF38" s="6" t="s">
        <v>50</v>
      </c>
      <c r="AG38" s="6" t="s">
        <v>50</v>
      </c>
      <c r="AH38" s="6" t="s">
        <v>50</v>
      </c>
      <c r="AI38" s="6" t="s">
        <v>51</v>
      </c>
      <c r="AJ38" s="6" t="s">
        <v>50</v>
      </c>
      <c r="AK38" s="6" t="s">
        <v>50</v>
      </c>
      <c r="AL38" s="6" t="s">
        <v>52</v>
      </c>
      <c r="AM38" s="6" t="s">
        <v>53</v>
      </c>
      <c r="AN38" s="6" t="s">
        <v>50</v>
      </c>
      <c r="AO38" s="6" t="s">
        <v>54</v>
      </c>
    </row>
    <row r="39" spans="2:41" ht="135" x14ac:dyDescent="0.25">
      <c r="B39" s="207" t="s">
        <v>275</v>
      </c>
      <c r="C39" s="66" t="s">
        <v>676</v>
      </c>
      <c r="D39" s="4" t="s">
        <v>677</v>
      </c>
      <c r="E39" s="4" t="s">
        <v>1027</v>
      </c>
      <c r="F39" s="4" t="s">
        <v>932</v>
      </c>
      <c r="G39" s="4" t="s">
        <v>39</v>
      </c>
      <c r="H39" s="208">
        <v>1</v>
      </c>
      <c r="I39" s="4"/>
      <c r="J39" s="46" t="s">
        <v>256</v>
      </c>
      <c r="K39" s="4" t="str">
        <f>_xlfn.IFNA(VLOOKUP($J39,WH_Data[],6,FALSE),"")</f>
        <v>MONITORING SYSTEMS, PHYSIOLOGIC</v>
      </c>
      <c r="L39" s="4" t="str">
        <f>_xlfn.IFNA(VLOOKUP($J39,WH_Data[],3,FALSE),"")</f>
        <v>PHILIPS MEDICAL SYSTEMS AUSTRA</v>
      </c>
      <c r="M39" s="4" t="str">
        <f>_xlfn.IFNA(VLOOKUP($J39,WH_Data[],5,FALSE),"")</f>
        <v>IntelliVue MX450</v>
      </c>
      <c r="N39" s="4" t="str">
        <f>_xlfn.IFNA(VLOOKUP($J39,WH_Data[],7,FALSE),"")</f>
        <v>DE35157532</v>
      </c>
      <c r="O39" s="4" t="str">
        <f>_xlfn.IFNA(VLOOKUP($J39,WH_Data[],8,FALSE),"")</f>
        <v>EMERGENCY DEPARTMENT</v>
      </c>
      <c r="P39" s="8">
        <v>1</v>
      </c>
      <c r="Q39" s="209">
        <f>Mon_ILR2[[#This Row],[Qty Required]]-Mon_ILR2[[#This Row],[QTY Transfer]]</f>
        <v>0</v>
      </c>
      <c r="R39" s="66" t="s">
        <v>905</v>
      </c>
      <c r="S39" s="66" t="s">
        <v>931</v>
      </c>
      <c r="T39" s="210">
        <v>629</v>
      </c>
      <c r="U39" s="210">
        <f>_xlfn.IFNA(VLOOKUP(Mon_ILR2[[#This Row],[New Model]],PhilipsLibary[],5,FALSE),"0")</f>
        <v>1127</v>
      </c>
      <c r="V39" s="210">
        <v>1659</v>
      </c>
      <c r="W39" s="210">
        <v>3415</v>
      </c>
      <c r="X39" s="246" t="s">
        <v>1028</v>
      </c>
      <c r="Y39" s="246" t="s">
        <v>988</v>
      </c>
      <c r="Z39" s="6" t="s">
        <v>45</v>
      </c>
      <c r="AA39" s="6" t="s">
        <v>46</v>
      </c>
      <c r="AB39" s="6" t="s">
        <v>47</v>
      </c>
      <c r="AC39" s="6" t="s">
        <v>48</v>
      </c>
      <c r="AD39" s="6" t="s">
        <v>49</v>
      </c>
      <c r="AE39" s="6" t="s">
        <v>50</v>
      </c>
      <c r="AF39" s="6" t="s">
        <v>50</v>
      </c>
      <c r="AG39" s="6" t="s">
        <v>50</v>
      </c>
      <c r="AH39" s="6" t="s">
        <v>50</v>
      </c>
      <c r="AI39" s="6" t="s">
        <v>51</v>
      </c>
      <c r="AJ39" s="6" t="s">
        <v>50</v>
      </c>
      <c r="AK39" s="6" t="s">
        <v>50</v>
      </c>
      <c r="AL39" s="6" t="s">
        <v>52</v>
      </c>
      <c r="AM39" s="6" t="s">
        <v>53</v>
      </c>
      <c r="AN39" s="6" t="s">
        <v>50</v>
      </c>
      <c r="AO39" s="6" t="s">
        <v>54</v>
      </c>
    </row>
    <row r="40" spans="2:41" ht="135" x14ac:dyDescent="0.25">
      <c r="B40" s="207" t="s">
        <v>275</v>
      </c>
      <c r="C40" s="66" t="s">
        <v>676</v>
      </c>
      <c r="D40" s="4" t="s">
        <v>678</v>
      </c>
      <c r="E40" s="4" t="s">
        <v>1027</v>
      </c>
      <c r="F40" s="4" t="s">
        <v>932</v>
      </c>
      <c r="G40" s="4" t="s">
        <v>39</v>
      </c>
      <c r="H40" s="208">
        <v>1</v>
      </c>
      <c r="I40" s="4"/>
      <c r="J40" s="46" t="s">
        <v>271</v>
      </c>
      <c r="K40" s="4" t="str">
        <f>_xlfn.IFNA(VLOOKUP($J40,WH_Data[],6,FALSE),"")</f>
        <v>MONITORING SYSTEMS, PHYSIOLOGIC</v>
      </c>
      <c r="L40" s="4" t="str">
        <f>_xlfn.IFNA(VLOOKUP($J40,WH_Data[],3,FALSE),"")</f>
        <v>PHILIPS MEDICAL SYSTEMS AUSTRA</v>
      </c>
      <c r="M40" s="4" t="str">
        <f>_xlfn.IFNA(VLOOKUP($J40,WH_Data[],5,FALSE),"")</f>
        <v>IntelliVue MX450</v>
      </c>
      <c r="N40" s="4" t="str">
        <f>_xlfn.IFNA(VLOOKUP($J40,WH_Data[],7,FALSE),"")</f>
        <v>DE35157528</v>
      </c>
      <c r="O40" s="4" t="str">
        <f>_xlfn.IFNA(VLOOKUP($J40,WH_Data[],8,FALSE),"")</f>
        <v>EMERGENCY DEPARTMENT</v>
      </c>
      <c r="P40" s="8">
        <v>1</v>
      </c>
      <c r="Q40" s="209">
        <f>Mon_ILR2[[#This Row],[Qty Required]]-Mon_ILR2[[#This Row],[QTY Transfer]]</f>
        <v>0</v>
      </c>
      <c r="R40" s="66" t="s">
        <v>905</v>
      </c>
      <c r="S40" s="66" t="s">
        <v>931</v>
      </c>
      <c r="T40" s="210">
        <v>629</v>
      </c>
      <c r="U40" s="210">
        <f>_xlfn.IFNA(VLOOKUP(Mon_ILR2[[#This Row],[New Model]],PhilipsLibary[],5,FALSE),"0")</f>
        <v>1127</v>
      </c>
      <c r="V40" s="210">
        <v>1659</v>
      </c>
      <c r="W40" s="210">
        <v>3415</v>
      </c>
      <c r="X40" s="246" t="s">
        <v>1028</v>
      </c>
      <c r="Y40" s="246" t="s">
        <v>988</v>
      </c>
      <c r="Z40" s="6" t="s">
        <v>45</v>
      </c>
      <c r="AA40" s="6" t="s">
        <v>46</v>
      </c>
      <c r="AB40" s="6" t="s">
        <v>47</v>
      </c>
      <c r="AC40" s="6" t="s">
        <v>48</v>
      </c>
      <c r="AD40" s="6" t="s">
        <v>49</v>
      </c>
      <c r="AE40" s="6" t="s">
        <v>50</v>
      </c>
      <c r="AF40" s="6" t="s">
        <v>50</v>
      </c>
      <c r="AG40" s="6" t="s">
        <v>50</v>
      </c>
      <c r="AH40" s="6" t="s">
        <v>50</v>
      </c>
      <c r="AI40" s="6" t="s">
        <v>51</v>
      </c>
      <c r="AJ40" s="6" t="s">
        <v>50</v>
      </c>
      <c r="AK40" s="6" t="s">
        <v>50</v>
      </c>
      <c r="AL40" s="6" t="s">
        <v>52</v>
      </c>
      <c r="AM40" s="6" t="s">
        <v>53</v>
      </c>
      <c r="AN40" s="6" t="s">
        <v>50</v>
      </c>
      <c r="AO40" s="6" t="s">
        <v>54</v>
      </c>
    </row>
    <row r="41" spans="2:41" ht="180" x14ac:dyDescent="0.25">
      <c r="B41" s="207" t="s">
        <v>275</v>
      </c>
      <c r="C41" s="66" t="s">
        <v>382</v>
      </c>
      <c r="D41" s="4" t="s">
        <v>692</v>
      </c>
      <c r="E41" s="4" t="s">
        <v>1027</v>
      </c>
      <c r="F41" s="4" t="s">
        <v>932</v>
      </c>
      <c r="G41" s="4" t="s">
        <v>39</v>
      </c>
      <c r="H41" s="208">
        <v>1</v>
      </c>
      <c r="I41" s="4"/>
      <c r="J41" s="46" t="s">
        <v>259</v>
      </c>
      <c r="K41" s="4" t="str">
        <f>_xlfn.IFNA(VLOOKUP($J41,WH_Data[],6,FALSE),"")</f>
        <v>MONITORING SYSTEMS, PHYSIOLOGIC</v>
      </c>
      <c r="L41" s="4" t="str">
        <f>_xlfn.IFNA(VLOOKUP($J41,WH_Data[],3,FALSE),"")</f>
        <v>PHILIPS MEDICAL SYSTEMS AUSTRA</v>
      </c>
      <c r="M41" s="4" t="str">
        <f>_xlfn.IFNA(VLOOKUP($J41,WH_Data[],5,FALSE),"")</f>
        <v>IntelliVue MX450</v>
      </c>
      <c r="N41" s="4" t="str">
        <f>_xlfn.IFNA(VLOOKUP($J41,WH_Data[],7,FALSE),"")</f>
        <v>DE35157527</v>
      </c>
      <c r="O41" s="4" t="str">
        <f>_xlfn.IFNA(VLOOKUP($J41,WH_Data[],8,FALSE),"")</f>
        <v>EMERGENCY DEPARTMENT</v>
      </c>
      <c r="P41" s="8">
        <v>1</v>
      </c>
      <c r="Q41" s="209">
        <f>Mon_ILR2[[#This Row],[Qty Required]]-Mon_ILR2[[#This Row],[QTY Transfer]]</f>
        <v>0</v>
      </c>
      <c r="R41" s="66" t="s">
        <v>905</v>
      </c>
      <c r="S41" s="66" t="s">
        <v>931</v>
      </c>
      <c r="T41" s="303">
        <v>911</v>
      </c>
      <c r="U41" s="210">
        <f>_xlfn.IFNA(VLOOKUP(Mon_ILR2[[#This Row],[New Model]],PhilipsLibary[],5,FALSE),"0")</f>
        <v>1127</v>
      </c>
      <c r="V41" s="210">
        <v>1659</v>
      </c>
      <c r="W41" s="210">
        <v>3697</v>
      </c>
      <c r="X41" s="289" t="s">
        <v>2168</v>
      </c>
      <c r="Y41" s="257" t="s">
        <v>2169</v>
      </c>
      <c r="Z41" s="6" t="s">
        <v>45</v>
      </c>
      <c r="AA41" s="6" t="s">
        <v>46</v>
      </c>
      <c r="AB41" s="6" t="s">
        <v>47</v>
      </c>
      <c r="AC41" s="6" t="s">
        <v>48</v>
      </c>
      <c r="AD41" s="6" t="s">
        <v>49</v>
      </c>
      <c r="AE41" s="6" t="s">
        <v>50</v>
      </c>
      <c r="AF41" s="6" t="s">
        <v>50</v>
      </c>
      <c r="AG41" s="6" t="s">
        <v>50</v>
      </c>
      <c r="AH41" s="6" t="s">
        <v>50</v>
      </c>
      <c r="AI41" s="6" t="s">
        <v>51</v>
      </c>
      <c r="AJ41" s="6" t="s">
        <v>50</v>
      </c>
      <c r="AK41" s="6" t="s">
        <v>50</v>
      </c>
      <c r="AL41" s="6" t="s">
        <v>52</v>
      </c>
      <c r="AM41" s="6" t="s">
        <v>53</v>
      </c>
      <c r="AN41" s="6" t="s">
        <v>50</v>
      </c>
      <c r="AO41" s="6" t="s">
        <v>54</v>
      </c>
    </row>
    <row r="42" spans="2:41" ht="135" x14ac:dyDescent="0.25">
      <c r="B42" s="207" t="s">
        <v>275</v>
      </c>
      <c r="C42" s="66" t="s">
        <v>668</v>
      </c>
      <c r="D42" s="4" t="s">
        <v>669</v>
      </c>
      <c r="E42" s="4" t="s">
        <v>1027</v>
      </c>
      <c r="F42" s="4" t="s">
        <v>932</v>
      </c>
      <c r="G42" s="4" t="s">
        <v>39</v>
      </c>
      <c r="H42" s="208">
        <v>1</v>
      </c>
      <c r="I42" s="4"/>
      <c r="J42" s="46" t="s">
        <v>1032</v>
      </c>
      <c r="K42" s="4" t="str">
        <f>_xlfn.IFNA(VLOOKUP($J42,WH_Data[],6,FALSE),"")</f>
        <v>MONITORING SYSTEMS, PHYSIOLOGIC</v>
      </c>
      <c r="L42" s="4" t="str">
        <f>_xlfn.IFNA(VLOOKUP($J42,WH_Data[],3,FALSE),"")</f>
        <v>PHILIPS MEDICAL SYSTEMS AUSTRA</v>
      </c>
      <c r="M42" s="4" t="str">
        <f>_xlfn.IFNA(VLOOKUP($J42,WH_Data[],5,FALSE),"")</f>
        <v>IntelliVue MX450</v>
      </c>
      <c r="N42" s="4" t="str">
        <f>_xlfn.IFNA(VLOOKUP($J42,WH_Data[],7,FALSE),"")</f>
        <v>DE671K6651</v>
      </c>
      <c r="O42" s="4" t="str">
        <f>_xlfn.IFNA(VLOOKUP($J42,WH_Data[],8,FALSE),"")</f>
        <v>ED FH</v>
      </c>
      <c r="P42" s="8">
        <v>1</v>
      </c>
      <c r="Q42" s="209">
        <f>Mon_ILR2[[#This Row],[Qty Required]]-Mon_ILR2[[#This Row],[QTY Transfer]]</f>
        <v>0</v>
      </c>
      <c r="R42" s="66" t="s">
        <v>905</v>
      </c>
      <c r="S42" s="66" t="s">
        <v>931</v>
      </c>
      <c r="T42" s="210">
        <v>629</v>
      </c>
      <c r="U42" s="210">
        <f>_xlfn.IFNA(VLOOKUP(Mon_ILR2[[#This Row],[New Model]],PhilipsLibary[],5,FALSE),"0")</f>
        <v>1127</v>
      </c>
      <c r="V42" s="210">
        <v>1659</v>
      </c>
      <c r="W42" s="210">
        <v>3415</v>
      </c>
      <c r="X42" s="246" t="s">
        <v>1028</v>
      </c>
      <c r="Y42" s="246" t="s">
        <v>988</v>
      </c>
      <c r="Z42" s="6" t="s">
        <v>45</v>
      </c>
      <c r="AA42" s="6" t="s">
        <v>46</v>
      </c>
      <c r="AB42" s="6" t="s">
        <v>47</v>
      </c>
      <c r="AC42" s="6" t="s">
        <v>48</v>
      </c>
      <c r="AD42" s="6" t="s">
        <v>49</v>
      </c>
      <c r="AE42" s="6" t="s">
        <v>50</v>
      </c>
      <c r="AF42" s="6" t="s">
        <v>50</v>
      </c>
      <c r="AG42" s="6" t="s">
        <v>50</v>
      </c>
      <c r="AH42" s="6" t="s">
        <v>50</v>
      </c>
      <c r="AI42" s="6" t="s">
        <v>51</v>
      </c>
      <c r="AJ42" s="6" t="s">
        <v>50</v>
      </c>
      <c r="AK42" s="6" t="s">
        <v>50</v>
      </c>
      <c r="AL42" s="6" t="s">
        <v>52</v>
      </c>
      <c r="AM42" s="6" t="s">
        <v>53</v>
      </c>
      <c r="AN42" s="6" t="s">
        <v>50</v>
      </c>
      <c r="AO42" s="6" t="s">
        <v>54</v>
      </c>
    </row>
    <row r="43" spans="2:41" ht="135" x14ac:dyDescent="0.25">
      <c r="B43" s="207" t="s">
        <v>275</v>
      </c>
      <c r="C43" s="66" t="s">
        <v>670</v>
      </c>
      <c r="D43" s="4" t="s">
        <v>671</v>
      </c>
      <c r="E43" s="4" t="s">
        <v>1027</v>
      </c>
      <c r="F43" s="4" t="s">
        <v>932</v>
      </c>
      <c r="G43" s="4" t="s">
        <v>39</v>
      </c>
      <c r="H43" s="208">
        <v>1</v>
      </c>
      <c r="I43" s="4"/>
      <c r="J43" s="46" t="s">
        <v>392</v>
      </c>
      <c r="K43" s="4" t="str">
        <f>_xlfn.IFNA(VLOOKUP($J43,WH_Data[],6,FALSE),"")</f>
        <v>MONITORING SYSTEMS, PHYSIOLOGIC</v>
      </c>
      <c r="L43" s="4" t="str">
        <f>_xlfn.IFNA(VLOOKUP($J43,WH_Data[],3,FALSE),"")</f>
        <v>PHILIPS MEDICAL SYSTEMS AUSTRA</v>
      </c>
      <c r="M43" s="4" t="str">
        <f>_xlfn.IFNA(VLOOKUP($J43,WH_Data[],5,FALSE),"")</f>
        <v>IntelliVue MX450</v>
      </c>
      <c r="N43" s="4" t="str">
        <f>_xlfn.IFNA(VLOOKUP($J43,WH_Data[],7,FALSE),"")</f>
        <v>DE671K6571</v>
      </c>
      <c r="O43" s="4" t="str">
        <f>_xlfn.IFNA(VLOOKUP($J43,WH_Data[],8,FALSE),"")</f>
        <v>ED - SSU - 3A - FH</v>
      </c>
      <c r="P43" s="8">
        <v>1</v>
      </c>
      <c r="Q43" s="209">
        <f>Mon_ILR2[[#This Row],[Qty Required]]-Mon_ILR2[[#This Row],[QTY Transfer]]</f>
        <v>0</v>
      </c>
      <c r="R43" s="66" t="s">
        <v>905</v>
      </c>
      <c r="S43" s="66" t="s">
        <v>931</v>
      </c>
      <c r="T43" s="210">
        <v>629</v>
      </c>
      <c r="U43" s="210">
        <f>_xlfn.IFNA(VLOOKUP(Mon_ILR2[[#This Row],[New Model]],PhilipsLibary[],5,FALSE),"0")</f>
        <v>1127</v>
      </c>
      <c r="V43" s="210">
        <v>1659</v>
      </c>
      <c r="W43" s="210">
        <v>3415</v>
      </c>
      <c r="X43" s="246" t="s">
        <v>1028</v>
      </c>
      <c r="Y43" s="246" t="s">
        <v>988</v>
      </c>
      <c r="Z43" s="6" t="s">
        <v>45</v>
      </c>
      <c r="AA43" s="6" t="s">
        <v>46</v>
      </c>
      <c r="AB43" s="6" t="s">
        <v>47</v>
      </c>
      <c r="AC43" s="6" t="s">
        <v>48</v>
      </c>
      <c r="AD43" s="6" t="s">
        <v>49</v>
      </c>
      <c r="AE43" s="6" t="s">
        <v>50</v>
      </c>
      <c r="AF43" s="6" t="s">
        <v>50</v>
      </c>
      <c r="AG43" s="6" t="s">
        <v>50</v>
      </c>
      <c r="AH43" s="6" t="s">
        <v>50</v>
      </c>
      <c r="AI43" s="6" t="s">
        <v>51</v>
      </c>
      <c r="AJ43" s="6" t="s">
        <v>50</v>
      </c>
      <c r="AK43" s="6" t="s">
        <v>50</v>
      </c>
      <c r="AL43" s="6" t="s">
        <v>52</v>
      </c>
      <c r="AM43" s="6" t="s">
        <v>53</v>
      </c>
      <c r="AN43" s="6" t="s">
        <v>50</v>
      </c>
      <c r="AO43" s="6" t="s">
        <v>54</v>
      </c>
    </row>
    <row r="44" spans="2:41" ht="135" x14ac:dyDescent="0.25">
      <c r="B44" s="207" t="s">
        <v>275</v>
      </c>
      <c r="C44" s="66" t="s">
        <v>670</v>
      </c>
      <c r="D44" s="4" t="s">
        <v>686</v>
      </c>
      <c r="E44" s="4" t="s">
        <v>1027</v>
      </c>
      <c r="F44" s="4" t="s">
        <v>932</v>
      </c>
      <c r="G44" s="4" t="s">
        <v>39</v>
      </c>
      <c r="H44" s="208">
        <v>1</v>
      </c>
      <c r="I44" s="4"/>
      <c r="J44" s="46" t="s">
        <v>381</v>
      </c>
      <c r="K44" s="4" t="str">
        <f>_xlfn.IFNA(VLOOKUP($J44,WH_Data[],6,FALSE),"")</f>
        <v>MONITORING SYSTEMS, PHYSIOLOGIC</v>
      </c>
      <c r="L44" s="4" t="str">
        <f>_xlfn.IFNA(VLOOKUP($J44,WH_Data[],3,FALSE),"")</f>
        <v>PHILIPS MEDICAL SYSTEMS AUSTRA</v>
      </c>
      <c r="M44" s="4" t="str">
        <f>_xlfn.IFNA(VLOOKUP($J44,WH_Data[],5,FALSE),"")</f>
        <v>IntelliVue MX450</v>
      </c>
      <c r="N44" s="4" t="str">
        <f>_xlfn.IFNA(VLOOKUP($J44,WH_Data[],7,FALSE),"")</f>
        <v>DE671K6556</v>
      </c>
      <c r="O44" s="4" t="str">
        <f>_xlfn.IFNA(VLOOKUP($J44,WH_Data[],8,FALSE),"")</f>
        <v>ED - SSU - 3A - FH</v>
      </c>
      <c r="P44" s="8">
        <v>1</v>
      </c>
      <c r="Q44" s="209">
        <f>Mon_ILR2[[#This Row],[Qty Required]]-Mon_ILR2[[#This Row],[QTY Transfer]]</f>
        <v>0</v>
      </c>
      <c r="R44" s="66" t="s">
        <v>905</v>
      </c>
      <c r="S44" s="66" t="s">
        <v>931</v>
      </c>
      <c r="T44" s="210">
        <v>629</v>
      </c>
      <c r="U44" s="210">
        <f>_xlfn.IFNA(VLOOKUP(Mon_ILR2[[#This Row],[New Model]],PhilipsLibary[],5,FALSE),"0")</f>
        <v>1127</v>
      </c>
      <c r="V44" s="210">
        <v>1659</v>
      </c>
      <c r="W44" s="210">
        <v>3415</v>
      </c>
      <c r="X44" s="246" t="s">
        <v>1028</v>
      </c>
      <c r="Y44" s="246" t="s">
        <v>988</v>
      </c>
      <c r="Z44" s="6" t="s">
        <v>45</v>
      </c>
      <c r="AA44" s="6" t="s">
        <v>46</v>
      </c>
      <c r="AB44" s="6" t="s">
        <v>47</v>
      </c>
      <c r="AC44" s="6" t="s">
        <v>48</v>
      </c>
      <c r="AD44" s="6" t="s">
        <v>49</v>
      </c>
      <c r="AE44" s="6" t="s">
        <v>50</v>
      </c>
      <c r="AF44" s="6" t="s">
        <v>50</v>
      </c>
      <c r="AG44" s="6" t="s">
        <v>50</v>
      </c>
      <c r="AH44" s="6" t="s">
        <v>50</v>
      </c>
      <c r="AI44" s="6" t="s">
        <v>51</v>
      </c>
      <c r="AJ44" s="6" t="s">
        <v>50</v>
      </c>
      <c r="AK44" s="6" t="s">
        <v>50</v>
      </c>
      <c r="AL44" s="6" t="s">
        <v>52</v>
      </c>
      <c r="AM44" s="6" t="s">
        <v>53</v>
      </c>
      <c r="AN44" s="6" t="s">
        <v>50</v>
      </c>
      <c r="AO44" s="6" t="s">
        <v>54</v>
      </c>
    </row>
    <row r="45" spans="2:41" ht="135" x14ac:dyDescent="0.25">
      <c r="B45" s="207" t="s">
        <v>275</v>
      </c>
      <c r="C45" s="66" t="s">
        <v>734</v>
      </c>
      <c r="D45" s="4" t="s">
        <v>735</v>
      </c>
      <c r="E45" s="4" t="s">
        <v>1027</v>
      </c>
      <c r="F45" s="4" t="s">
        <v>932</v>
      </c>
      <c r="G45" s="4" t="s">
        <v>39</v>
      </c>
      <c r="H45" s="208">
        <v>1</v>
      </c>
      <c r="I45" s="4"/>
      <c r="J45" s="46" t="s">
        <v>386</v>
      </c>
      <c r="K45" s="4" t="str">
        <f>_xlfn.IFNA(VLOOKUP($J45,WH_Data[],6,FALSE),"")</f>
        <v>MONITORING SYSTEMS, PHYSIOLOGIC</v>
      </c>
      <c r="L45" s="4" t="str">
        <f>_xlfn.IFNA(VLOOKUP($J45,WH_Data[],3,FALSE),"")</f>
        <v>PHILIPS MEDICAL SYSTEMS AUSTRA</v>
      </c>
      <c r="M45" s="4" t="str">
        <f>_xlfn.IFNA(VLOOKUP($J45,WH_Data[],5,FALSE),"")</f>
        <v>IntelliVue MX450</v>
      </c>
      <c r="N45" s="4" t="str">
        <f>_xlfn.IFNA(VLOOKUP($J45,WH_Data[],7,FALSE),"")</f>
        <v>DE671K6586</v>
      </c>
      <c r="O45" s="4" t="str">
        <f>_xlfn.IFNA(VLOOKUP($J45,WH_Data[],8,FALSE),"")</f>
        <v>ED - FH</v>
      </c>
      <c r="P45" s="8">
        <v>1</v>
      </c>
      <c r="Q45" s="209">
        <f>Mon_ILR2[[#This Row],[Qty Required]]-Mon_ILR2[[#This Row],[QTY Transfer]]</f>
        <v>0</v>
      </c>
      <c r="R45" s="66" t="s">
        <v>905</v>
      </c>
      <c r="S45" s="66" t="s">
        <v>931</v>
      </c>
      <c r="T45" s="210">
        <v>629</v>
      </c>
      <c r="U45" s="210">
        <f>_xlfn.IFNA(VLOOKUP(Mon_ILR2[[#This Row],[New Model]],PhilipsLibary[],5,FALSE),"0")</f>
        <v>1127</v>
      </c>
      <c r="V45" s="210">
        <v>1659</v>
      </c>
      <c r="W45" s="210">
        <v>3415</v>
      </c>
      <c r="X45" s="246" t="s">
        <v>1028</v>
      </c>
      <c r="Y45" s="246" t="s">
        <v>988</v>
      </c>
      <c r="Z45" s="6" t="s">
        <v>45</v>
      </c>
      <c r="AA45" s="6" t="s">
        <v>46</v>
      </c>
      <c r="AB45" s="6" t="s">
        <v>47</v>
      </c>
      <c r="AC45" s="6" t="s">
        <v>48</v>
      </c>
      <c r="AD45" s="6" t="s">
        <v>49</v>
      </c>
      <c r="AE45" s="6" t="s">
        <v>50</v>
      </c>
      <c r="AF45" s="6" t="s">
        <v>50</v>
      </c>
      <c r="AG45" s="6" t="s">
        <v>50</v>
      </c>
      <c r="AH45" s="6" t="s">
        <v>50</v>
      </c>
      <c r="AI45" s="6" t="s">
        <v>51</v>
      </c>
      <c r="AJ45" s="6" t="s">
        <v>50</v>
      </c>
      <c r="AK45" s="6" t="s">
        <v>50</v>
      </c>
      <c r="AL45" s="6" t="s">
        <v>52</v>
      </c>
      <c r="AM45" s="6" t="s">
        <v>53</v>
      </c>
      <c r="AN45" s="6" t="s">
        <v>50</v>
      </c>
      <c r="AO45" s="6" t="s">
        <v>54</v>
      </c>
    </row>
    <row r="46" spans="2:41" ht="135" x14ac:dyDescent="0.25">
      <c r="B46" s="207" t="s">
        <v>275</v>
      </c>
      <c r="C46" s="66" t="s">
        <v>734</v>
      </c>
      <c r="D46" s="4" t="s">
        <v>738</v>
      </c>
      <c r="E46" s="4" t="s">
        <v>1027</v>
      </c>
      <c r="F46" s="4" t="s">
        <v>932</v>
      </c>
      <c r="G46" s="4" t="s">
        <v>39</v>
      </c>
      <c r="H46" s="208">
        <v>1</v>
      </c>
      <c r="I46" s="4"/>
      <c r="J46" s="46" t="s">
        <v>389</v>
      </c>
      <c r="K46" s="4" t="str">
        <f>_xlfn.IFNA(VLOOKUP($J46,WH_Data[],6,FALSE),"")</f>
        <v>MONITORING SYSTEMS, PHYSIOLOGIC</v>
      </c>
      <c r="L46" s="4" t="str">
        <f>_xlfn.IFNA(VLOOKUP($J46,WH_Data[],3,FALSE),"")</f>
        <v>PHILIPS MEDICAL SYSTEMS AUSTRA</v>
      </c>
      <c r="M46" s="4" t="str">
        <f>_xlfn.IFNA(VLOOKUP($J46,WH_Data[],5,FALSE),"")</f>
        <v>IntelliVue MX450</v>
      </c>
      <c r="N46" s="4" t="str">
        <f>_xlfn.IFNA(VLOOKUP($J46,WH_Data[],7,FALSE),"")</f>
        <v>DE671K6535</v>
      </c>
      <c r="O46" s="4" t="str">
        <f>_xlfn.IFNA(VLOOKUP($J46,WH_Data[],8,FALSE),"")</f>
        <v>Emergency FH Covid stock</v>
      </c>
      <c r="P46" s="8">
        <v>1</v>
      </c>
      <c r="Q46" s="209">
        <f>Mon_ILR2[[#This Row],[Qty Required]]-Mon_ILR2[[#This Row],[QTY Transfer]]</f>
        <v>0</v>
      </c>
      <c r="R46" s="66" t="s">
        <v>905</v>
      </c>
      <c r="S46" s="66" t="s">
        <v>931</v>
      </c>
      <c r="T46" s="210">
        <v>629</v>
      </c>
      <c r="U46" s="210">
        <f>_xlfn.IFNA(VLOOKUP(Mon_ILR2[[#This Row],[New Model]],PhilipsLibary[],5,FALSE),"0")</f>
        <v>1127</v>
      </c>
      <c r="V46" s="210">
        <v>1659</v>
      </c>
      <c r="W46" s="210">
        <v>3415</v>
      </c>
      <c r="X46" s="246" t="s">
        <v>1028</v>
      </c>
      <c r="Y46" s="246" t="s">
        <v>988</v>
      </c>
      <c r="Z46" s="6" t="s">
        <v>45</v>
      </c>
      <c r="AA46" s="6" t="s">
        <v>46</v>
      </c>
      <c r="AB46" s="6" t="s">
        <v>47</v>
      </c>
      <c r="AC46" s="6" t="s">
        <v>48</v>
      </c>
      <c r="AD46" s="6" t="s">
        <v>49</v>
      </c>
      <c r="AE46" s="6" t="s">
        <v>50</v>
      </c>
      <c r="AF46" s="6" t="s">
        <v>50</v>
      </c>
      <c r="AG46" s="6" t="s">
        <v>50</v>
      </c>
      <c r="AH46" s="6" t="s">
        <v>50</v>
      </c>
      <c r="AI46" s="6" t="s">
        <v>51</v>
      </c>
      <c r="AJ46" s="6" t="s">
        <v>50</v>
      </c>
      <c r="AK46" s="6" t="s">
        <v>50</v>
      </c>
      <c r="AL46" s="6" t="s">
        <v>52</v>
      </c>
      <c r="AM46" s="6" t="s">
        <v>53</v>
      </c>
      <c r="AN46" s="6" t="s">
        <v>50</v>
      </c>
      <c r="AO46" s="6" t="s">
        <v>54</v>
      </c>
    </row>
    <row r="47" spans="2:41" ht="135" x14ac:dyDescent="0.25">
      <c r="B47" s="207" t="s">
        <v>275</v>
      </c>
      <c r="C47" s="66" t="s">
        <v>734</v>
      </c>
      <c r="D47" s="4" t="s">
        <v>739</v>
      </c>
      <c r="E47" s="4" t="s">
        <v>1027</v>
      </c>
      <c r="F47" s="4" t="s">
        <v>932</v>
      </c>
      <c r="G47" s="4" t="s">
        <v>39</v>
      </c>
      <c r="H47" s="208">
        <v>1</v>
      </c>
      <c r="I47" s="4"/>
      <c r="J47" s="46" t="s">
        <v>384</v>
      </c>
      <c r="K47" s="4" t="str">
        <f>_xlfn.IFNA(VLOOKUP($J47,WH_Data[],6,FALSE),"")</f>
        <v>MONITORING SYSTEMS, PHYSIOLOGIC</v>
      </c>
      <c r="L47" s="4" t="str">
        <f>_xlfn.IFNA(VLOOKUP($J47,WH_Data[],3,FALSE),"")</f>
        <v>PHILIPS MEDICAL SYSTEMS AUSTRA</v>
      </c>
      <c r="M47" s="4" t="str">
        <f>_xlfn.IFNA(VLOOKUP($J47,WH_Data[],5,FALSE),"")</f>
        <v>IntelliVue MX450</v>
      </c>
      <c r="N47" s="4" t="str">
        <f>_xlfn.IFNA(VLOOKUP($J47,WH_Data[],7,FALSE),"")</f>
        <v>DE671K6557</v>
      </c>
      <c r="O47" s="4" t="str">
        <f>_xlfn.IFNA(VLOOKUP($J47,WH_Data[],8,FALSE),"")</f>
        <v>ED - SSU - 3A - FH</v>
      </c>
      <c r="P47" s="8">
        <v>1</v>
      </c>
      <c r="Q47" s="209">
        <f>Mon_ILR2[[#This Row],[Qty Required]]-Mon_ILR2[[#This Row],[QTY Transfer]]</f>
        <v>0</v>
      </c>
      <c r="R47" s="66" t="s">
        <v>905</v>
      </c>
      <c r="S47" s="66" t="s">
        <v>931</v>
      </c>
      <c r="T47" s="210">
        <v>629</v>
      </c>
      <c r="U47" s="210">
        <f>_xlfn.IFNA(VLOOKUP(Mon_ILR2[[#This Row],[New Model]],PhilipsLibary[],5,FALSE),"0")</f>
        <v>1127</v>
      </c>
      <c r="V47" s="210">
        <v>1659</v>
      </c>
      <c r="W47" s="210">
        <v>3415</v>
      </c>
      <c r="X47" s="246" t="s">
        <v>1028</v>
      </c>
      <c r="Y47" s="246" t="s">
        <v>988</v>
      </c>
      <c r="Z47" s="6" t="s">
        <v>45</v>
      </c>
      <c r="AA47" s="6" t="s">
        <v>46</v>
      </c>
      <c r="AB47" s="6" t="s">
        <v>47</v>
      </c>
      <c r="AC47" s="6" t="s">
        <v>48</v>
      </c>
      <c r="AD47" s="6" t="s">
        <v>49</v>
      </c>
      <c r="AE47" s="6" t="s">
        <v>50</v>
      </c>
      <c r="AF47" s="6" t="s">
        <v>50</v>
      </c>
      <c r="AG47" s="6" t="s">
        <v>50</v>
      </c>
      <c r="AH47" s="6" t="s">
        <v>50</v>
      </c>
      <c r="AI47" s="6" t="s">
        <v>51</v>
      </c>
      <c r="AJ47" s="6" t="s">
        <v>50</v>
      </c>
      <c r="AK47" s="6" t="s">
        <v>50</v>
      </c>
      <c r="AL47" s="6" t="s">
        <v>52</v>
      </c>
      <c r="AM47" s="6" t="s">
        <v>53</v>
      </c>
      <c r="AN47" s="6" t="s">
        <v>50</v>
      </c>
      <c r="AO47" s="6" t="s">
        <v>54</v>
      </c>
    </row>
    <row r="48" spans="2:41" ht="135" x14ac:dyDescent="0.25">
      <c r="B48" s="207" t="s">
        <v>275</v>
      </c>
      <c r="C48" s="66" t="s">
        <v>734</v>
      </c>
      <c r="D48" s="4" t="s">
        <v>740</v>
      </c>
      <c r="E48" s="4" t="s">
        <v>1027</v>
      </c>
      <c r="F48" s="4" t="s">
        <v>932</v>
      </c>
      <c r="G48" s="4" t="s">
        <v>39</v>
      </c>
      <c r="H48" s="208">
        <v>1</v>
      </c>
      <c r="I48" s="4"/>
      <c r="J48" s="46" t="s">
        <v>262</v>
      </c>
      <c r="K48" s="4" t="str">
        <f>_xlfn.IFNA(VLOOKUP($J48,WH_Data[],6,FALSE),"")</f>
        <v>MONITORING SYSTEMS, PHYSIOLOGIC</v>
      </c>
      <c r="L48" s="4" t="str">
        <f>_xlfn.IFNA(VLOOKUP($J48,WH_Data[],3,FALSE),"")</f>
        <v>PHILIPS MEDICAL SYSTEMS AUSTRA</v>
      </c>
      <c r="M48" s="4" t="str">
        <f>_xlfn.IFNA(VLOOKUP($J48,WH_Data[],5,FALSE),"")</f>
        <v>IntelliVue MX450</v>
      </c>
      <c r="N48" s="4" t="str">
        <f>_xlfn.IFNA(VLOOKUP($J48,WH_Data[],7,FALSE),"")</f>
        <v>DE758Y7136</v>
      </c>
      <c r="O48" s="4" t="str">
        <f>_xlfn.IFNA(VLOOKUP($J48,WH_Data[],8,FALSE),"")</f>
        <v>ED FH</v>
      </c>
      <c r="P48" s="8">
        <v>1</v>
      </c>
      <c r="Q48" s="209">
        <f>Mon_ILR2[[#This Row],[Qty Required]]-Mon_ILR2[[#This Row],[QTY Transfer]]</f>
        <v>0</v>
      </c>
      <c r="R48" s="66" t="s">
        <v>905</v>
      </c>
      <c r="S48" s="66" t="s">
        <v>931</v>
      </c>
      <c r="T48" s="210">
        <v>629</v>
      </c>
      <c r="U48" s="210">
        <f>_xlfn.IFNA(VLOOKUP(Mon_ILR2[[#This Row],[New Model]],PhilipsLibary[],5,FALSE),"0")</f>
        <v>1127</v>
      </c>
      <c r="V48" s="210">
        <v>1659</v>
      </c>
      <c r="W48" s="210">
        <v>3415</v>
      </c>
      <c r="X48" s="246" t="s">
        <v>1028</v>
      </c>
      <c r="Y48" s="246" t="s">
        <v>988</v>
      </c>
      <c r="Z48" s="6" t="s">
        <v>45</v>
      </c>
      <c r="AA48" s="6" t="s">
        <v>46</v>
      </c>
      <c r="AB48" s="6" t="s">
        <v>47</v>
      </c>
      <c r="AC48" s="6" t="s">
        <v>48</v>
      </c>
      <c r="AD48" s="6" t="s">
        <v>49</v>
      </c>
      <c r="AE48" s="6" t="s">
        <v>50</v>
      </c>
      <c r="AF48" s="6" t="s">
        <v>50</v>
      </c>
      <c r="AG48" s="6" t="s">
        <v>50</v>
      </c>
      <c r="AH48" s="6" t="s">
        <v>50</v>
      </c>
      <c r="AI48" s="6" t="s">
        <v>51</v>
      </c>
      <c r="AJ48" s="6" t="s">
        <v>50</v>
      </c>
      <c r="AK48" s="6" t="s">
        <v>50</v>
      </c>
      <c r="AL48" s="6" t="s">
        <v>52</v>
      </c>
      <c r="AM48" s="6" t="s">
        <v>53</v>
      </c>
      <c r="AN48" s="6" t="s">
        <v>50</v>
      </c>
      <c r="AO48" s="6" t="s">
        <v>54</v>
      </c>
    </row>
    <row r="49" spans="2:41" ht="135" x14ac:dyDescent="0.25">
      <c r="B49" s="207" t="s">
        <v>275</v>
      </c>
      <c r="C49" s="66" t="s">
        <v>734</v>
      </c>
      <c r="D49" s="4" t="s">
        <v>741</v>
      </c>
      <c r="E49" s="4" t="s">
        <v>1027</v>
      </c>
      <c r="F49" s="4" t="s">
        <v>932</v>
      </c>
      <c r="G49" s="4" t="s">
        <v>39</v>
      </c>
      <c r="H49" s="208">
        <v>1</v>
      </c>
      <c r="I49" s="4"/>
      <c r="J49" s="46" t="s">
        <v>1033</v>
      </c>
      <c r="K49" s="4" t="str">
        <f>_xlfn.IFNA(VLOOKUP($J49,WH_Data[],6,FALSE),"")</f>
        <v>MONITORING SYSTEMS, PHYSIOLOGIC</v>
      </c>
      <c r="L49" s="4" t="str">
        <f>_xlfn.IFNA(VLOOKUP($J49,WH_Data[],3,FALSE),"")</f>
        <v>PHILIPS MEDICAL SYSTEMS AUSTRA</v>
      </c>
      <c r="M49" s="4" t="str">
        <f>_xlfn.IFNA(VLOOKUP($J49,WH_Data[],5,FALSE),"")</f>
        <v>IntelliVue MX450</v>
      </c>
      <c r="N49" s="4" t="str">
        <f>_xlfn.IFNA(VLOOKUP($J49,WH_Data[],7,FALSE),"")</f>
        <v>DE671L7234</v>
      </c>
      <c r="O49" s="4" t="str">
        <f>_xlfn.IFNA(VLOOKUP($J49,WH_Data[],8,FALSE),"")</f>
        <v>ED FH</v>
      </c>
      <c r="P49" s="8">
        <v>1</v>
      </c>
      <c r="Q49" s="209">
        <f>Mon_ILR2[[#This Row],[Qty Required]]-Mon_ILR2[[#This Row],[QTY Transfer]]</f>
        <v>0</v>
      </c>
      <c r="R49" s="66" t="s">
        <v>905</v>
      </c>
      <c r="S49" s="66" t="s">
        <v>931</v>
      </c>
      <c r="T49" s="210">
        <v>629</v>
      </c>
      <c r="U49" s="210">
        <f>_xlfn.IFNA(VLOOKUP(Mon_ILR2[[#This Row],[New Model]],PhilipsLibary[],5,FALSE),"0")</f>
        <v>1127</v>
      </c>
      <c r="V49" s="210">
        <v>1659</v>
      </c>
      <c r="W49" s="210">
        <v>3415</v>
      </c>
      <c r="X49" s="246" t="s">
        <v>1028</v>
      </c>
      <c r="Y49" s="246" t="s">
        <v>988</v>
      </c>
      <c r="Z49" s="6" t="s">
        <v>45</v>
      </c>
      <c r="AA49" s="6" t="s">
        <v>46</v>
      </c>
      <c r="AB49" s="6" t="s">
        <v>47</v>
      </c>
      <c r="AC49" s="6" t="s">
        <v>48</v>
      </c>
      <c r="AD49" s="6" t="s">
        <v>49</v>
      </c>
      <c r="AE49" s="6" t="s">
        <v>50</v>
      </c>
      <c r="AF49" s="6" t="s">
        <v>50</v>
      </c>
      <c r="AG49" s="6" t="s">
        <v>50</v>
      </c>
      <c r="AH49" s="6" t="s">
        <v>50</v>
      </c>
      <c r="AI49" s="6" t="s">
        <v>51</v>
      </c>
      <c r="AJ49" s="6" t="s">
        <v>50</v>
      </c>
      <c r="AK49" s="6" t="s">
        <v>50</v>
      </c>
      <c r="AL49" s="6" t="s">
        <v>52</v>
      </c>
      <c r="AM49" s="6" t="s">
        <v>53</v>
      </c>
      <c r="AN49" s="6" t="s">
        <v>50</v>
      </c>
      <c r="AO49" s="6" t="s">
        <v>54</v>
      </c>
    </row>
    <row r="50" spans="2:41" ht="135" x14ac:dyDescent="0.25">
      <c r="B50" s="207" t="s">
        <v>275</v>
      </c>
      <c r="C50" s="66" t="s">
        <v>734</v>
      </c>
      <c r="D50" s="4" t="s">
        <v>742</v>
      </c>
      <c r="E50" s="4" t="s">
        <v>1027</v>
      </c>
      <c r="F50" s="4" t="s">
        <v>932</v>
      </c>
      <c r="G50" s="4" t="s">
        <v>39</v>
      </c>
      <c r="H50" s="208">
        <v>1</v>
      </c>
      <c r="I50" s="4"/>
      <c r="J50" s="46" t="s">
        <v>1034</v>
      </c>
      <c r="K50" s="4" t="str">
        <f>_xlfn.IFNA(VLOOKUP($J50,WH_Data[],6,FALSE),"")</f>
        <v>MONITORING SYSTEMS, PHYSIOLOGIC</v>
      </c>
      <c r="L50" s="4" t="str">
        <f>_xlfn.IFNA(VLOOKUP($J50,WH_Data[],3,FALSE),"")</f>
        <v>PHILIPS MEDICAL SYSTEMS AUSTRA</v>
      </c>
      <c r="M50" s="4" t="str">
        <f>_xlfn.IFNA(VLOOKUP($J50,WH_Data[],5,FALSE),"")</f>
        <v>IntelliVue MX450</v>
      </c>
      <c r="N50" s="4" t="str">
        <f>_xlfn.IFNA(VLOOKUP($J50,WH_Data[],7,FALSE),"")</f>
        <v>DE671L7211</v>
      </c>
      <c r="O50" s="4" t="str">
        <f>_xlfn.IFNA(VLOOKUP($J50,WH_Data[],8,FALSE),"")</f>
        <v>ED FH</v>
      </c>
      <c r="P50" s="8">
        <v>1</v>
      </c>
      <c r="Q50" s="209">
        <f>Mon_ILR2[[#This Row],[Qty Required]]-Mon_ILR2[[#This Row],[QTY Transfer]]</f>
        <v>0</v>
      </c>
      <c r="R50" s="66" t="s">
        <v>905</v>
      </c>
      <c r="S50" s="66" t="s">
        <v>931</v>
      </c>
      <c r="T50" s="210">
        <v>629</v>
      </c>
      <c r="U50" s="210">
        <f>_xlfn.IFNA(VLOOKUP(Mon_ILR2[[#This Row],[New Model]],PhilipsLibary[],5,FALSE),"0")</f>
        <v>1127</v>
      </c>
      <c r="V50" s="210">
        <v>1659</v>
      </c>
      <c r="W50" s="210">
        <v>3415</v>
      </c>
      <c r="X50" s="246" t="s">
        <v>1028</v>
      </c>
      <c r="Y50" s="246" t="s">
        <v>988</v>
      </c>
      <c r="Z50" s="6" t="s">
        <v>45</v>
      </c>
      <c r="AA50" s="6" t="s">
        <v>46</v>
      </c>
      <c r="AB50" s="6" t="s">
        <v>47</v>
      </c>
      <c r="AC50" s="6" t="s">
        <v>48</v>
      </c>
      <c r="AD50" s="6" t="s">
        <v>49</v>
      </c>
      <c r="AE50" s="6" t="s">
        <v>50</v>
      </c>
      <c r="AF50" s="6" t="s">
        <v>50</v>
      </c>
      <c r="AG50" s="6" t="s">
        <v>50</v>
      </c>
      <c r="AH50" s="6" t="s">
        <v>50</v>
      </c>
      <c r="AI50" s="6" t="s">
        <v>51</v>
      </c>
      <c r="AJ50" s="6" t="s">
        <v>50</v>
      </c>
      <c r="AK50" s="6" t="s">
        <v>50</v>
      </c>
      <c r="AL50" s="6" t="s">
        <v>52</v>
      </c>
      <c r="AM50" s="6" t="s">
        <v>53</v>
      </c>
      <c r="AN50" s="6" t="s">
        <v>50</v>
      </c>
      <c r="AO50" s="6" t="s">
        <v>54</v>
      </c>
    </row>
    <row r="51" spans="2:41" ht="135" x14ac:dyDescent="0.25">
      <c r="B51" s="207" t="s">
        <v>275</v>
      </c>
      <c r="C51" s="66" t="s">
        <v>734</v>
      </c>
      <c r="D51" s="4" t="s">
        <v>747</v>
      </c>
      <c r="E51" s="4" t="s">
        <v>1027</v>
      </c>
      <c r="F51" s="4" t="s">
        <v>932</v>
      </c>
      <c r="G51" s="4" t="s">
        <v>39</v>
      </c>
      <c r="H51" s="208">
        <v>1</v>
      </c>
      <c r="I51" s="4"/>
      <c r="J51" s="46" t="s">
        <v>1035</v>
      </c>
      <c r="K51" s="4" t="str">
        <f>_xlfn.IFNA(VLOOKUP($J51,WH_Data[],6,FALSE),"")</f>
        <v>MONITORING SYSTEMS, PHYSIOLOGIC</v>
      </c>
      <c r="L51" s="4" t="str">
        <f>_xlfn.IFNA(VLOOKUP($J51,WH_Data[],3,FALSE),"")</f>
        <v>PHILIPS MEDICAL SYSTEMS AUSTRA</v>
      </c>
      <c r="M51" s="4" t="str">
        <f>_xlfn.IFNA(VLOOKUP($J51,WH_Data[],5,FALSE),"")</f>
        <v>IntelliVue MX450</v>
      </c>
      <c r="N51" s="4" t="str">
        <f>_xlfn.IFNA(VLOOKUP($J51,WH_Data[],7,FALSE),"")</f>
        <v>DE671L3261</v>
      </c>
      <c r="O51" s="4" t="str">
        <f>_xlfn.IFNA(VLOOKUP($J51,WH_Data[],8,FALSE),"")</f>
        <v>ED FH</v>
      </c>
      <c r="P51" s="8">
        <v>1</v>
      </c>
      <c r="Q51" s="209">
        <f>Mon_ILR2[[#This Row],[Qty Required]]-Mon_ILR2[[#This Row],[QTY Transfer]]</f>
        <v>0</v>
      </c>
      <c r="R51" s="66" t="s">
        <v>905</v>
      </c>
      <c r="S51" s="66" t="s">
        <v>931</v>
      </c>
      <c r="T51" s="210">
        <v>629</v>
      </c>
      <c r="U51" s="210">
        <f>_xlfn.IFNA(VLOOKUP(Mon_ILR2[[#This Row],[New Model]],PhilipsLibary[],5,FALSE),"0")</f>
        <v>1127</v>
      </c>
      <c r="V51" s="210">
        <v>1659</v>
      </c>
      <c r="W51" s="210">
        <v>3415</v>
      </c>
      <c r="X51" s="246" t="s">
        <v>1028</v>
      </c>
      <c r="Y51" s="246" t="s">
        <v>988</v>
      </c>
      <c r="Z51" s="6" t="s">
        <v>45</v>
      </c>
      <c r="AA51" s="6" t="s">
        <v>46</v>
      </c>
      <c r="AB51" s="6" t="s">
        <v>47</v>
      </c>
      <c r="AC51" s="6" t="s">
        <v>48</v>
      </c>
      <c r="AD51" s="6" t="s">
        <v>49</v>
      </c>
      <c r="AE51" s="6" t="s">
        <v>50</v>
      </c>
      <c r="AF51" s="6" t="s">
        <v>50</v>
      </c>
      <c r="AG51" s="6" t="s">
        <v>50</v>
      </c>
      <c r="AH51" s="6" t="s">
        <v>50</v>
      </c>
      <c r="AI51" s="6" t="s">
        <v>51</v>
      </c>
      <c r="AJ51" s="6" t="s">
        <v>50</v>
      </c>
      <c r="AK51" s="6" t="s">
        <v>50</v>
      </c>
      <c r="AL51" s="6" t="s">
        <v>52</v>
      </c>
      <c r="AM51" s="6" t="s">
        <v>53</v>
      </c>
      <c r="AN51" s="6" t="s">
        <v>50</v>
      </c>
      <c r="AO51" s="6" t="s">
        <v>54</v>
      </c>
    </row>
    <row r="52" spans="2:41" ht="135" x14ac:dyDescent="0.25">
      <c r="B52" s="207" t="s">
        <v>275</v>
      </c>
      <c r="C52" s="66" t="s">
        <v>734</v>
      </c>
      <c r="D52" s="4" t="s">
        <v>748</v>
      </c>
      <c r="E52" s="4" t="s">
        <v>1027</v>
      </c>
      <c r="F52" s="4" t="s">
        <v>932</v>
      </c>
      <c r="G52" s="4" t="s">
        <v>39</v>
      </c>
      <c r="H52" s="208">
        <v>1</v>
      </c>
      <c r="I52" s="4"/>
      <c r="J52" s="46" t="s">
        <v>1036</v>
      </c>
      <c r="K52" s="4" t="str">
        <f>_xlfn.IFNA(VLOOKUP($J52,WH_Data[],6,FALSE),"")</f>
        <v>MONITORING SYSTEMS, PHYSIOLOGIC</v>
      </c>
      <c r="L52" s="4" t="str">
        <f>_xlfn.IFNA(VLOOKUP($J52,WH_Data[],3,FALSE),"")</f>
        <v>PHILIPS MEDICAL SYSTEMS AUSTRA</v>
      </c>
      <c r="M52" s="4" t="str">
        <f>_xlfn.IFNA(VLOOKUP($J52,WH_Data[],5,FALSE),"")</f>
        <v>IntelliVue MX450</v>
      </c>
      <c r="N52" s="4" t="str">
        <f>_xlfn.IFNA(VLOOKUP($J52,WH_Data[],7,FALSE),"")</f>
        <v>DE671L7244</v>
      </c>
      <c r="O52" s="4" t="str">
        <f>_xlfn.IFNA(VLOOKUP($J52,WH_Data[],8,FALSE),"")</f>
        <v>ED FH</v>
      </c>
      <c r="P52" s="8">
        <v>1</v>
      </c>
      <c r="Q52" s="209">
        <f>Mon_ILR2[[#This Row],[Qty Required]]-Mon_ILR2[[#This Row],[QTY Transfer]]</f>
        <v>0</v>
      </c>
      <c r="R52" s="66" t="s">
        <v>905</v>
      </c>
      <c r="S52" s="66" t="s">
        <v>931</v>
      </c>
      <c r="T52" s="210">
        <v>629</v>
      </c>
      <c r="U52" s="210">
        <f>_xlfn.IFNA(VLOOKUP(Mon_ILR2[[#This Row],[New Model]],PhilipsLibary[],5,FALSE),"0")</f>
        <v>1127</v>
      </c>
      <c r="V52" s="210">
        <v>1659</v>
      </c>
      <c r="W52" s="210">
        <v>3415</v>
      </c>
      <c r="X52" s="246" t="s">
        <v>1028</v>
      </c>
      <c r="Y52" s="246" t="s">
        <v>988</v>
      </c>
      <c r="Z52" s="6" t="s">
        <v>45</v>
      </c>
      <c r="AA52" s="6" t="s">
        <v>46</v>
      </c>
      <c r="AB52" s="6" t="s">
        <v>47</v>
      </c>
      <c r="AC52" s="6" t="s">
        <v>48</v>
      </c>
      <c r="AD52" s="6" t="s">
        <v>49</v>
      </c>
      <c r="AE52" s="6" t="s">
        <v>50</v>
      </c>
      <c r="AF52" s="6" t="s">
        <v>50</v>
      </c>
      <c r="AG52" s="6" t="s">
        <v>50</v>
      </c>
      <c r="AH52" s="6" t="s">
        <v>50</v>
      </c>
      <c r="AI52" s="6" t="s">
        <v>51</v>
      </c>
      <c r="AJ52" s="6" t="s">
        <v>50</v>
      </c>
      <c r="AK52" s="6" t="s">
        <v>50</v>
      </c>
      <c r="AL52" s="6" t="s">
        <v>52</v>
      </c>
      <c r="AM52" s="6" t="s">
        <v>53</v>
      </c>
      <c r="AN52" s="6" t="s">
        <v>50</v>
      </c>
      <c r="AO52" s="6" t="s">
        <v>54</v>
      </c>
    </row>
    <row r="53" spans="2:41" ht="135" x14ac:dyDescent="0.25">
      <c r="B53" s="207" t="s">
        <v>275</v>
      </c>
      <c r="C53" s="66" t="s">
        <v>734</v>
      </c>
      <c r="D53" s="4" t="s">
        <v>749</v>
      </c>
      <c r="E53" s="4" t="s">
        <v>1027</v>
      </c>
      <c r="F53" s="4" t="s">
        <v>932</v>
      </c>
      <c r="G53" s="4" t="s">
        <v>39</v>
      </c>
      <c r="H53" s="208">
        <v>1</v>
      </c>
      <c r="I53" s="4"/>
      <c r="J53" s="46" t="s">
        <v>1037</v>
      </c>
      <c r="K53" s="4" t="str">
        <f>_xlfn.IFNA(VLOOKUP($J53,WH_Data[],6,FALSE),"")</f>
        <v>MONITORING SYSTEMS, PHYSIOLOGIC</v>
      </c>
      <c r="L53" s="4" t="str">
        <f>_xlfn.IFNA(VLOOKUP($J53,WH_Data[],3,FALSE),"")</f>
        <v>PHILIPS MEDICAL SYSTEMS AUSTRA</v>
      </c>
      <c r="M53" s="4" t="str">
        <f>_xlfn.IFNA(VLOOKUP($J53,WH_Data[],5,FALSE),"")</f>
        <v>IntelliVue MX450</v>
      </c>
      <c r="N53" s="4" t="str">
        <f>_xlfn.IFNA(VLOOKUP($J53,WH_Data[],7,FALSE),"")</f>
        <v>DE671L7206</v>
      </c>
      <c r="O53" s="4" t="str">
        <f>_xlfn.IFNA(VLOOKUP($J53,WH_Data[],8,FALSE),"")</f>
        <v>ED FH</v>
      </c>
      <c r="P53" s="8">
        <v>1</v>
      </c>
      <c r="Q53" s="209">
        <f>Mon_ILR2[[#This Row],[Qty Required]]-Mon_ILR2[[#This Row],[QTY Transfer]]</f>
        <v>0</v>
      </c>
      <c r="R53" s="66" t="s">
        <v>905</v>
      </c>
      <c r="S53" s="66" t="s">
        <v>931</v>
      </c>
      <c r="T53" s="210">
        <v>629</v>
      </c>
      <c r="U53" s="210">
        <f>_xlfn.IFNA(VLOOKUP(Mon_ILR2[[#This Row],[New Model]],PhilipsLibary[],5,FALSE),"0")</f>
        <v>1127</v>
      </c>
      <c r="V53" s="210">
        <v>1659</v>
      </c>
      <c r="W53" s="210">
        <v>3415</v>
      </c>
      <c r="X53" s="246" t="s">
        <v>1028</v>
      </c>
      <c r="Y53" s="246" t="s">
        <v>988</v>
      </c>
      <c r="Z53" s="6" t="s">
        <v>45</v>
      </c>
      <c r="AA53" s="6" t="s">
        <v>46</v>
      </c>
      <c r="AB53" s="6" t="s">
        <v>47</v>
      </c>
      <c r="AC53" s="6" t="s">
        <v>48</v>
      </c>
      <c r="AD53" s="6" t="s">
        <v>49</v>
      </c>
      <c r="AE53" s="6" t="s">
        <v>50</v>
      </c>
      <c r="AF53" s="6" t="s">
        <v>50</v>
      </c>
      <c r="AG53" s="6" t="s">
        <v>50</v>
      </c>
      <c r="AH53" s="6" t="s">
        <v>50</v>
      </c>
      <c r="AI53" s="6" t="s">
        <v>51</v>
      </c>
      <c r="AJ53" s="6" t="s">
        <v>50</v>
      </c>
      <c r="AK53" s="6" t="s">
        <v>50</v>
      </c>
      <c r="AL53" s="6" t="s">
        <v>52</v>
      </c>
      <c r="AM53" s="6" t="s">
        <v>53</v>
      </c>
      <c r="AN53" s="6" t="s">
        <v>50</v>
      </c>
      <c r="AO53" s="6" t="s">
        <v>54</v>
      </c>
    </row>
    <row r="54" spans="2:41" ht="135" x14ac:dyDescent="0.25">
      <c r="B54" s="207" t="s">
        <v>275</v>
      </c>
      <c r="C54" s="66" t="s">
        <v>734</v>
      </c>
      <c r="D54" s="4" t="s">
        <v>750</v>
      </c>
      <c r="E54" s="4" t="s">
        <v>1027</v>
      </c>
      <c r="F54" s="4" t="s">
        <v>932</v>
      </c>
      <c r="G54" s="4" t="s">
        <v>39</v>
      </c>
      <c r="H54" s="208">
        <v>1</v>
      </c>
      <c r="I54" s="4"/>
      <c r="J54" s="46" t="s">
        <v>1038</v>
      </c>
      <c r="K54" s="4" t="str">
        <f>_xlfn.IFNA(VLOOKUP($J54,WH_Data[],6,FALSE),"")</f>
        <v>MONITORING SYSTEMS, PHYSIOLOGIC</v>
      </c>
      <c r="L54" s="4" t="str">
        <f>_xlfn.IFNA(VLOOKUP($J54,WH_Data[],3,FALSE),"")</f>
        <v>PHILIPS MEDICAL SYSTEMS AUSTRA</v>
      </c>
      <c r="M54" s="4" t="str">
        <f>_xlfn.IFNA(VLOOKUP($J54,WH_Data[],5,FALSE),"")</f>
        <v>IntelliVue MX450</v>
      </c>
      <c r="N54" s="4" t="str">
        <f>_xlfn.IFNA(VLOOKUP($J54,WH_Data[],7,FALSE),"")</f>
        <v>DE671L3239</v>
      </c>
      <c r="O54" s="4" t="str">
        <f>_xlfn.IFNA(VLOOKUP($J54,WH_Data[],8,FALSE),"")</f>
        <v>ED FH</v>
      </c>
      <c r="P54" s="8">
        <v>1</v>
      </c>
      <c r="Q54" s="209">
        <f>Mon_ILR2[[#This Row],[Qty Required]]-Mon_ILR2[[#This Row],[QTY Transfer]]</f>
        <v>0</v>
      </c>
      <c r="R54" s="66" t="s">
        <v>905</v>
      </c>
      <c r="S54" s="66" t="s">
        <v>931</v>
      </c>
      <c r="T54" s="210">
        <v>629</v>
      </c>
      <c r="U54" s="210">
        <f>_xlfn.IFNA(VLOOKUP(Mon_ILR2[[#This Row],[New Model]],PhilipsLibary[],5,FALSE),"0")</f>
        <v>1127</v>
      </c>
      <c r="V54" s="210">
        <v>1659</v>
      </c>
      <c r="W54" s="210">
        <v>3415</v>
      </c>
      <c r="X54" s="246" t="s">
        <v>1028</v>
      </c>
      <c r="Y54" s="246" t="s">
        <v>988</v>
      </c>
      <c r="Z54" s="6" t="s">
        <v>45</v>
      </c>
      <c r="AA54" s="6" t="s">
        <v>46</v>
      </c>
      <c r="AB54" s="6" t="s">
        <v>47</v>
      </c>
      <c r="AC54" s="6" t="s">
        <v>48</v>
      </c>
      <c r="AD54" s="6" t="s">
        <v>49</v>
      </c>
      <c r="AE54" s="6" t="s">
        <v>50</v>
      </c>
      <c r="AF54" s="6" t="s">
        <v>50</v>
      </c>
      <c r="AG54" s="6" t="s">
        <v>50</v>
      </c>
      <c r="AH54" s="6" t="s">
        <v>50</v>
      </c>
      <c r="AI54" s="6" t="s">
        <v>51</v>
      </c>
      <c r="AJ54" s="6" t="s">
        <v>50</v>
      </c>
      <c r="AK54" s="6" t="s">
        <v>50</v>
      </c>
      <c r="AL54" s="6" t="s">
        <v>52</v>
      </c>
      <c r="AM54" s="6" t="s">
        <v>53</v>
      </c>
      <c r="AN54" s="6" t="s">
        <v>50</v>
      </c>
      <c r="AO54" s="6" t="s">
        <v>54</v>
      </c>
    </row>
    <row r="55" spans="2:41" ht="135" x14ac:dyDescent="0.25">
      <c r="B55" s="207" t="s">
        <v>275</v>
      </c>
      <c r="C55" s="66" t="s">
        <v>734</v>
      </c>
      <c r="D55" s="4" t="s">
        <v>751</v>
      </c>
      <c r="E55" s="4" t="s">
        <v>1027</v>
      </c>
      <c r="F55" s="4" t="s">
        <v>932</v>
      </c>
      <c r="G55" s="4" t="s">
        <v>39</v>
      </c>
      <c r="H55" s="208">
        <v>1</v>
      </c>
      <c r="I55" s="4"/>
      <c r="J55" s="46" t="s">
        <v>1039</v>
      </c>
      <c r="K55" s="4" t="str">
        <f>_xlfn.IFNA(VLOOKUP($J55,WH_Data[],6,FALSE),"")</f>
        <v>MONITORING SYSTEMS, PHYSIOLOGIC</v>
      </c>
      <c r="L55" s="4" t="str">
        <f>_xlfn.IFNA(VLOOKUP($J55,WH_Data[],3,FALSE),"")</f>
        <v>PHILIPS MEDICAL SYSTEMS AUSTRA</v>
      </c>
      <c r="M55" s="4" t="str">
        <f>_xlfn.IFNA(VLOOKUP($J55,WH_Data[],5,FALSE),"")</f>
        <v>IntelliVue MX450</v>
      </c>
      <c r="N55" s="4" t="str">
        <f>_xlfn.IFNA(VLOOKUP($J55,WH_Data[],7,FALSE),"")</f>
        <v>DE671L7304</v>
      </c>
      <c r="O55" s="4" t="str">
        <f>_xlfn.IFNA(VLOOKUP($J55,WH_Data[],8,FALSE),"")</f>
        <v>ED FH</v>
      </c>
      <c r="P55" s="8">
        <v>1</v>
      </c>
      <c r="Q55" s="209">
        <f>Mon_ILR2[[#This Row],[Qty Required]]-Mon_ILR2[[#This Row],[QTY Transfer]]</f>
        <v>0</v>
      </c>
      <c r="R55" s="66" t="s">
        <v>905</v>
      </c>
      <c r="S55" s="66" t="s">
        <v>931</v>
      </c>
      <c r="T55" s="210">
        <v>629</v>
      </c>
      <c r="U55" s="210">
        <f>_xlfn.IFNA(VLOOKUP(Mon_ILR2[[#This Row],[New Model]],PhilipsLibary[],5,FALSE),"0")</f>
        <v>1127</v>
      </c>
      <c r="V55" s="210">
        <v>1659</v>
      </c>
      <c r="W55" s="210">
        <v>3415</v>
      </c>
      <c r="X55" s="246" t="s">
        <v>1028</v>
      </c>
      <c r="Y55" s="246" t="s">
        <v>988</v>
      </c>
      <c r="Z55" s="6" t="s">
        <v>45</v>
      </c>
      <c r="AA55" s="6" t="s">
        <v>46</v>
      </c>
      <c r="AB55" s="6" t="s">
        <v>47</v>
      </c>
      <c r="AC55" s="6" t="s">
        <v>48</v>
      </c>
      <c r="AD55" s="6" t="s">
        <v>49</v>
      </c>
      <c r="AE55" s="6" t="s">
        <v>50</v>
      </c>
      <c r="AF55" s="6" t="s">
        <v>50</v>
      </c>
      <c r="AG55" s="6" t="s">
        <v>50</v>
      </c>
      <c r="AH55" s="6" t="s">
        <v>50</v>
      </c>
      <c r="AI55" s="6" t="s">
        <v>51</v>
      </c>
      <c r="AJ55" s="6" t="s">
        <v>50</v>
      </c>
      <c r="AK55" s="6" t="s">
        <v>50</v>
      </c>
      <c r="AL55" s="6" t="s">
        <v>52</v>
      </c>
      <c r="AM55" s="6" t="s">
        <v>53</v>
      </c>
      <c r="AN55" s="6" t="s">
        <v>50</v>
      </c>
      <c r="AO55" s="6" t="s">
        <v>54</v>
      </c>
    </row>
    <row r="56" spans="2:41" ht="135" x14ac:dyDescent="0.25">
      <c r="B56" s="207" t="s">
        <v>275</v>
      </c>
      <c r="C56" s="66" t="s">
        <v>734</v>
      </c>
      <c r="D56" s="4" t="s">
        <v>752</v>
      </c>
      <c r="E56" s="4" t="s">
        <v>1027</v>
      </c>
      <c r="F56" s="4" t="s">
        <v>932</v>
      </c>
      <c r="G56" s="4" t="s">
        <v>39</v>
      </c>
      <c r="H56" s="208">
        <v>1</v>
      </c>
      <c r="I56" s="4"/>
      <c r="J56" s="46" t="s">
        <v>1040</v>
      </c>
      <c r="K56" s="4" t="str">
        <f>_xlfn.IFNA(VLOOKUP($J56,WH_Data[],6,FALSE),"")</f>
        <v>MONITORING SYSTEMS, PHYSIOLOGIC</v>
      </c>
      <c r="L56" s="4" t="str">
        <f>_xlfn.IFNA(VLOOKUP($J56,WH_Data[],3,FALSE),"")</f>
        <v>PHILIPS MEDICAL SYSTEMS AUSTRA</v>
      </c>
      <c r="M56" s="4" t="str">
        <f>_xlfn.IFNA(VLOOKUP($J56,WH_Data[],5,FALSE),"")</f>
        <v>IntelliVue MX450</v>
      </c>
      <c r="N56" s="4" t="str">
        <f>_xlfn.IFNA(VLOOKUP($J56,WH_Data[],7,FALSE),"")</f>
        <v>DE671L7237</v>
      </c>
      <c r="O56" s="4" t="str">
        <f>_xlfn.IFNA(VLOOKUP($J56,WH_Data[],8,FALSE),"")</f>
        <v>ED FH</v>
      </c>
      <c r="P56" s="8">
        <v>1</v>
      </c>
      <c r="Q56" s="209">
        <f>Mon_ILR2[[#This Row],[Qty Required]]-Mon_ILR2[[#This Row],[QTY Transfer]]</f>
        <v>0</v>
      </c>
      <c r="R56" s="66" t="s">
        <v>905</v>
      </c>
      <c r="S56" s="66" t="s">
        <v>931</v>
      </c>
      <c r="T56" s="210">
        <v>629</v>
      </c>
      <c r="U56" s="210">
        <f>_xlfn.IFNA(VLOOKUP(Mon_ILR2[[#This Row],[New Model]],PhilipsLibary[],5,FALSE),"0")</f>
        <v>1127</v>
      </c>
      <c r="V56" s="210">
        <v>1659</v>
      </c>
      <c r="W56" s="210">
        <v>3415</v>
      </c>
      <c r="X56" s="246" t="s">
        <v>1028</v>
      </c>
      <c r="Y56" s="246" t="s">
        <v>988</v>
      </c>
      <c r="Z56" s="6" t="s">
        <v>45</v>
      </c>
      <c r="AA56" s="6" t="s">
        <v>46</v>
      </c>
      <c r="AB56" s="6" t="s">
        <v>47</v>
      </c>
      <c r="AC56" s="6" t="s">
        <v>48</v>
      </c>
      <c r="AD56" s="6" t="s">
        <v>49</v>
      </c>
      <c r="AE56" s="6" t="s">
        <v>50</v>
      </c>
      <c r="AF56" s="6" t="s">
        <v>50</v>
      </c>
      <c r="AG56" s="6" t="s">
        <v>50</v>
      </c>
      <c r="AH56" s="6" t="s">
        <v>50</v>
      </c>
      <c r="AI56" s="6" t="s">
        <v>51</v>
      </c>
      <c r="AJ56" s="6" t="s">
        <v>50</v>
      </c>
      <c r="AK56" s="6" t="s">
        <v>50</v>
      </c>
      <c r="AL56" s="6" t="s">
        <v>52</v>
      </c>
      <c r="AM56" s="6" t="s">
        <v>53</v>
      </c>
      <c r="AN56" s="6" t="s">
        <v>50</v>
      </c>
      <c r="AO56" s="6" t="s">
        <v>54</v>
      </c>
    </row>
    <row r="57" spans="2:41" ht="135" x14ac:dyDescent="0.25">
      <c r="B57" s="207" t="s">
        <v>275</v>
      </c>
      <c r="C57" s="66" t="s">
        <v>734</v>
      </c>
      <c r="D57" s="4" t="s">
        <v>753</v>
      </c>
      <c r="E57" s="4" t="s">
        <v>1027</v>
      </c>
      <c r="F57" s="4" t="s">
        <v>932</v>
      </c>
      <c r="G57" s="4" t="s">
        <v>39</v>
      </c>
      <c r="H57" s="208">
        <v>1</v>
      </c>
      <c r="I57" s="4"/>
      <c r="J57" s="46" t="s">
        <v>1041</v>
      </c>
      <c r="K57" s="4" t="str">
        <f>_xlfn.IFNA(VLOOKUP($J57,WH_Data[],6,FALSE),"")</f>
        <v>MONITORING SYSTEMS, PHYSIOLOGIC</v>
      </c>
      <c r="L57" s="4" t="str">
        <f>_xlfn.IFNA(VLOOKUP($J57,WH_Data[],3,FALSE),"")</f>
        <v>PHILIPS MEDICAL SYSTEMS AUSTRA</v>
      </c>
      <c r="M57" s="4" t="str">
        <f>_xlfn.IFNA(VLOOKUP($J57,WH_Data[],5,FALSE),"")</f>
        <v>IntelliVue MX450</v>
      </c>
      <c r="N57" s="4" t="str">
        <f>_xlfn.IFNA(VLOOKUP($J57,WH_Data[],7,FALSE),"")</f>
        <v>DE671L7262</v>
      </c>
      <c r="O57" s="4" t="str">
        <f>_xlfn.IFNA(VLOOKUP($J57,WH_Data[],8,FALSE),"")</f>
        <v>ED FH</v>
      </c>
      <c r="P57" s="8">
        <v>1</v>
      </c>
      <c r="Q57" s="209">
        <f>Mon_ILR2[[#This Row],[Qty Required]]-Mon_ILR2[[#This Row],[QTY Transfer]]</f>
        <v>0</v>
      </c>
      <c r="R57" s="66" t="s">
        <v>905</v>
      </c>
      <c r="S57" s="66" t="s">
        <v>931</v>
      </c>
      <c r="T57" s="210">
        <v>629</v>
      </c>
      <c r="U57" s="210">
        <f>_xlfn.IFNA(VLOOKUP(Mon_ILR2[[#This Row],[New Model]],PhilipsLibary[],5,FALSE),"0")</f>
        <v>1127</v>
      </c>
      <c r="V57" s="210">
        <v>1659</v>
      </c>
      <c r="W57" s="210">
        <v>3415</v>
      </c>
      <c r="X57" s="246" t="s">
        <v>1028</v>
      </c>
      <c r="Y57" s="246" t="s">
        <v>988</v>
      </c>
      <c r="Z57" s="6" t="s">
        <v>45</v>
      </c>
      <c r="AA57" s="6" t="s">
        <v>46</v>
      </c>
      <c r="AB57" s="6" t="s">
        <v>47</v>
      </c>
      <c r="AC57" s="6" t="s">
        <v>48</v>
      </c>
      <c r="AD57" s="6" t="s">
        <v>49</v>
      </c>
      <c r="AE57" s="6" t="s">
        <v>50</v>
      </c>
      <c r="AF57" s="6" t="s">
        <v>50</v>
      </c>
      <c r="AG57" s="6" t="s">
        <v>50</v>
      </c>
      <c r="AH57" s="6" t="s">
        <v>50</v>
      </c>
      <c r="AI57" s="6" t="s">
        <v>51</v>
      </c>
      <c r="AJ57" s="6" t="s">
        <v>50</v>
      </c>
      <c r="AK57" s="6" t="s">
        <v>50</v>
      </c>
      <c r="AL57" s="6" t="s">
        <v>52</v>
      </c>
      <c r="AM57" s="6" t="s">
        <v>53</v>
      </c>
      <c r="AN57" s="6" t="s">
        <v>50</v>
      </c>
      <c r="AO57" s="6" t="s">
        <v>54</v>
      </c>
    </row>
    <row r="58" spans="2:41" ht="135" x14ac:dyDescent="0.25">
      <c r="B58" s="207" t="s">
        <v>275</v>
      </c>
      <c r="C58" s="66" t="s">
        <v>734</v>
      </c>
      <c r="D58" s="4" t="s">
        <v>754</v>
      </c>
      <c r="E58" s="4" t="s">
        <v>1027</v>
      </c>
      <c r="F58" s="4" t="s">
        <v>932</v>
      </c>
      <c r="G58" s="4" t="s">
        <v>39</v>
      </c>
      <c r="H58" s="208">
        <v>1</v>
      </c>
      <c r="I58" s="4"/>
      <c r="J58" s="46" t="s">
        <v>1042</v>
      </c>
      <c r="K58" s="4" t="str">
        <f>_xlfn.IFNA(VLOOKUP($J58,WH_Data[],6,FALSE),"")</f>
        <v>MONITORING SYSTEMS, PHYSIOLOGIC</v>
      </c>
      <c r="L58" s="4" t="str">
        <f>_xlfn.IFNA(VLOOKUP($J58,WH_Data[],3,FALSE),"")</f>
        <v>PHILIPS MEDICAL SYSTEMS AUSTRA</v>
      </c>
      <c r="M58" s="4" t="str">
        <f>_xlfn.IFNA(VLOOKUP($J58,WH_Data[],5,FALSE),"")</f>
        <v>IntelliVue MX450</v>
      </c>
      <c r="N58" s="4" t="str">
        <f>_xlfn.IFNA(VLOOKUP($J58,WH_Data[],7,FALSE),"")</f>
        <v>DE671L7221</v>
      </c>
      <c r="O58" s="4" t="str">
        <f>_xlfn.IFNA(VLOOKUP($J58,WH_Data[],8,FALSE),"")</f>
        <v>ED FH</v>
      </c>
      <c r="P58" s="8">
        <v>1</v>
      </c>
      <c r="Q58" s="209">
        <f>Mon_ILR2[[#This Row],[Qty Required]]-Mon_ILR2[[#This Row],[QTY Transfer]]</f>
        <v>0</v>
      </c>
      <c r="R58" s="66" t="s">
        <v>905</v>
      </c>
      <c r="S58" s="66" t="s">
        <v>931</v>
      </c>
      <c r="T58" s="210">
        <v>629</v>
      </c>
      <c r="U58" s="210">
        <f>_xlfn.IFNA(VLOOKUP(Mon_ILR2[[#This Row],[New Model]],PhilipsLibary[],5,FALSE),"0")</f>
        <v>1127</v>
      </c>
      <c r="V58" s="210">
        <v>1659</v>
      </c>
      <c r="W58" s="210">
        <v>3415</v>
      </c>
      <c r="X58" s="246" t="s">
        <v>1028</v>
      </c>
      <c r="Y58" s="246" t="s">
        <v>988</v>
      </c>
      <c r="Z58" s="6" t="s">
        <v>45</v>
      </c>
      <c r="AA58" s="6" t="s">
        <v>46</v>
      </c>
      <c r="AB58" s="6" t="s">
        <v>47</v>
      </c>
      <c r="AC58" s="6" t="s">
        <v>48</v>
      </c>
      <c r="AD58" s="6" t="s">
        <v>49</v>
      </c>
      <c r="AE58" s="6" t="s">
        <v>50</v>
      </c>
      <c r="AF58" s="6" t="s">
        <v>50</v>
      </c>
      <c r="AG58" s="6" t="s">
        <v>50</v>
      </c>
      <c r="AH58" s="6" t="s">
        <v>50</v>
      </c>
      <c r="AI58" s="6" t="s">
        <v>51</v>
      </c>
      <c r="AJ58" s="6" t="s">
        <v>50</v>
      </c>
      <c r="AK58" s="6" t="s">
        <v>50</v>
      </c>
      <c r="AL58" s="6" t="s">
        <v>52</v>
      </c>
      <c r="AM58" s="6" t="s">
        <v>53</v>
      </c>
      <c r="AN58" s="6" t="s">
        <v>50</v>
      </c>
      <c r="AO58" s="6" t="s">
        <v>54</v>
      </c>
    </row>
    <row r="59" spans="2:41" ht="135" x14ac:dyDescent="0.25">
      <c r="B59" s="207" t="s">
        <v>275</v>
      </c>
      <c r="C59" s="66" t="s">
        <v>734</v>
      </c>
      <c r="D59" s="4" t="s">
        <v>755</v>
      </c>
      <c r="E59" s="4" t="s">
        <v>1027</v>
      </c>
      <c r="F59" s="4" t="s">
        <v>932</v>
      </c>
      <c r="G59" s="4" t="s">
        <v>39</v>
      </c>
      <c r="H59" s="208">
        <v>1</v>
      </c>
      <c r="I59" s="4"/>
      <c r="J59" s="46" t="s">
        <v>1043</v>
      </c>
      <c r="K59" s="4" t="str">
        <f>_xlfn.IFNA(VLOOKUP($J59,WH_Data[],6,FALSE),"")</f>
        <v>MONITORING SYSTEMS, PHYSIOLOGIC</v>
      </c>
      <c r="L59" s="4" t="str">
        <f>_xlfn.IFNA(VLOOKUP($J59,WH_Data[],3,FALSE),"")</f>
        <v>PHILIPS MEDICAL SYSTEMS AUSTRA</v>
      </c>
      <c r="M59" s="4" t="str">
        <f>_xlfn.IFNA(VLOOKUP($J59,WH_Data[],5,FALSE),"")</f>
        <v>IntelliVue MX450</v>
      </c>
      <c r="N59" s="4" t="str">
        <f>_xlfn.IFNA(VLOOKUP($J59,WH_Data[],7,FALSE),"")</f>
        <v>DE671L7309</v>
      </c>
      <c r="O59" s="4" t="str">
        <f>_xlfn.IFNA(VLOOKUP($J59,WH_Data[],8,FALSE),"")</f>
        <v>ED FH</v>
      </c>
      <c r="P59" s="8">
        <v>1</v>
      </c>
      <c r="Q59" s="209">
        <f>Mon_ILR2[[#This Row],[Qty Required]]-Mon_ILR2[[#This Row],[QTY Transfer]]</f>
        <v>0</v>
      </c>
      <c r="R59" s="66" t="s">
        <v>905</v>
      </c>
      <c r="S59" s="66" t="s">
        <v>931</v>
      </c>
      <c r="T59" s="210">
        <v>629</v>
      </c>
      <c r="U59" s="210">
        <f>_xlfn.IFNA(VLOOKUP(Mon_ILR2[[#This Row],[New Model]],PhilipsLibary[],5,FALSE),"0")</f>
        <v>1127</v>
      </c>
      <c r="V59" s="210">
        <v>1659</v>
      </c>
      <c r="W59" s="210">
        <v>3415</v>
      </c>
      <c r="X59" s="246" t="s">
        <v>1028</v>
      </c>
      <c r="Y59" s="246" t="s">
        <v>988</v>
      </c>
      <c r="Z59" s="6" t="s">
        <v>45</v>
      </c>
      <c r="AA59" s="6" t="s">
        <v>46</v>
      </c>
      <c r="AB59" s="6" t="s">
        <v>47</v>
      </c>
      <c r="AC59" s="6" t="s">
        <v>48</v>
      </c>
      <c r="AD59" s="6" t="s">
        <v>49</v>
      </c>
      <c r="AE59" s="6" t="s">
        <v>50</v>
      </c>
      <c r="AF59" s="6" t="s">
        <v>50</v>
      </c>
      <c r="AG59" s="6" t="s">
        <v>50</v>
      </c>
      <c r="AH59" s="6" t="s">
        <v>50</v>
      </c>
      <c r="AI59" s="6" t="s">
        <v>51</v>
      </c>
      <c r="AJ59" s="6" t="s">
        <v>50</v>
      </c>
      <c r="AK59" s="6" t="s">
        <v>50</v>
      </c>
      <c r="AL59" s="6" t="s">
        <v>52</v>
      </c>
      <c r="AM59" s="6" t="s">
        <v>53</v>
      </c>
      <c r="AN59" s="6" t="s">
        <v>50</v>
      </c>
      <c r="AO59" s="6" t="s">
        <v>54</v>
      </c>
    </row>
    <row r="60" spans="2:41" ht="135" x14ac:dyDescent="0.25">
      <c r="B60" s="207" t="s">
        <v>275</v>
      </c>
      <c r="C60" s="66" t="s">
        <v>734</v>
      </c>
      <c r="D60" s="4" t="s">
        <v>756</v>
      </c>
      <c r="E60" s="4" t="s">
        <v>1027</v>
      </c>
      <c r="F60" s="4" t="s">
        <v>932</v>
      </c>
      <c r="G60" s="4" t="s">
        <v>39</v>
      </c>
      <c r="H60" s="208">
        <v>1</v>
      </c>
      <c r="I60" s="4"/>
      <c r="J60" s="46" t="s">
        <v>1044</v>
      </c>
      <c r="K60" s="4" t="str">
        <f>_xlfn.IFNA(VLOOKUP($J60,WH_Data[],6,FALSE),"")</f>
        <v>MONITORING SYSTEMS, PHYSIOLOGIC</v>
      </c>
      <c r="L60" s="4" t="str">
        <f>_xlfn.IFNA(VLOOKUP($J60,WH_Data[],3,FALSE),"")</f>
        <v>PHILIPS MEDICAL SYSTEMS AUSTRA</v>
      </c>
      <c r="M60" s="4" t="str">
        <f>_xlfn.IFNA(VLOOKUP($J60,WH_Data[],5,FALSE),"")</f>
        <v>IntelliVue MX450</v>
      </c>
      <c r="N60" s="4" t="str">
        <f>_xlfn.IFNA(VLOOKUP($J60,WH_Data[],7,FALSE),"")</f>
        <v>DE671L7229</v>
      </c>
      <c r="O60" s="4" t="str">
        <f>_xlfn.IFNA(VLOOKUP($J60,WH_Data[],8,FALSE),"")</f>
        <v>ED FH</v>
      </c>
      <c r="P60" s="8">
        <v>1</v>
      </c>
      <c r="Q60" s="209">
        <f>Mon_ILR2[[#This Row],[Qty Required]]-Mon_ILR2[[#This Row],[QTY Transfer]]</f>
        <v>0</v>
      </c>
      <c r="R60" s="66" t="s">
        <v>905</v>
      </c>
      <c r="S60" s="66" t="s">
        <v>931</v>
      </c>
      <c r="T60" s="210">
        <v>629</v>
      </c>
      <c r="U60" s="210">
        <f>_xlfn.IFNA(VLOOKUP(Mon_ILR2[[#This Row],[New Model]],PhilipsLibary[],5,FALSE),"0")</f>
        <v>1127</v>
      </c>
      <c r="V60" s="210">
        <v>1659</v>
      </c>
      <c r="W60" s="210">
        <v>3415</v>
      </c>
      <c r="X60" s="246" t="s">
        <v>1028</v>
      </c>
      <c r="Y60" s="246" t="s">
        <v>988</v>
      </c>
      <c r="Z60" s="6" t="s">
        <v>45</v>
      </c>
      <c r="AA60" s="6" t="s">
        <v>46</v>
      </c>
      <c r="AB60" s="6" t="s">
        <v>47</v>
      </c>
      <c r="AC60" s="6" t="s">
        <v>48</v>
      </c>
      <c r="AD60" s="6" t="s">
        <v>49</v>
      </c>
      <c r="AE60" s="6" t="s">
        <v>50</v>
      </c>
      <c r="AF60" s="6" t="s">
        <v>50</v>
      </c>
      <c r="AG60" s="6" t="s">
        <v>50</v>
      </c>
      <c r="AH60" s="6" t="s">
        <v>50</v>
      </c>
      <c r="AI60" s="6" t="s">
        <v>51</v>
      </c>
      <c r="AJ60" s="6" t="s">
        <v>50</v>
      </c>
      <c r="AK60" s="6" t="s">
        <v>50</v>
      </c>
      <c r="AL60" s="6" t="s">
        <v>52</v>
      </c>
      <c r="AM60" s="6" t="s">
        <v>53</v>
      </c>
      <c r="AN60" s="6" t="s">
        <v>50</v>
      </c>
      <c r="AO60" s="6" t="s">
        <v>54</v>
      </c>
    </row>
    <row r="61" spans="2:41" ht="135" x14ac:dyDescent="0.25">
      <c r="B61" s="207" t="s">
        <v>275</v>
      </c>
      <c r="C61" s="66" t="s">
        <v>734</v>
      </c>
      <c r="D61" s="4" t="s">
        <v>757</v>
      </c>
      <c r="E61" s="4" t="s">
        <v>1027</v>
      </c>
      <c r="F61" s="4" t="s">
        <v>932</v>
      </c>
      <c r="G61" s="4" t="s">
        <v>39</v>
      </c>
      <c r="H61" s="208">
        <v>1</v>
      </c>
      <c r="I61" s="4"/>
      <c r="J61" s="46" t="s">
        <v>1045</v>
      </c>
      <c r="K61" s="4" t="str">
        <f>_xlfn.IFNA(VLOOKUP($J61,WH_Data[],6,FALSE),"")</f>
        <v>MONITORING SYSTEMS, PHYSIOLOGIC</v>
      </c>
      <c r="L61" s="4" t="str">
        <f>_xlfn.IFNA(VLOOKUP($J61,WH_Data[],3,FALSE),"")</f>
        <v>PHILIPS MEDICAL SYSTEMS AUSTRA</v>
      </c>
      <c r="M61" s="4" t="str">
        <f>_xlfn.IFNA(VLOOKUP($J61,WH_Data[],5,FALSE),"")</f>
        <v>IntelliVue MX450</v>
      </c>
      <c r="N61" s="4" t="str">
        <f>_xlfn.IFNA(VLOOKUP($J61,WH_Data[],7,FALSE),"")</f>
        <v>DE671L7204</v>
      </c>
      <c r="O61" s="4" t="str">
        <f>_xlfn.IFNA(VLOOKUP($J61,WH_Data[],8,FALSE),"")</f>
        <v>ED FH</v>
      </c>
      <c r="P61" s="8">
        <v>1</v>
      </c>
      <c r="Q61" s="209">
        <f>Mon_ILR2[[#This Row],[Qty Required]]-Mon_ILR2[[#This Row],[QTY Transfer]]</f>
        <v>0</v>
      </c>
      <c r="R61" s="66" t="s">
        <v>905</v>
      </c>
      <c r="S61" s="66" t="s">
        <v>931</v>
      </c>
      <c r="T61" s="210">
        <v>629</v>
      </c>
      <c r="U61" s="210">
        <f>_xlfn.IFNA(VLOOKUP(Mon_ILR2[[#This Row],[New Model]],PhilipsLibary[],5,FALSE),"0")</f>
        <v>1127</v>
      </c>
      <c r="V61" s="210">
        <v>1659</v>
      </c>
      <c r="W61" s="210">
        <v>3415</v>
      </c>
      <c r="X61" s="246" t="s">
        <v>1028</v>
      </c>
      <c r="Y61" s="246" t="s">
        <v>988</v>
      </c>
      <c r="Z61" s="6" t="s">
        <v>45</v>
      </c>
      <c r="AA61" s="6" t="s">
        <v>46</v>
      </c>
      <c r="AB61" s="6" t="s">
        <v>47</v>
      </c>
      <c r="AC61" s="6" t="s">
        <v>48</v>
      </c>
      <c r="AD61" s="6" t="s">
        <v>49</v>
      </c>
      <c r="AE61" s="6" t="s">
        <v>50</v>
      </c>
      <c r="AF61" s="6" t="s">
        <v>50</v>
      </c>
      <c r="AG61" s="6" t="s">
        <v>50</v>
      </c>
      <c r="AH61" s="6" t="s">
        <v>50</v>
      </c>
      <c r="AI61" s="6" t="s">
        <v>51</v>
      </c>
      <c r="AJ61" s="6" t="s">
        <v>50</v>
      </c>
      <c r="AK61" s="6" t="s">
        <v>50</v>
      </c>
      <c r="AL61" s="6" t="s">
        <v>52</v>
      </c>
      <c r="AM61" s="6" t="s">
        <v>53</v>
      </c>
      <c r="AN61" s="6" t="s">
        <v>50</v>
      </c>
      <c r="AO61" s="6" t="s">
        <v>54</v>
      </c>
    </row>
    <row r="62" spans="2:41" ht="135" x14ac:dyDescent="0.25">
      <c r="B62" s="207" t="s">
        <v>275</v>
      </c>
      <c r="C62" s="66" t="s">
        <v>734</v>
      </c>
      <c r="D62" s="4" t="s">
        <v>758</v>
      </c>
      <c r="E62" s="4" t="s">
        <v>1027</v>
      </c>
      <c r="F62" s="4" t="s">
        <v>932</v>
      </c>
      <c r="G62" s="4" t="s">
        <v>39</v>
      </c>
      <c r="H62" s="208">
        <v>1</v>
      </c>
      <c r="I62" s="4"/>
      <c r="J62" s="46" t="s">
        <v>1046</v>
      </c>
      <c r="K62" s="4" t="str">
        <f>_xlfn.IFNA(VLOOKUP($J62,WH_Data[],6,FALSE),"")</f>
        <v>MONITORING SYSTEMS, PHYSIOLOGIC</v>
      </c>
      <c r="L62" s="4" t="str">
        <f>_xlfn.IFNA(VLOOKUP($J62,WH_Data[],3,FALSE),"")</f>
        <v>PHILIPS MEDICAL SYSTEMS AUSTRA</v>
      </c>
      <c r="M62" s="4" t="str">
        <f>_xlfn.IFNA(VLOOKUP($J62,WH_Data[],5,FALSE),"")</f>
        <v>IntelliVue MX450</v>
      </c>
      <c r="N62" s="4" t="str">
        <f>_xlfn.IFNA(VLOOKUP($J62,WH_Data[],7,FALSE),"")</f>
        <v>DE671L7208</v>
      </c>
      <c r="O62" s="4" t="str">
        <f>_xlfn.IFNA(VLOOKUP($J62,WH_Data[],8,FALSE),"")</f>
        <v>ED FH</v>
      </c>
      <c r="P62" s="8">
        <v>1</v>
      </c>
      <c r="Q62" s="209">
        <f>Mon_ILR2[[#This Row],[Qty Required]]-Mon_ILR2[[#This Row],[QTY Transfer]]</f>
        <v>0</v>
      </c>
      <c r="R62" s="66" t="s">
        <v>905</v>
      </c>
      <c r="S62" s="66" t="s">
        <v>931</v>
      </c>
      <c r="T62" s="210">
        <v>629</v>
      </c>
      <c r="U62" s="210">
        <f>_xlfn.IFNA(VLOOKUP(Mon_ILR2[[#This Row],[New Model]],PhilipsLibary[],5,FALSE),"0")</f>
        <v>1127</v>
      </c>
      <c r="V62" s="210">
        <v>1659</v>
      </c>
      <c r="W62" s="210">
        <v>3415</v>
      </c>
      <c r="X62" s="246" t="s">
        <v>1028</v>
      </c>
      <c r="Y62" s="246" t="s">
        <v>988</v>
      </c>
      <c r="Z62" s="6" t="s">
        <v>45</v>
      </c>
      <c r="AA62" s="6" t="s">
        <v>46</v>
      </c>
      <c r="AB62" s="6" t="s">
        <v>47</v>
      </c>
      <c r="AC62" s="6" t="s">
        <v>48</v>
      </c>
      <c r="AD62" s="6" t="s">
        <v>49</v>
      </c>
      <c r="AE62" s="6" t="s">
        <v>50</v>
      </c>
      <c r="AF62" s="6" t="s">
        <v>50</v>
      </c>
      <c r="AG62" s="6" t="s">
        <v>50</v>
      </c>
      <c r="AH62" s="6" t="s">
        <v>50</v>
      </c>
      <c r="AI62" s="6" t="s">
        <v>51</v>
      </c>
      <c r="AJ62" s="6" t="s">
        <v>50</v>
      </c>
      <c r="AK62" s="6" t="s">
        <v>50</v>
      </c>
      <c r="AL62" s="6" t="s">
        <v>52</v>
      </c>
      <c r="AM62" s="6" t="s">
        <v>53</v>
      </c>
      <c r="AN62" s="6" t="s">
        <v>50</v>
      </c>
      <c r="AO62" s="6" t="s">
        <v>54</v>
      </c>
    </row>
    <row r="63" spans="2:41" ht="135" x14ac:dyDescent="0.25">
      <c r="B63" s="207" t="s">
        <v>275</v>
      </c>
      <c r="C63" s="66" t="s">
        <v>705</v>
      </c>
      <c r="D63" s="4" t="s">
        <v>706</v>
      </c>
      <c r="E63" s="4" t="s">
        <v>1027</v>
      </c>
      <c r="F63" s="4" t="s">
        <v>932</v>
      </c>
      <c r="G63" s="4" t="s">
        <v>39</v>
      </c>
      <c r="H63" s="208">
        <v>1</v>
      </c>
      <c r="I63" s="4"/>
      <c r="J63" s="46" t="s">
        <v>1047</v>
      </c>
      <c r="K63" s="4" t="str">
        <f>_xlfn.IFNA(VLOOKUP($J63,WH_Data[],6,FALSE),"")</f>
        <v>MONITORING SYSTEMS, PHYSIOLOGIC</v>
      </c>
      <c r="L63" s="4" t="str">
        <f>_xlfn.IFNA(VLOOKUP($J63,WH_Data[],3,FALSE),"")</f>
        <v>PHILIPS MEDICAL SYSTEMS AUSTRA</v>
      </c>
      <c r="M63" s="4" t="str">
        <f>_xlfn.IFNA(VLOOKUP($J63,WH_Data[],5,FALSE),"")</f>
        <v>IntelliVue MX450</v>
      </c>
      <c r="N63" s="4" t="str">
        <f>_xlfn.IFNA(VLOOKUP($J63,WH_Data[],7,FALSE),"")</f>
        <v>DE671L7213</v>
      </c>
      <c r="O63" s="4" t="str">
        <f>_xlfn.IFNA(VLOOKUP($J63,WH_Data[],8,FALSE),"")</f>
        <v>ED FH</v>
      </c>
      <c r="P63" s="8">
        <v>1</v>
      </c>
      <c r="Q63" s="209">
        <f>Mon_ILR2[[#This Row],[Qty Required]]-Mon_ILR2[[#This Row],[QTY Transfer]]</f>
        <v>0</v>
      </c>
      <c r="R63" s="66" t="s">
        <v>905</v>
      </c>
      <c r="S63" s="66" t="s">
        <v>931</v>
      </c>
      <c r="T63" s="210">
        <v>629</v>
      </c>
      <c r="U63" s="210">
        <f>_xlfn.IFNA(VLOOKUP(Mon_ILR2[[#This Row],[New Model]],PhilipsLibary[],5,FALSE),"0")</f>
        <v>1127</v>
      </c>
      <c r="V63" s="210">
        <v>1659</v>
      </c>
      <c r="W63" s="210">
        <v>3415</v>
      </c>
      <c r="X63" s="246" t="s">
        <v>1028</v>
      </c>
      <c r="Y63" s="246" t="s">
        <v>988</v>
      </c>
      <c r="Z63" s="6" t="s">
        <v>45</v>
      </c>
      <c r="AA63" s="6" t="s">
        <v>46</v>
      </c>
      <c r="AB63" s="6" t="s">
        <v>47</v>
      </c>
      <c r="AC63" s="6" t="s">
        <v>48</v>
      </c>
      <c r="AD63" s="6" t="s">
        <v>49</v>
      </c>
      <c r="AE63" s="6" t="s">
        <v>50</v>
      </c>
      <c r="AF63" s="6" t="s">
        <v>50</v>
      </c>
      <c r="AG63" s="6" t="s">
        <v>50</v>
      </c>
      <c r="AH63" s="6" t="s">
        <v>50</v>
      </c>
      <c r="AI63" s="6" t="s">
        <v>51</v>
      </c>
      <c r="AJ63" s="6" t="s">
        <v>50</v>
      </c>
      <c r="AK63" s="6" t="s">
        <v>50</v>
      </c>
      <c r="AL63" s="6" t="s">
        <v>52</v>
      </c>
      <c r="AM63" s="6" t="s">
        <v>53</v>
      </c>
      <c r="AN63" s="6" t="s">
        <v>50</v>
      </c>
      <c r="AO63" s="6" t="s">
        <v>54</v>
      </c>
    </row>
    <row r="64" spans="2:41" ht="135" x14ac:dyDescent="0.25">
      <c r="B64" s="207" t="s">
        <v>275</v>
      </c>
      <c r="C64" s="66" t="s">
        <v>705</v>
      </c>
      <c r="D64" s="4" t="s">
        <v>712</v>
      </c>
      <c r="E64" s="4" t="s">
        <v>1027</v>
      </c>
      <c r="F64" s="4" t="s">
        <v>932</v>
      </c>
      <c r="G64" s="4" t="s">
        <v>39</v>
      </c>
      <c r="H64" s="208">
        <v>1</v>
      </c>
      <c r="I64" s="4"/>
      <c r="J64" s="46" t="s">
        <v>1048</v>
      </c>
      <c r="K64" s="4" t="str">
        <f>_xlfn.IFNA(VLOOKUP($J64,WH_Data[],6,FALSE),"")</f>
        <v>MONITORING SYSTEMS, PHYSIOLOGIC</v>
      </c>
      <c r="L64" s="4" t="str">
        <f>_xlfn.IFNA(VLOOKUP($J64,WH_Data[],3,FALSE),"")</f>
        <v>PHILIPS MEDICAL SYSTEMS AUSTRA</v>
      </c>
      <c r="M64" s="4" t="str">
        <f>_xlfn.IFNA(VLOOKUP($J64,WH_Data[],5,FALSE),"")</f>
        <v>IntelliVue MX450</v>
      </c>
      <c r="N64" s="4" t="str">
        <f>_xlfn.IFNA(VLOOKUP($J64,WH_Data[],7,FALSE),"")</f>
        <v>DE35157530</v>
      </c>
      <c r="O64" s="4" t="str">
        <f>_xlfn.IFNA(VLOOKUP($J64,WH_Data[],8,FALSE),"")</f>
        <v>Biomed</v>
      </c>
      <c r="P64" s="8">
        <v>1</v>
      </c>
      <c r="Q64" s="209">
        <f>Mon_ILR2[[#This Row],[Qty Required]]-Mon_ILR2[[#This Row],[QTY Transfer]]</f>
        <v>0</v>
      </c>
      <c r="R64" s="66" t="s">
        <v>905</v>
      </c>
      <c r="S64" s="66" t="s">
        <v>931</v>
      </c>
      <c r="T64" s="210">
        <v>629</v>
      </c>
      <c r="U64" s="210">
        <f>_xlfn.IFNA(VLOOKUP(Mon_ILR2[[#This Row],[New Model]],PhilipsLibary[],5,FALSE),"0")</f>
        <v>1127</v>
      </c>
      <c r="V64" s="210">
        <v>1659</v>
      </c>
      <c r="W64" s="210">
        <v>3415</v>
      </c>
      <c r="X64" s="246" t="s">
        <v>1028</v>
      </c>
      <c r="Y64" s="246" t="s">
        <v>988</v>
      </c>
      <c r="Z64" s="6" t="s">
        <v>45</v>
      </c>
      <c r="AA64" s="6" t="s">
        <v>46</v>
      </c>
      <c r="AB64" s="6" t="s">
        <v>47</v>
      </c>
      <c r="AC64" s="6" t="s">
        <v>48</v>
      </c>
      <c r="AD64" s="6" t="s">
        <v>49</v>
      </c>
      <c r="AE64" s="6" t="s">
        <v>50</v>
      </c>
      <c r="AF64" s="6" t="s">
        <v>50</v>
      </c>
      <c r="AG64" s="6" t="s">
        <v>50</v>
      </c>
      <c r="AH64" s="6" t="s">
        <v>50</v>
      </c>
      <c r="AI64" s="6" t="s">
        <v>51</v>
      </c>
      <c r="AJ64" s="6" t="s">
        <v>50</v>
      </c>
      <c r="AK64" s="6" t="s">
        <v>50</v>
      </c>
      <c r="AL64" s="6" t="s">
        <v>52</v>
      </c>
      <c r="AM64" s="6" t="s">
        <v>53</v>
      </c>
      <c r="AN64" s="6" t="s">
        <v>50</v>
      </c>
      <c r="AO64" s="6" t="s">
        <v>54</v>
      </c>
    </row>
    <row r="65" spans="2:41" ht="135" x14ac:dyDescent="0.25">
      <c r="B65" s="207" t="s">
        <v>275</v>
      </c>
      <c r="C65" s="66" t="s">
        <v>705</v>
      </c>
      <c r="D65" s="4" t="s">
        <v>721</v>
      </c>
      <c r="E65" s="4" t="s">
        <v>1027</v>
      </c>
      <c r="F65" s="4" t="s">
        <v>932</v>
      </c>
      <c r="G65" s="4" t="s">
        <v>39</v>
      </c>
      <c r="H65" s="208">
        <v>1</v>
      </c>
      <c r="I65" s="4"/>
      <c r="J65" s="46" t="s">
        <v>1049</v>
      </c>
      <c r="K65" s="4" t="str">
        <f>_xlfn.IFNA(VLOOKUP($J65,WH_Data[],6,FALSE),"")</f>
        <v>MONITORING SYSTEMS, PHYSIOLOGIC</v>
      </c>
      <c r="L65" s="4" t="str">
        <f>_xlfn.IFNA(VLOOKUP($J65,WH_Data[],3,FALSE),"")</f>
        <v>PHILIPS MEDICAL SYSTEMS AUSTRA</v>
      </c>
      <c r="M65" s="4" t="str">
        <f>_xlfn.IFNA(VLOOKUP($J65,WH_Data[],5,FALSE),"")</f>
        <v>IntelliVue MX450</v>
      </c>
      <c r="N65" s="4" t="str">
        <f>_xlfn.IFNA(VLOOKUP($J65,WH_Data[],7,FALSE),"")</f>
        <v>DE671L0248</v>
      </c>
      <c r="O65" s="4" t="str">
        <f>_xlfn.IFNA(VLOOKUP($J65,WH_Data[],8,FALSE),"")</f>
        <v>ICU FH</v>
      </c>
      <c r="P65" s="8">
        <v>1</v>
      </c>
      <c r="Q65" s="209">
        <f>Mon_ILR2[[#This Row],[Qty Required]]-Mon_ILR2[[#This Row],[QTY Transfer]]</f>
        <v>0</v>
      </c>
      <c r="R65" s="66" t="s">
        <v>905</v>
      </c>
      <c r="S65" s="66" t="s">
        <v>931</v>
      </c>
      <c r="T65" s="210">
        <v>629</v>
      </c>
      <c r="U65" s="210">
        <f>_xlfn.IFNA(VLOOKUP(Mon_ILR2[[#This Row],[New Model]],PhilipsLibary[],5,FALSE),"0")</f>
        <v>1127</v>
      </c>
      <c r="V65" s="210">
        <v>1659</v>
      </c>
      <c r="W65" s="210">
        <v>3415</v>
      </c>
      <c r="X65" s="246" t="s">
        <v>1028</v>
      </c>
      <c r="Y65" s="246" t="s">
        <v>988</v>
      </c>
      <c r="Z65" s="6" t="s">
        <v>45</v>
      </c>
      <c r="AA65" s="6" t="s">
        <v>46</v>
      </c>
      <c r="AB65" s="6" t="s">
        <v>47</v>
      </c>
      <c r="AC65" s="6" t="s">
        <v>48</v>
      </c>
      <c r="AD65" s="6" t="s">
        <v>49</v>
      </c>
      <c r="AE65" s="6" t="s">
        <v>50</v>
      </c>
      <c r="AF65" s="6" t="s">
        <v>50</v>
      </c>
      <c r="AG65" s="6" t="s">
        <v>50</v>
      </c>
      <c r="AH65" s="6" t="s">
        <v>50</v>
      </c>
      <c r="AI65" s="6" t="s">
        <v>51</v>
      </c>
      <c r="AJ65" s="6" t="s">
        <v>50</v>
      </c>
      <c r="AK65" s="6" t="s">
        <v>50</v>
      </c>
      <c r="AL65" s="6" t="s">
        <v>52</v>
      </c>
      <c r="AM65" s="6" t="s">
        <v>53</v>
      </c>
      <c r="AN65" s="6" t="s">
        <v>50</v>
      </c>
      <c r="AO65" s="6" t="s">
        <v>54</v>
      </c>
    </row>
    <row r="66" spans="2:41" ht="135" x14ac:dyDescent="0.25">
      <c r="B66" s="207" t="s">
        <v>275</v>
      </c>
      <c r="C66" s="66" t="s">
        <v>705</v>
      </c>
      <c r="D66" s="4" t="s">
        <v>731</v>
      </c>
      <c r="E66" s="4" t="s">
        <v>1027</v>
      </c>
      <c r="F66" s="4" t="s">
        <v>932</v>
      </c>
      <c r="G66" s="4" t="s">
        <v>39</v>
      </c>
      <c r="H66" s="208">
        <v>1</v>
      </c>
      <c r="I66" s="4"/>
      <c r="J66" s="46" t="s">
        <v>1050</v>
      </c>
      <c r="K66" s="4" t="str">
        <f>_xlfn.IFNA(VLOOKUP($J66,WH_Data[],6,FALSE),"")</f>
        <v>MONITORING SYSTEMS, PHYSIOLOGIC</v>
      </c>
      <c r="L66" s="4" t="str">
        <f>_xlfn.IFNA(VLOOKUP($J66,WH_Data[],3,FALSE),"")</f>
        <v>PHILIPS MEDICAL SYSTEMS AUSTRA</v>
      </c>
      <c r="M66" s="4" t="str">
        <f>_xlfn.IFNA(VLOOKUP($J66,WH_Data[],5,FALSE),"")</f>
        <v>IntelliVue MX450</v>
      </c>
      <c r="N66" s="4" t="str">
        <f>_xlfn.IFNA(VLOOKUP($J66,WH_Data[],7,FALSE),"")</f>
        <v>DE671K9625</v>
      </c>
      <c r="O66" s="4" t="str">
        <f>_xlfn.IFNA(VLOOKUP($J66,WH_Data[],8,FALSE),"")</f>
        <v>FH Plant room</v>
      </c>
      <c r="P66" s="8">
        <v>1</v>
      </c>
      <c r="Q66" s="209">
        <f>Mon_ILR2[[#This Row],[Qty Required]]-Mon_ILR2[[#This Row],[QTY Transfer]]</f>
        <v>0</v>
      </c>
      <c r="R66" s="66" t="s">
        <v>905</v>
      </c>
      <c r="S66" s="66" t="s">
        <v>931</v>
      </c>
      <c r="T66" s="210">
        <v>629</v>
      </c>
      <c r="U66" s="210">
        <f>_xlfn.IFNA(VLOOKUP(Mon_ILR2[[#This Row],[New Model]],PhilipsLibary[],5,FALSE),"0")</f>
        <v>1127</v>
      </c>
      <c r="V66" s="210">
        <v>1659</v>
      </c>
      <c r="W66" s="210">
        <v>3415</v>
      </c>
      <c r="X66" s="246" t="s">
        <v>1028</v>
      </c>
      <c r="Y66" s="246" t="s">
        <v>988</v>
      </c>
      <c r="Z66" s="6" t="s">
        <v>45</v>
      </c>
      <c r="AA66" s="6" t="s">
        <v>46</v>
      </c>
      <c r="AB66" s="6" t="s">
        <v>47</v>
      </c>
      <c r="AC66" s="6" t="s">
        <v>48</v>
      </c>
      <c r="AD66" s="6" t="s">
        <v>49</v>
      </c>
      <c r="AE66" s="6" t="s">
        <v>50</v>
      </c>
      <c r="AF66" s="6" t="s">
        <v>50</v>
      </c>
      <c r="AG66" s="6" t="s">
        <v>50</v>
      </c>
      <c r="AH66" s="6" t="s">
        <v>50</v>
      </c>
      <c r="AI66" s="6" t="s">
        <v>51</v>
      </c>
      <c r="AJ66" s="6" t="s">
        <v>50</v>
      </c>
      <c r="AK66" s="6" t="s">
        <v>50</v>
      </c>
      <c r="AL66" s="6" t="s">
        <v>52</v>
      </c>
      <c r="AM66" s="6" t="s">
        <v>53</v>
      </c>
      <c r="AN66" s="6" t="s">
        <v>50</v>
      </c>
      <c r="AO66" s="6" t="s">
        <v>54</v>
      </c>
    </row>
    <row r="67" spans="2:41" ht="135" x14ac:dyDescent="0.25">
      <c r="B67" s="207" t="s">
        <v>275</v>
      </c>
      <c r="C67" s="66" t="s">
        <v>705</v>
      </c>
      <c r="D67" s="4" t="s">
        <v>737</v>
      </c>
      <c r="E67" s="4" t="s">
        <v>1027</v>
      </c>
      <c r="F67" s="4" t="s">
        <v>932</v>
      </c>
      <c r="G67" s="4" t="s">
        <v>39</v>
      </c>
      <c r="H67" s="208">
        <v>1</v>
      </c>
      <c r="I67" s="4"/>
      <c r="J67" s="46" t="s">
        <v>1051</v>
      </c>
      <c r="K67" s="4" t="str">
        <f>_xlfn.IFNA(VLOOKUP($J67,WH_Data[],6,FALSE),"")</f>
        <v>MONITORING SYSTEMS, PHYSIOLOGIC</v>
      </c>
      <c r="L67" s="4" t="str">
        <f>_xlfn.IFNA(VLOOKUP($J67,WH_Data[],3,FALSE),"")</f>
        <v>PHILIPS MEDICAL SYSTEMS AUSTRA</v>
      </c>
      <c r="M67" s="4" t="str">
        <f>_xlfn.IFNA(VLOOKUP($J67,WH_Data[],5,FALSE),"")</f>
        <v>IntelliVue MX450</v>
      </c>
      <c r="N67" s="4" t="str">
        <f>_xlfn.IFNA(VLOOKUP($J67,WH_Data[],7,FALSE),"")</f>
        <v>DE671K9649</v>
      </c>
      <c r="O67" s="4" t="str">
        <f>_xlfn.IFNA(VLOOKUP($J67,WH_Data[],8,FALSE),"")</f>
        <v xml:space="preserve">FH ED </v>
      </c>
      <c r="P67" s="8">
        <v>1</v>
      </c>
      <c r="Q67" s="209">
        <f>Mon_ILR2[[#This Row],[Qty Required]]-Mon_ILR2[[#This Row],[QTY Transfer]]</f>
        <v>0</v>
      </c>
      <c r="R67" s="66" t="s">
        <v>905</v>
      </c>
      <c r="S67" s="66" t="s">
        <v>931</v>
      </c>
      <c r="T67" s="210">
        <v>629</v>
      </c>
      <c r="U67" s="210">
        <f>_xlfn.IFNA(VLOOKUP(Mon_ILR2[[#This Row],[New Model]],PhilipsLibary[],5,FALSE),"0")</f>
        <v>1127</v>
      </c>
      <c r="V67" s="210">
        <v>1659</v>
      </c>
      <c r="W67" s="210">
        <v>3415</v>
      </c>
      <c r="X67" s="246" t="s">
        <v>1028</v>
      </c>
      <c r="Y67" s="246" t="s">
        <v>988</v>
      </c>
      <c r="Z67" s="6" t="s">
        <v>45</v>
      </c>
      <c r="AA67" s="6" t="s">
        <v>46</v>
      </c>
      <c r="AB67" s="6" t="s">
        <v>47</v>
      </c>
      <c r="AC67" s="6" t="s">
        <v>48</v>
      </c>
      <c r="AD67" s="6" t="s">
        <v>49</v>
      </c>
      <c r="AE67" s="6" t="s">
        <v>50</v>
      </c>
      <c r="AF67" s="6" t="s">
        <v>50</v>
      </c>
      <c r="AG67" s="6" t="s">
        <v>50</v>
      </c>
      <c r="AH67" s="6" t="s">
        <v>50</v>
      </c>
      <c r="AI67" s="6" t="s">
        <v>51</v>
      </c>
      <c r="AJ67" s="6" t="s">
        <v>50</v>
      </c>
      <c r="AK67" s="6" t="s">
        <v>50</v>
      </c>
      <c r="AL67" s="6" t="s">
        <v>52</v>
      </c>
      <c r="AM67" s="6" t="s">
        <v>53</v>
      </c>
      <c r="AN67" s="6" t="s">
        <v>50</v>
      </c>
      <c r="AO67" s="6" t="s">
        <v>54</v>
      </c>
    </row>
    <row r="68" spans="2:41" ht="135" x14ac:dyDescent="0.25">
      <c r="B68" s="207" t="s">
        <v>275</v>
      </c>
      <c r="C68" s="66" t="s">
        <v>705</v>
      </c>
      <c r="D68" s="4" t="s">
        <v>743</v>
      </c>
      <c r="E68" s="4" t="s">
        <v>1027</v>
      </c>
      <c r="F68" s="4" t="s">
        <v>932</v>
      </c>
      <c r="G68" s="4" t="s">
        <v>39</v>
      </c>
      <c r="H68" s="208">
        <v>1</v>
      </c>
      <c r="I68" s="4"/>
      <c r="J68" s="46" t="s">
        <v>1052</v>
      </c>
      <c r="K68" s="4" t="str">
        <f>_xlfn.IFNA(VLOOKUP($J68,WH_Data[],6,FALSE),"")</f>
        <v>MONITORING SYSTEMS, PHYSIOLOGIC</v>
      </c>
      <c r="L68" s="4" t="str">
        <f>_xlfn.IFNA(VLOOKUP($J68,WH_Data[],3,FALSE),"")</f>
        <v>PHILIPS MEDICAL SYSTEMS AUSTRA</v>
      </c>
      <c r="M68" s="4" t="str">
        <f>_xlfn.IFNA(VLOOKUP($J68,WH_Data[],5,FALSE),"")</f>
        <v>IntelliVue MX450</v>
      </c>
      <c r="N68" s="4" t="str">
        <f>_xlfn.IFNA(VLOOKUP($J68,WH_Data[],7,FALSE),"")</f>
        <v>DE671K9663</v>
      </c>
      <c r="O68" s="4" t="str">
        <f>_xlfn.IFNA(VLOOKUP($J68,WH_Data[],8,FALSE),"")</f>
        <v>FH Plant room</v>
      </c>
      <c r="P68" s="8">
        <v>1</v>
      </c>
      <c r="Q68" s="209">
        <f>Mon_ILR2[[#This Row],[Qty Required]]-Mon_ILR2[[#This Row],[QTY Transfer]]</f>
        <v>0</v>
      </c>
      <c r="R68" s="66" t="s">
        <v>905</v>
      </c>
      <c r="S68" s="66" t="s">
        <v>931</v>
      </c>
      <c r="T68" s="210">
        <v>629</v>
      </c>
      <c r="U68" s="210">
        <f>_xlfn.IFNA(VLOOKUP(Mon_ILR2[[#This Row],[New Model]],PhilipsLibary[],5,FALSE),"0")</f>
        <v>1127</v>
      </c>
      <c r="V68" s="210">
        <v>1659</v>
      </c>
      <c r="W68" s="210">
        <v>3415</v>
      </c>
      <c r="X68" s="246" t="s">
        <v>1028</v>
      </c>
      <c r="Y68" s="246" t="s">
        <v>988</v>
      </c>
      <c r="Z68" s="6" t="s">
        <v>45</v>
      </c>
      <c r="AA68" s="6" t="s">
        <v>46</v>
      </c>
      <c r="AB68" s="6" t="s">
        <v>47</v>
      </c>
      <c r="AC68" s="6" t="s">
        <v>48</v>
      </c>
      <c r="AD68" s="6" t="s">
        <v>49</v>
      </c>
      <c r="AE68" s="6" t="s">
        <v>50</v>
      </c>
      <c r="AF68" s="6" t="s">
        <v>50</v>
      </c>
      <c r="AG68" s="6" t="s">
        <v>50</v>
      </c>
      <c r="AH68" s="6" t="s">
        <v>50</v>
      </c>
      <c r="AI68" s="6" t="s">
        <v>51</v>
      </c>
      <c r="AJ68" s="6" t="s">
        <v>50</v>
      </c>
      <c r="AK68" s="6" t="s">
        <v>50</v>
      </c>
      <c r="AL68" s="6" t="s">
        <v>52</v>
      </c>
      <c r="AM68" s="6" t="s">
        <v>53</v>
      </c>
      <c r="AN68" s="6" t="s">
        <v>50</v>
      </c>
      <c r="AO68" s="6" t="s">
        <v>54</v>
      </c>
    </row>
    <row r="69" spans="2:41" ht="135" x14ac:dyDescent="0.25">
      <c r="B69" s="207" t="s">
        <v>275</v>
      </c>
      <c r="C69" s="66" t="s">
        <v>705</v>
      </c>
      <c r="D69" s="4" t="s">
        <v>744</v>
      </c>
      <c r="E69" s="4" t="s">
        <v>1027</v>
      </c>
      <c r="F69" s="4" t="s">
        <v>932</v>
      </c>
      <c r="G69" s="4" t="s">
        <v>39</v>
      </c>
      <c r="H69" s="208">
        <v>1</v>
      </c>
      <c r="I69" s="4"/>
      <c r="J69" s="46" t="s">
        <v>1053</v>
      </c>
      <c r="K69" s="4" t="str">
        <f>_xlfn.IFNA(VLOOKUP($J69,WH_Data[],6,FALSE),"")</f>
        <v>MONITORING SYSTEMS, PHYSIOLOGIC</v>
      </c>
      <c r="L69" s="4" t="str">
        <f>_xlfn.IFNA(VLOOKUP($J69,WH_Data[],3,FALSE),"")</f>
        <v>PHILIPS MEDICAL SYSTEMS AUSTRA</v>
      </c>
      <c r="M69" s="4" t="str">
        <f>_xlfn.IFNA(VLOOKUP($J69,WH_Data[],5,FALSE),"")</f>
        <v>IntelliVue MX450</v>
      </c>
      <c r="N69" s="4" t="str">
        <f>_xlfn.IFNA(VLOOKUP($J69,WH_Data[],7,FALSE),"")</f>
        <v>DE671K9664</v>
      </c>
      <c r="O69" s="4" t="str">
        <f>_xlfn.IFNA(VLOOKUP($J69,WH_Data[],8,FALSE),"")</f>
        <v>FH Plant room</v>
      </c>
      <c r="P69" s="8">
        <v>1</v>
      </c>
      <c r="Q69" s="209">
        <f>Mon_ILR2[[#This Row],[Qty Required]]-Mon_ILR2[[#This Row],[QTY Transfer]]</f>
        <v>0</v>
      </c>
      <c r="R69" s="66" t="s">
        <v>905</v>
      </c>
      <c r="S69" s="66" t="s">
        <v>931</v>
      </c>
      <c r="T69" s="210">
        <v>629</v>
      </c>
      <c r="U69" s="210">
        <f>_xlfn.IFNA(VLOOKUP(Mon_ILR2[[#This Row],[New Model]],PhilipsLibary[],5,FALSE),"0")</f>
        <v>1127</v>
      </c>
      <c r="V69" s="210">
        <v>1659</v>
      </c>
      <c r="W69" s="210">
        <v>3415</v>
      </c>
      <c r="X69" s="246" t="s">
        <v>1028</v>
      </c>
      <c r="Y69" s="246" t="s">
        <v>988</v>
      </c>
      <c r="Z69" s="6" t="s">
        <v>45</v>
      </c>
      <c r="AA69" s="6" t="s">
        <v>46</v>
      </c>
      <c r="AB69" s="6" t="s">
        <v>47</v>
      </c>
      <c r="AC69" s="6" t="s">
        <v>48</v>
      </c>
      <c r="AD69" s="6" t="s">
        <v>49</v>
      </c>
      <c r="AE69" s="6" t="s">
        <v>50</v>
      </c>
      <c r="AF69" s="6" t="s">
        <v>50</v>
      </c>
      <c r="AG69" s="6" t="s">
        <v>50</v>
      </c>
      <c r="AH69" s="6" t="s">
        <v>50</v>
      </c>
      <c r="AI69" s="6" t="s">
        <v>51</v>
      </c>
      <c r="AJ69" s="6" t="s">
        <v>50</v>
      </c>
      <c r="AK69" s="6" t="s">
        <v>50</v>
      </c>
      <c r="AL69" s="6" t="s">
        <v>52</v>
      </c>
      <c r="AM69" s="6" t="s">
        <v>53</v>
      </c>
      <c r="AN69" s="6" t="s">
        <v>50</v>
      </c>
      <c r="AO69" s="6" t="s">
        <v>54</v>
      </c>
    </row>
    <row r="70" spans="2:41" ht="135" x14ac:dyDescent="0.25">
      <c r="B70" s="207" t="s">
        <v>275</v>
      </c>
      <c r="C70" s="66" t="s">
        <v>705</v>
      </c>
      <c r="D70" s="4" t="s">
        <v>745</v>
      </c>
      <c r="E70" s="4" t="s">
        <v>1027</v>
      </c>
      <c r="F70" s="4" t="s">
        <v>932</v>
      </c>
      <c r="G70" s="4" t="s">
        <v>39</v>
      </c>
      <c r="H70" s="208">
        <v>1</v>
      </c>
      <c r="I70" s="4"/>
      <c r="J70" s="46" t="s">
        <v>1054</v>
      </c>
      <c r="K70" s="4" t="str">
        <f>_xlfn.IFNA(VLOOKUP($J70,WH_Data[],6,FALSE),"")</f>
        <v>MONITORING SYSTEMS, PHYSIOLOGIC</v>
      </c>
      <c r="L70" s="4" t="str">
        <f>_xlfn.IFNA(VLOOKUP($J70,WH_Data[],3,FALSE),"")</f>
        <v>PHILIPS MEDICAL SYSTEMS AUSTRA</v>
      </c>
      <c r="M70" s="4" t="str">
        <f>_xlfn.IFNA(VLOOKUP($J70,WH_Data[],5,FALSE),"")</f>
        <v>IntelliVue MX450</v>
      </c>
      <c r="N70" s="4" t="str">
        <f>_xlfn.IFNA(VLOOKUP($J70,WH_Data[],7,FALSE),"")</f>
        <v>DE671K9644</v>
      </c>
      <c r="O70" s="4" t="str">
        <f>_xlfn.IFNA(VLOOKUP($J70,WH_Data[],8,FALSE),"")</f>
        <v>FH ED</v>
      </c>
      <c r="P70" s="8">
        <v>1</v>
      </c>
      <c r="Q70" s="209">
        <f>Mon_ILR2[[#This Row],[Qty Required]]-Mon_ILR2[[#This Row],[QTY Transfer]]</f>
        <v>0</v>
      </c>
      <c r="R70" s="66" t="s">
        <v>905</v>
      </c>
      <c r="S70" s="66" t="s">
        <v>931</v>
      </c>
      <c r="T70" s="210">
        <v>629</v>
      </c>
      <c r="U70" s="210">
        <f>_xlfn.IFNA(VLOOKUP(Mon_ILR2[[#This Row],[New Model]],PhilipsLibary[],5,FALSE),"0")</f>
        <v>1127</v>
      </c>
      <c r="V70" s="210">
        <v>1659</v>
      </c>
      <c r="W70" s="210">
        <v>3415</v>
      </c>
      <c r="X70" s="246" t="s">
        <v>1028</v>
      </c>
      <c r="Y70" s="246" t="s">
        <v>988</v>
      </c>
      <c r="Z70" s="6" t="s">
        <v>45</v>
      </c>
      <c r="AA70" s="6" t="s">
        <v>46</v>
      </c>
      <c r="AB70" s="6" t="s">
        <v>47</v>
      </c>
      <c r="AC70" s="6" t="s">
        <v>48</v>
      </c>
      <c r="AD70" s="6" t="s">
        <v>49</v>
      </c>
      <c r="AE70" s="6" t="s">
        <v>50</v>
      </c>
      <c r="AF70" s="6" t="s">
        <v>50</v>
      </c>
      <c r="AG70" s="6" t="s">
        <v>50</v>
      </c>
      <c r="AH70" s="6" t="s">
        <v>50</v>
      </c>
      <c r="AI70" s="6" t="s">
        <v>51</v>
      </c>
      <c r="AJ70" s="6" t="s">
        <v>50</v>
      </c>
      <c r="AK70" s="6" t="s">
        <v>50</v>
      </c>
      <c r="AL70" s="6" t="s">
        <v>52</v>
      </c>
      <c r="AM70" s="6" t="s">
        <v>53</v>
      </c>
      <c r="AN70" s="6" t="s">
        <v>50</v>
      </c>
      <c r="AO70" s="6" t="s">
        <v>54</v>
      </c>
    </row>
    <row r="71" spans="2:41" ht="135" x14ac:dyDescent="0.25">
      <c r="B71" s="207" t="s">
        <v>275</v>
      </c>
      <c r="C71" s="66" t="s">
        <v>693</v>
      </c>
      <c r="D71" s="4" t="s">
        <v>694</v>
      </c>
      <c r="E71" s="4" t="s">
        <v>1027</v>
      </c>
      <c r="F71" s="4" t="s">
        <v>932</v>
      </c>
      <c r="G71" s="4" t="s">
        <v>39</v>
      </c>
      <c r="H71" s="208">
        <v>1</v>
      </c>
      <c r="I71" s="4"/>
      <c r="J71" s="46" t="s">
        <v>1055</v>
      </c>
      <c r="K71" s="4" t="str">
        <f>_xlfn.IFNA(VLOOKUP($J71,WH_Data[],6,FALSE),"")</f>
        <v>MONITORING SYSTEMS, PHYSIOLOGIC</v>
      </c>
      <c r="L71" s="4" t="str">
        <f>_xlfn.IFNA(VLOOKUP($J71,WH_Data[],3,FALSE),"")</f>
        <v>PHILIPS MEDICAL SYSTEMS AUSTRA</v>
      </c>
      <c r="M71" s="4" t="str">
        <f>_xlfn.IFNA(VLOOKUP($J71,WH_Data[],5,FALSE),"")</f>
        <v>IntelliVue MX450</v>
      </c>
      <c r="N71" s="4" t="str">
        <f>_xlfn.IFNA(VLOOKUP($J71,WH_Data[],7,FALSE),"")</f>
        <v>DE671K6696</v>
      </c>
      <c r="O71" s="4" t="str">
        <f>_xlfn.IFNA(VLOOKUP($J71,WH_Data[],8,FALSE),"")</f>
        <v>FH Plant room</v>
      </c>
      <c r="P71" s="8">
        <v>1</v>
      </c>
      <c r="Q71" s="209">
        <f>Mon_ILR2[[#This Row],[Qty Required]]-Mon_ILR2[[#This Row],[QTY Transfer]]</f>
        <v>0</v>
      </c>
      <c r="R71" s="66" t="s">
        <v>905</v>
      </c>
      <c r="S71" s="66" t="s">
        <v>931</v>
      </c>
      <c r="T71" s="210">
        <v>629</v>
      </c>
      <c r="U71" s="210">
        <f>_xlfn.IFNA(VLOOKUP(Mon_ILR2[[#This Row],[New Model]],PhilipsLibary[],5,FALSE),"0")</f>
        <v>1127</v>
      </c>
      <c r="V71" s="210">
        <v>1659</v>
      </c>
      <c r="W71" s="210">
        <v>3415</v>
      </c>
      <c r="X71" s="246" t="s">
        <v>1028</v>
      </c>
      <c r="Y71" s="246" t="s">
        <v>988</v>
      </c>
      <c r="Z71" s="6" t="s">
        <v>45</v>
      </c>
      <c r="AA71" s="6" t="s">
        <v>46</v>
      </c>
      <c r="AB71" s="6" t="s">
        <v>47</v>
      </c>
      <c r="AC71" s="6" t="s">
        <v>48</v>
      </c>
      <c r="AD71" s="6" t="s">
        <v>49</v>
      </c>
      <c r="AE71" s="6" t="s">
        <v>50</v>
      </c>
      <c r="AF71" s="6" t="s">
        <v>50</v>
      </c>
      <c r="AG71" s="6" t="s">
        <v>50</v>
      </c>
      <c r="AH71" s="6" t="s">
        <v>50</v>
      </c>
      <c r="AI71" s="6" t="s">
        <v>51</v>
      </c>
      <c r="AJ71" s="6" t="s">
        <v>50</v>
      </c>
      <c r="AK71" s="6" t="s">
        <v>50</v>
      </c>
      <c r="AL71" s="6" t="s">
        <v>52</v>
      </c>
      <c r="AM71" s="6" t="s">
        <v>53</v>
      </c>
      <c r="AN71" s="6" t="s">
        <v>50</v>
      </c>
      <c r="AO71" s="6" t="s">
        <v>54</v>
      </c>
    </row>
    <row r="72" spans="2:41" ht="135" x14ac:dyDescent="0.25">
      <c r="B72" s="207" t="s">
        <v>275</v>
      </c>
      <c r="C72" s="66" t="s">
        <v>693</v>
      </c>
      <c r="D72" s="4" t="s">
        <v>695</v>
      </c>
      <c r="E72" s="4" t="s">
        <v>1027</v>
      </c>
      <c r="F72" s="4" t="s">
        <v>932</v>
      </c>
      <c r="G72" s="4" t="s">
        <v>39</v>
      </c>
      <c r="H72" s="208">
        <v>1</v>
      </c>
      <c r="I72" s="4"/>
      <c r="J72" s="46" t="s">
        <v>1056</v>
      </c>
      <c r="K72" s="4" t="str">
        <f>_xlfn.IFNA(VLOOKUP($J72,WH_Data[],6,FALSE),"")</f>
        <v>MONITORING SYSTEMS, PHYSIOLOGIC</v>
      </c>
      <c r="L72" s="4" t="str">
        <f>_xlfn.IFNA(VLOOKUP($J72,WH_Data[],3,FALSE),"")</f>
        <v>PHILIPS MEDICAL SYSTEMS AUSTRA</v>
      </c>
      <c r="M72" s="4" t="str">
        <f>_xlfn.IFNA(VLOOKUP($J72,WH_Data[],5,FALSE),"")</f>
        <v>IntelliVue MX450</v>
      </c>
      <c r="N72" s="4" t="str">
        <f>_xlfn.IFNA(VLOOKUP($J72,WH_Data[],7,FALSE),"")</f>
        <v>DE671K6647</v>
      </c>
      <c r="O72" s="4" t="str">
        <f>_xlfn.IFNA(VLOOKUP($J72,WH_Data[],8,FALSE),"")</f>
        <v>EOU - Cubicle 2</v>
      </c>
      <c r="P72" s="8">
        <v>1</v>
      </c>
      <c r="Q72" s="209">
        <f>Mon_ILR2[[#This Row],[Qty Required]]-Mon_ILR2[[#This Row],[QTY Transfer]]</f>
        <v>0</v>
      </c>
      <c r="R72" s="66" t="s">
        <v>905</v>
      </c>
      <c r="S72" s="66" t="s">
        <v>931</v>
      </c>
      <c r="T72" s="210">
        <v>629</v>
      </c>
      <c r="U72" s="210">
        <f>_xlfn.IFNA(VLOOKUP(Mon_ILR2[[#This Row],[New Model]],PhilipsLibary[],5,FALSE),"0")</f>
        <v>1127</v>
      </c>
      <c r="V72" s="210">
        <v>1659</v>
      </c>
      <c r="W72" s="210">
        <v>3415</v>
      </c>
      <c r="X72" s="246" t="s">
        <v>1028</v>
      </c>
      <c r="Y72" s="246" t="s">
        <v>988</v>
      </c>
      <c r="Z72" s="6" t="s">
        <v>45</v>
      </c>
      <c r="AA72" s="6" t="s">
        <v>46</v>
      </c>
      <c r="AB72" s="6" t="s">
        <v>47</v>
      </c>
      <c r="AC72" s="6" t="s">
        <v>48</v>
      </c>
      <c r="AD72" s="6" t="s">
        <v>49</v>
      </c>
      <c r="AE72" s="6" t="s">
        <v>50</v>
      </c>
      <c r="AF72" s="6" t="s">
        <v>50</v>
      </c>
      <c r="AG72" s="6" t="s">
        <v>50</v>
      </c>
      <c r="AH72" s="6" t="s">
        <v>50</v>
      </c>
      <c r="AI72" s="6" t="s">
        <v>51</v>
      </c>
      <c r="AJ72" s="6" t="s">
        <v>50</v>
      </c>
      <c r="AK72" s="6" t="s">
        <v>50</v>
      </c>
      <c r="AL72" s="6" t="s">
        <v>52</v>
      </c>
      <c r="AM72" s="6" t="s">
        <v>53</v>
      </c>
      <c r="AN72" s="6" t="s">
        <v>50</v>
      </c>
      <c r="AO72" s="6" t="s">
        <v>54</v>
      </c>
    </row>
    <row r="73" spans="2:41" ht="135" x14ac:dyDescent="0.25">
      <c r="B73" s="207" t="s">
        <v>275</v>
      </c>
      <c r="C73" s="66" t="s">
        <v>693</v>
      </c>
      <c r="D73" s="4" t="s">
        <v>696</v>
      </c>
      <c r="E73" s="4" t="s">
        <v>1027</v>
      </c>
      <c r="F73" s="4" t="s">
        <v>932</v>
      </c>
      <c r="G73" s="4" t="s">
        <v>39</v>
      </c>
      <c r="H73" s="208">
        <v>1</v>
      </c>
      <c r="I73" s="4"/>
      <c r="J73" s="46" t="s">
        <v>1057</v>
      </c>
      <c r="K73" s="4" t="str">
        <f>_xlfn.IFNA(VLOOKUP($J73,WH_Data[],6,FALSE),"")</f>
        <v>MONITORING SYSTEMS, PHYSIOLOGIC</v>
      </c>
      <c r="L73" s="4" t="str">
        <f>_xlfn.IFNA(VLOOKUP($J73,WH_Data[],3,FALSE),"")</f>
        <v>PHILIPS MEDICAL SYSTEMS AUSTRA</v>
      </c>
      <c r="M73" s="4" t="str">
        <f>_xlfn.IFNA(VLOOKUP($J73,WH_Data[],5,FALSE),"")</f>
        <v>IntelliVue MX450</v>
      </c>
      <c r="N73" s="4" t="str">
        <f>_xlfn.IFNA(VLOOKUP($J73,WH_Data[],7,FALSE),"")</f>
        <v>DE671K6648</v>
      </c>
      <c r="O73" s="4" t="str">
        <f>_xlfn.IFNA(VLOOKUP($J73,WH_Data[],8,FALSE),"")</f>
        <v>FH Plant room</v>
      </c>
      <c r="P73" s="8">
        <v>1</v>
      </c>
      <c r="Q73" s="209">
        <f>Mon_ILR2[[#This Row],[Qty Required]]-Mon_ILR2[[#This Row],[QTY Transfer]]</f>
        <v>0</v>
      </c>
      <c r="R73" s="66" t="s">
        <v>905</v>
      </c>
      <c r="S73" s="66" t="s">
        <v>931</v>
      </c>
      <c r="T73" s="210">
        <v>629</v>
      </c>
      <c r="U73" s="210">
        <f>_xlfn.IFNA(VLOOKUP(Mon_ILR2[[#This Row],[New Model]],PhilipsLibary[],5,FALSE),"0")</f>
        <v>1127</v>
      </c>
      <c r="V73" s="210">
        <v>1659</v>
      </c>
      <c r="W73" s="210">
        <v>3415</v>
      </c>
      <c r="X73" s="246" t="s">
        <v>1028</v>
      </c>
      <c r="Y73" s="246" t="s">
        <v>988</v>
      </c>
      <c r="Z73" s="6" t="s">
        <v>45</v>
      </c>
      <c r="AA73" s="6" t="s">
        <v>46</v>
      </c>
      <c r="AB73" s="6" t="s">
        <v>47</v>
      </c>
      <c r="AC73" s="6" t="s">
        <v>48</v>
      </c>
      <c r="AD73" s="6" t="s">
        <v>49</v>
      </c>
      <c r="AE73" s="6" t="s">
        <v>50</v>
      </c>
      <c r="AF73" s="6" t="s">
        <v>50</v>
      </c>
      <c r="AG73" s="6" t="s">
        <v>50</v>
      </c>
      <c r="AH73" s="6" t="s">
        <v>50</v>
      </c>
      <c r="AI73" s="6" t="s">
        <v>51</v>
      </c>
      <c r="AJ73" s="6" t="s">
        <v>50</v>
      </c>
      <c r="AK73" s="6" t="s">
        <v>50</v>
      </c>
      <c r="AL73" s="6" t="s">
        <v>52</v>
      </c>
      <c r="AM73" s="6" t="s">
        <v>53</v>
      </c>
      <c r="AN73" s="6" t="s">
        <v>50</v>
      </c>
      <c r="AO73" s="6" t="s">
        <v>54</v>
      </c>
    </row>
    <row r="74" spans="2:41" ht="135" x14ac:dyDescent="0.25">
      <c r="B74" s="207" t="s">
        <v>275</v>
      </c>
      <c r="C74" s="66" t="s">
        <v>693</v>
      </c>
      <c r="D74" s="4" t="s">
        <v>697</v>
      </c>
      <c r="E74" s="4" t="s">
        <v>1027</v>
      </c>
      <c r="F74" s="4" t="s">
        <v>932</v>
      </c>
      <c r="G74" s="4" t="s">
        <v>39</v>
      </c>
      <c r="H74" s="208">
        <v>1</v>
      </c>
      <c r="I74" s="4"/>
      <c r="J74" s="46" t="s">
        <v>304</v>
      </c>
      <c r="K74" s="4" t="str">
        <f>_xlfn.IFNA(VLOOKUP($J74,WH_Data[],6,FALSE),"")</f>
        <v>MONITORING SYSTEMS, PHYSIOLOGIC</v>
      </c>
      <c r="L74" s="4" t="str">
        <f>_xlfn.IFNA(VLOOKUP($J74,WH_Data[],3,FALSE),"")</f>
        <v>PHILIPS MEDICAL SYSTEMS AUSTRA</v>
      </c>
      <c r="M74" s="4" t="str">
        <f>_xlfn.IFNA(VLOOKUP($J74,WH_Data[],5,FALSE),"")</f>
        <v>IntelliVue MX450</v>
      </c>
      <c r="N74" s="4" t="str">
        <f>_xlfn.IFNA(VLOOKUP($J74,WH_Data[],7,FALSE),"")</f>
        <v>DE671T8592</v>
      </c>
      <c r="O74" s="4" t="str">
        <f>_xlfn.IFNA(VLOOKUP($J74,WH_Data[],8,FALSE),"")</f>
        <v>ICU FH</v>
      </c>
      <c r="P74" s="8">
        <v>1</v>
      </c>
      <c r="Q74" s="209">
        <f>Mon_ILR2[[#This Row],[Qty Required]]-Mon_ILR2[[#This Row],[QTY Transfer]]</f>
        <v>0</v>
      </c>
      <c r="R74" s="66" t="s">
        <v>905</v>
      </c>
      <c r="S74" s="66" t="s">
        <v>931</v>
      </c>
      <c r="T74" s="210">
        <v>629</v>
      </c>
      <c r="U74" s="210">
        <f>_xlfn.IFNA(VLOOKUP(Mon_ILR2[[#This Row],[New Model]],PhilipsLibary[],5,FALSE),"0")</f>
        <v>1127</v>
      </c>
      <c r="V74" s="210">
        <v>1659</v>
      </c>
      <c r="W74" s="210">
        <v>3415</v>
      </c>
      <c r="X74" s="246" t="s">
        <v>1028</v>
      </c>
      <c r="Y74" s="246" t="s">
        <v>988</v>
      </c>
      <c r="Z74" s="6" t="s">
        <v>45</v>
      </c>
      <c r="AA74" s="6" t="s">
        <v>46</v>
      </c>
      <c r="AB74" s="6" t="s">
        <v>47</v>
      </c>
      <c r="AC74" s="6" t="s">
        <v>48</v>
      </c>
      <c r="AD74" s="6" t="s">
        <v>49</v>
      </c>
      <c r="AE74" s="6" t="s">
        <v>50</v>
      </c>
      <c r="AF74" s="6" t="s">
        <v>50</v>
      </c>
      <c r="AG74" s="6" t="s">
        <v>50</v>
      </c>
      <c r="AH74" s="6" t="s">
        <v>50</v>
      </c>
      <c r="AI74" s="6" t="s">
        <v>51</v>
      </c>
      <c r="AJ74" s="6" t="s">
        <v>50</v>
      </c>
      <c r="AK74" s="6" t="s">
        <v>50</v>
      </c>
      <c r="AL74" s="6" t="s">
        <v>52</v>
      </c>
      <c r="AM74" s="6" t="s">
        <v>53</v>
      </c>
      <c r="AN74" s="6" t="s">
        <v>50</v>
      </c>
      <c r="AO74" s="6" t="s">
        <v>54</v>
      </c>
    </row>
    <row r="75" spans="2:41" ht="135" x14ac:dyDescent="0.25">
      <c r="B75" s="207" t="s">
        <v>275</v>
      </c>
      <c r="C75" s="66" t="s">
        <v>693</v>
      </c>
      <c r="D75" s="4" t="s">
        <v>698</v>
      </c>
      <c r="E75" s="4" t="s">
        <v>1027</v>
      </c>
      <c r="F75" s="4" t="s">
        <v>932</v>
      </c>
      <c r="G75" s="4" t="s">
        <v>39</v>
      </c>
      <c r="H75" s="208">
        <v>1</v>
      </c>
      <c r="I75" s="4"/>
      <c r="J75" s="46" t="s">
        <v>302</v>
      </c>
      <c r="K75" s="4" t="str">
        <f>_xlfn.IFNA(VLOOKUP($J75,WH_Data[],6,FALSE),"")</f>
        <v>MONITORING SYSTEMS, PHYSIOLOGIC</v>
      </c>
      <c r="L75" s="4" t="str">
        <f>_xlfn.IFNA(VLOOKUP($J75,WH_Data[],3,FALSE),"")</f>
        <v>PHILIPS MEDICAL SYSTEMS AUSTRA</v>
      </c>
      <c r="M75" s="4" t="str">
        <f>_xlfn.IFNA(VLOOKUP($J75,WH_Data[],5,FALSE),"")</f>
        <v>IntelliVue MX450</v>
      </c>
      <c r="N75" s="4" t="str">
        <f>_xlfn.IFNA(VLOOKUP($J75,WH_Data[],7,FALSE),"")</f>
        <v>DE671T8572</v>
      </c>
      <c r="O75" s="4" t="str">
        <f>_xlfn.IFNA(VLOOKUP($J75,WH_Data[],8,FALSE),"")</f>
        <v>ICU FH</v>
      </c>
      <c r="P75" s="8">
        <v>1</v>
      </c>
      <c r="Q75" s="209">
        <f>Mon_ILR2[[#This Row],[Qty Required]]-Mon_ILR2[[#This Row],[QTY Transfer]]</f>
        <v>0</v>
      </c>
      <c r="R75" s="66" t="s">
        <v>905</v>
      </c>
      <c r="S75" s="66" t="s">
        <v>931</v>
      </c>
      <c r="T75" s="210">
        <v>629</v>
      </c>
      <c r="U75" s="210">
        <f>_xlfn.IFNA(VLOOKUP(Mon_ILR2[[#This Row],[New Model]],PhilipsLibary[],5,FALSE),"0")</f>
        <v>1127</v>
      </c>
      <c r="V75" s="210">
        <v>1659</v>
      </c>
      <c r="W75" s="210">
        <v>3415</v>
      </c>
      <c r="X75" s="246" t="s">
        <v>1028</v>
      </c>
      <c r="Y75" s="246" t="s">
        <v>988</v>
      </c>
      <c r="Z75" s="6" t="s">
        <v>45</v>
      </c>
      <c r="AA75" s="6" t="s">
        <v>46</v>
      </c>
      <c r="AB75" s="6" t="s">
        <v>47</v>
      </c>
      <c r="AC75" s="6" t="s">
        <v>48</v>
      </c>
      <c r="AD75" s="6" t="s">
        <v>49</v>
      </c>
      <c r="AE75" s="6" t="s">
        <v>50</v>
      </c>
      <c r="AF75" s="6" t="s">
        <v>50</v>
      </c>
      <c r="AG75" s="6" t="s">
        <v>50</v>
      </c>
      <c r="AH75" s="6" t="s">
        <v>50</v>
      </c>
      <c r="AI75" s="6" t="s">
        <v>51</v>
      </c>
      <c r="AJ75" s="6" t="s">
        <v>50</v>
      </c>
      <c r="AK75" s="6" t="s">
        <v>50</v>
      </c>
      <c r="AL75" s="6" t="s">
        <v>52</v>
      </c>
      <c r="AM75" s="6" t="s">
        <v>53</v>
      </c>
      <c r="AN75" s="6" t="s">
        <v>50</v>
      </c>
      <c r="AO75" s="6" t="s">
        <v>54</v>
      </c>
    </row>
    <row r="76" spans="2:41" ht="135" x14ac:dyDescent="0.25">
      <c r="B76" s="207" t="s">
        <v>275</v>
      </c>
      <c r="C76" s="66" t="s">
        <v>693</v>
      </c>
      <c r="D76" s="4" t="s">
        <v>699</v>
      </c>
      <c r="E76" s="4" t="s">
        <v>1027</v>
      </c>
      <c r="F76" s="4" t="s">
        <v>932</v>
      </c>
      <c r="G76" s="4" t="s">
        <v>39</v>
      </c>
      <c r="H76" s="208">
        <v>1</v>
      </c>
      <c r="I76" s="4"/>
      <c r="J76" s="46" t="s">
        <v>178</v>
      </c>
      <c r="K76" s="4" t="str">
        <f>_xlfn.IFNA(VLOOKUP($J76,WH_Data[],6,FALSE),"")</f>
        <v>MONITORING SYSTEMS, PHYSIOLOGIC</v>
      </c>
      <c r="L76" s="4" t="str">
        <f>_xlfn.IFNA(VLOOKUP($J76,WH_Data[],3,FALSE),"")</f>
        <v>PHILIPS MEDICAL SYSTEMS AUSTRA</v>
      </c>
      <c r="M76" s="4" t="str">
        <f>_xlfn.IFNA(VLOOKUP($J76,WH_Data[],5,FALSE),"")</f>
        <v>IntelliVue MX450</v>
      </c>
      <c r="N76" s="4" t="str">
        <f>_xlfn.IFNA(VLOOKUP($J76,WH_Data[],7,FALSE),"")</f>
        <v>DE671K6561</v>
      </c>
      <c r="O76" s="4" t="str">
        <f>_xlfn.IFNA(VLOOKUP($J76,WH_Data[],8,FALSE),"")</f>
        <v>3A - FH</v>
      </c>
      <c r="P76" s="8">
        <v>1</v>
      </c>
      <c r="Q76" s="209">
        <f>Mon_ILR2[[#This Row],[Qty Required]]-Mon_ILR2[[#This Row],[QTY Transfer]]</f>
        <v>0</v>
      </c>
      <c r="R76" s="66" t="s">
        <v>905</v>
      </c>
      <c r="S76" s="66" t="s">
        <v>931</v>
      </c>
      <c r="T76" s="210">
        <v>629</v>
      </c>
      <c r="U76" s="210">
        <f>_xlfn.IFNA(VLOOKUP(Mon_ILR2[[#This Row],[New Model]],PhilipsLibary[],5,FALSE),"0")</f>
        <v>1127</v>
      </c>
      <c r="V76" s="210">
        <v>1659</v>
      </c>
      <c r="W76" s="210">
        <v>3415</v>
      </c>
      <c r="X76" s="246" t="s">
        <v>1028</v>
      </c>
      <c r="Y76" s="246" t="s">
        <v>988</v>
      </c>
      <c r="Z76" s="6" t="s">
        <v>45</v>
      </c>
      <c r="AA76" s="6" t="s">
        <v>46</v>
      </c>
      <c r="AB76" s="6" t="s">
        <v>47</v>
      </c>
      <c r="AC76" s="6" t="s">
        <v>48</v>
      </c>
      <c r="AD76" s="6" t="s">
        <v>49</v>
      </c>
      <c r="AE76" s="6" t="s">
        <v>50</v>
      </c>
      <c r="AF76" s="6" t="s">
        <v>50</v>
      </c>
      <c r="AG76" s="6" t="s">
        <v>50</v>
      </c>
      <c r="AH76" s="6" t="s">
        <v>50</v>
      </c>
      <c r="AI76" s="6" t="s">
        <v>51</v>
      </c>
      <c r="AJ76" s="6" t="s">
        <v>50</v>
      </c>
      <c r="AK76" s="6" t="s">
        <v>50</v>
      </c>
      <c r="AL76" s="6" t="s">
        <v>52</v>
      </c>
      <c r="AM76" s="6" t="s">
        <v>53</v>
      </c>
      <c r="AN76" s="6" t="s">
        <v>50</v>
      </c>
      <c r="AO76" s="6" t="s">
        <v>54</v>
      </c>
    </row>
    <row r="77" spans="2:41" ht="75" x14ac:dyDescent="0.25">
      <c r="B77" s="207" t="s">
        <v>275</v>
      </c>
      <c r="C77" s="66" t="s">
        <v>693</v>
      </c>
      <c r="D77" s="4" t="s">
        <v>702</v>
      </c>
      <c r="E77" s="4" t="s">
        <v>1027</v>
      </c>
      <c r="F77" s="4" t="s">
        <v>932</v>
      </c>
      <c r="G77" s="4" t="s">
        <v>39</v>
      </c>
      <c r="H77" s="208">
        <v>1</v>
      </c>
      <c r="I77" s="4"/>
      <c r="J77" s="15"/>
      <c r="K77" s="4" t="str">
        <f>_xlfn.IFNA(VLOOKUP($J77,WH_Data[],6,FALSE),"")</f>
        <v/>
      </c>
      <c r="L77" s="4" t="str">
        <f>_xlfn.IFNA(VLOOKUP($J77,WH_Data[],3,FALSE),"")</f>
        <v/>
      </c>
      <c r="M77" s="4" t="str">
        <f>_xlfn.IFNA(VLOOKUP($J77,WH_Data[],5,FALSE),"")</f>
        <v/>
      </c>
      <c r="N77" s="4" t="str">
        <f>_xlfn.IFNA(VLOOKUP($J77,WH_Data[],7,FALSE),"")</f>
        <v/>
      </c>
      <c r="O77" s="4" t="str">
        <f>_xlfn.IFNA(VLOOKUP($J77,WH_Data[],8,FALSE),"")</f>
        <v/>
      </c>
      <c r="P77" s="8"/>
      <c r="Q77" s="209">
        <f>Mon_ILR2[[#This Row],[Qty Required]]-Mon_ILR2[[#This Row],[QTY Transfer]]</f>
        <v>1</v>
      </c>
      <c r="R77" s="66" t="s">
        <v>905</v>
      </c>
      <c r="S77" s="66" t="s">
        <v>931</v>
      </c>
      <c r="T77" s="210">
        <f>_xlfn.IFNA(VLOOKUP(Mon_ILR2[[#This Row],[New Model]],PhilipsLibary[],4,FALSE),"0")</f>
        <v>6460</v>
      </c>
      <c r="U77" s="210">
        <f>_xlfn.IFNA(VLOOKUP(Mon_ILR2[[#This Row],[New Model]],PhilipsLibary[],5,FALSE),"0")</f>
        <v>1127</v>
      </c>
      <c r="V77" s="210">
        <v>1879</v>
      </c>
      <c r="W77" s="210">
        <f>Mon_ILR2[[#This Row],[Accessory Rate]]+Mon_ILR2[[#This Row],[Mounting Rate]]+Mon_ILR2[[#This Row],[Unit Rate]]*Mon_ILR2[[#This Row],[New Quantity Required ]]</f>
        <v>9466</v>
      </c>
      <c r="X77" s="8"/>
      <c r="Y77" s="246" t="s">
        <v>988</v>
      </c>
      <c r="Z77" s="6" t="s">
        <v>45</v>
      </c>
      <c r="AA77" s="6" t="s">
        <v>46</v>
      </c>
      <c r="AB77" s="6" t="s">
        <v>47</v>
      </c>
      <c r="AC77" s="6" t="s">
        <v>48</v>
      </c>
      <c r="AD77" s="6" t="s">
        <v>49</v>
      </c>
      <c r="AE77" s="6" t="s">
        <v>50</v>
      </c>
      <c r="AF77" s="6" t="s">
        <v>50</v>
      </c>
      <c r="AG77" s="6" t="s">
        <v>50</v>
      </c>
      <c r="AH77" s="6" t="s">
        <v>50</v>
      </c>
      <c r="AI77" s="6" t="s">
        <v>51</v>
      </c>
      <c r="AJ77" s="6" t="s">
        <v>50</v>
      </c>
      <c r="AK77" s="6" t="s">
        <v>50</v>
      </c>
      <c r="AL77" s="6" t="s">
        <v>52</v>
      </c>
      <c r="AM77" s="6" t="s">
        <v>53</v>
      </c>
      <c r="AN77" s="6" t="s">
        <v>50</v>
      </c>
      <c r="AO77" s="6" t="s">
        <v>54</v>
      </c>
    </row>
    <row r="78" spans="2:41" ht="75" x14ac:dyDescent="0.25">
      <c r="B78" s="207" t="s">
        <v>275</v>
      </c>
      <c r="C78" s="66" t="s">
        <v>693</v>
      </c>
      <c r="D78" s="4" t="s">
        <v>703</v>
      </c>
      <c r="E78" s="4" t="s">
        <v>1027</v>
      </c>
      <c r="F78" s="4" t="s">
        <v>932</v>
      </c>
      <c r="G78" s="4" t="s">
        <v>39</v>
      </c>
      <c r="H78" s="208">
        <v>1</v>
      </c>
      <c r="I78" s="4"/>
      <c r="J78" s="15"/>
      <c r="K78" s="4" t="str">
        <f>_xlfn.IFNA(VLOOKUP($J78,WH_Data[],6,FALSE),"")</f>
        <v/>
      </c>
      <c r="L78" s="4" t="str">
        <f>_xlfn.IFNA(VLOOKUP($J78,WH_Data[],3,FALSE),"")</f>
        <v/>
      </c>
      <c r="M78" s="4" t="str">
        <f>_xlfn.IFNA(VLOOKUP($J78,WH_Data[],5,FALSE),"")</f>
        <v/>
      </c>
      <c r="N78" s="4" t="str">
        <f>_xlfn.IFNA(VLOOKUP($J78,WH_Data[],7,FALSE),"")</f>
        <v/>
      </c>
      <c r="O78" s="4" t="str">
        <f>_xlfn.IFNA(VLOOKUP($J78,WH_Data[],8,FALSE),"")</f>
        <v/>
      </c>
      <c r="P78" s="8"/>
      <c r="Q78" s="209">
        <f>Mon_ILR2[[#This Row],[Qty Required]]-Mon_ILR2[[#This Row],[QTY Transfer]]</f>
        <v>1</v>
      </c>
      <c r="R78" s="66" t="s">
        <v>905</v>
      </c>
      <c r="S78" s="66" t="s">
        <v>931</v>
      </c>
      <c r="T78" s="210">
        <f>_xlfn.IFNA(VLOOKUP(Mon_ILR2[[#This Row],[New Model]],PhilipsLibary[],4,FALSE),"0")</f>
        <v>6460</v>
      </c>
      <c r="U78" s="210">
        <f>_xlfn.IFNA(VLOOKUP(Mon_ILR2[[#This Row],[New Model]],PhilipsLibary[],5,FALSE),"0")</f>
        <v>1127</v>
      </c>
      <c r="V78" s="210">
        <v>1879</v>
      </c>
      <c r="W78" s="210">
        <f>Mon_ILR2[[#This Row],[Accessory Rate]]+Mon_ILR2[[#This Row],[Mounting Rate]]+Mon_ILR2[[#This Row],[Unit Rate]]*Mon_ILR2[[#This Row],[New Quantity Required ]]</f>
        <v>9466</v>
      </c>
      <c r="X78" s="8"/>
      <c r="Y78" s="246" t="s">
        <v>988</v>
      </c>
      <c r="Z78" s="6" t="s">
        <v>45</v>
      </c>
      <c r="AA78" s="6" t="s">
        <v>46</v>
      </c>
      <c r="AB78" s="6" t="s">
        <v>47</v>
      </c>
      <c r="AC78" s="6" t="s">
        <v>48</v>
      </c>
      <c r="AD78" s="6" t="s">
        <v>49</v>
      </c>
      <c r="AE78" s="6" t="s">
        <v>50</v>
      </c>
      <c r="AF78" s="6" t="s">
        <v>50</v>
      </c>
      <c r="AG78" s="6" t="s">
        <v>50</v>
      </c>
      <c r="AH78" s="6" t="s">
        <v>50</v>
      </c>
      <c r="AI78" s="6" t="s">
        <v>51</v>
      </c>
      <c r="AJ78" s="6" t="s">
        <v>50</v>
      </c>
      <c r="AK78" s="6" t="s">
        <v>50</v>
      </c>
      <c r="AL78" s="6" t="s">
        <v>52</v>
      </c>
      <c r="AM78" s="6" t="s">
        <v>53</v>
      </c>
      <c r="AN78" s="6" t="s">
        <v>50</v>
      </c>
      <c r="AO78" s="6" t="s">
        <v>54</v>
      </c>
    </row>
    <row r="79" spans="2:41" ht="75" x14ac:dyDescent="0.25">
      <c r="B79" s="207" t="s">
        <v>275</v>
      </c>
      <c r="C79" s="66" t="s">
        <v>693</v>
      </c>
      <c r="D79" s="4" t="s">
        <v>704</v>
      </c>
      <c r="E79" s="4" t="s">
        <v>1027</v>
      </c>
      <c r="F79" s="4" t="s">
        <v>932</v>
      </c>
      <c r="G79" s="4" t="s">
        <v>39</v>
      </c>
      <c r="H79" s="208">
        <v>1</v>
      </c>
      <c r="I79" s="4"/>
      <c r="J79" s="15"/>
      <c r="K79" s="4" t="str">
        <f>_xlfn.IFNA(VLOOKUP($J79,WH_Data[],6,FALSE),"")</f>
        <v/>
      </c>
      <c r="L79" s="4" t="str">
        <f>_xlfn.IFNA(VLOOKUP($J79,WH_Data[],3,FALSE),"")</f>
        <v/>
      </c>
      <c r="M79" s="4" t="str">
        <f>_xlfn.IFNA(VLOOKUP($J79,WH_Data[],5,FALSE),"")</f>
        <v/>
      </c>
      <c r="N79" s="4" t="str">
        <f>_xlfn.IFNA(VLOOKUP($J79,WH_Data[],7,FALSE),"")</f>
        <v/>
      </c>
      <c r="O79" s="4" t="str">
        <f>_xlfn.IFNA(VLOOKUP($J79,WH_Data[],8,FALSE),"")</f>
        <v/>
      </c>
      <c r="P79" s="8"/>
      <c r="Q79" s="209">
        <f>Mon_ILR2[[#This Row],[Qty Required]]-Mon_ILR2[[#This Row],[QTY Transfer]]</f>
        <v>1</v>
      </c>
      <c r="R79" s="66" t="s">
        <v>905</v>
      </c>
      <c r="S79" s="66" t="s">
        <v>931</v>
      </c>
      <c r="T79" s="210">
        <f>_xlfn.IFNA(VLOOKUP(Mon_ILR2[[#This Row],[New Model]],PhilipsLibary[],4,FALSE),"0")</f>
        <v>6460</v>
      </c>
      <c r="U79" s="210">
        <f>_xlfn.IFNA(VLOOKUP(Mon_ILR2[[#This Row],[New Model]],PhilipsLibary[],5,FALSE),"0")</f>
        <v>1127</v>
      </c>
      <c r="V79" s="210">
        <v>1879</v>
      </c>
      <c r="W79" s="210">
        <f>Mon_ILR2[[#This Row],[Accessory Rate]]+Mon_ILR2[[#This Row],[Mounting Rate]]+Mon_ILR2[[#This Row],[Unit Rate]]*Mon_ILR2[[#This Row],[New Quantity Required ]]</f>
        <v>9466</v>
      </c>
      <c r="X79" s="8"/>
      <c r="Y79" s="246" t="s">
        <v>988</v>
      </c>
      <c r="Z79" s="6" t="s">
        <v>45</v>
      </c>
      <c r="AA79" s="6" t="s">
        <v>46</v>
      </c>
      <c r="AB79" s="6" t="s">
        <v>47</v>
      </c>
      <c r="AC79" s="6" t="s">
        <v>48</v>
      </c>
      <c r="AD79" s="6" t="s">
        <v>49</v>
      </c>
      <c r="AE79" s="6" t="s">
        <v>50</v>
      </c>
      <c r="AF79" s="6" t="s">
        <v>50</v>
      </c>
      <c r="AG79" s="6" t="s">
        <v>50</v>
      </c>
      <c r="AH79" s="6" t="s">
        <v>50</v>
      </c>
      <c r="AI79" s="6" t="s">
        <v>51</v>
      </c>
      <c r="AJ79" s="6" t="s">
        <v>50</v>
      </c>
      <c r="AK79" s="6" t="s">
        <v>50</v>
      </c>
      <c r="AL79" s="6" t="s">
        <v>52</v>
      </c>
      <c r="AM79" s="6" t="s">
        <v>53</v>
      </c>
      <c r="AN79" s="6" t="s">
        <v>50</v>
      </c>
      <c r="AO79" s="6" t="s">
        <v>54</v>
      </c>
    </row>
    <row r="80" spans="2:41" ht="75" x14ac:dyDescent="0.25">
      <c r="B80" s="207" t="s">
        <v>275</v>
      </c>
      <c r="C80" s="66" t="s">
        <v>693</v>
      </c>
      <c r="D80" s="4" t="s">
        <v>707</v>
      </c>
      <c r="E80" s="4" t="s">
        <v>1027</v>
      </c>
      <c r="F80" s="4" t="s">
        <v>932</v>
      </c>
      <c r="G80" s="4" t="s">
        <v>39</v>
      </c>
      <c r="H80" s="208">
        <v>1</v>
      </c>
      <c r="I80" s="4"/>
      <c r="J80" s="15"/>
      <c r="K80" s="4" t="str">
        <f>_xlfn.IFNA(VLOOKUP($J80,WH_Data[],6,FALSE),"")</f>
        <v/>
      </c>
      <c r="L80" s="4" t="str">
        <f>_xlfn.IFNA(VLOOKUP($J80,WH_Data[],3,FALSE),"")</f>
        <v/>
      </c>
      <c r="M80" s="4" t="str">
        <f>_xlfn.IFNA(VLOOKUP($J80,WH_Data[],5,FALSE),"")</f>
        <v/>
      </c>
      <c r="N80" s="4" t="str">
        <f>_xlfn.IFNA(VLOOKUP($J80,WH_Data[],7,FALSE),"")</f>
        <v/>
      </c>
      <c r="O80" s="4" t="str">
        <f>_xlfn.IFNA(VLOOKUP($J80,WH_Data[],8,FALSE),"")</f>
        <v/>
      </c>
      <c r="P80" s="8"/>
      <c r="Q80" s="209">
        <f>Mon_ILR2[[#This Row],[Qty Required]]-Mon_ILR2[[#This Row],[QTY Transfer]]</f>
        <v>1</v>
      </c>
      <c r="R80" s="66" t="s">
        <v>905</v>
      </c>
      <c r="S80" s="66" t="s">
        <v>931</v>
      </c>
      <c r="T80" s="210">
        <f>_xlfn.IFNA(VLOOKUP(Mon_ILR2[[#This Row],[New Model]],PhilipsLibary[],4,FALSE),"0")</f>
        <v>6460</v>
      </c>
      <c r="U80" s="210">
        <f>_xlfn.IFNA(VLOOKUP(Mon_ILR2[[#This Row],[New Model]],PhilipsLibary[],5,FALSE),"0")</f>
        <v>1127</v>
      </c>
      <c r="V80" s="210">
        <v>1879</v>
      </c>
      <c r="W80" s="210">
        <f>Mon_ILR2[[#This Row],[Accessory Rate]]+Mon_ILR2[[#This Row],[Mounting Rate]]+Mon_ILR2[[#This Row],[Unit Rate]]*Mon_ILR2[[#This Row],[New Quantity Required ]]</f>
        <v>9466</v>
      </c>
      <c r="X80" s="8"/>
      <c r="Y80" s="246" t="s">
        <v>988</v>
      </c>
      <c r="Z80" s="6" t="s">
        <v>45</v>
      </c>
      <c r="AA80" s="6" t="s">
        <v>46</v>
      </c>
      <c r="AB80" s="6" t="s">
        <v>47</v>
      </c>
      <c r="AC80" s="6" t="s">
        <v>48</v>
      </c>
      <c r="AD80" s="6" t="s">
        <v>49</v>
      </c>
      <c r="AE80" s="6" t="s">
        <v>50</v>
      </c>
      <c r="AF80" s="6" t="s">
        <v>50</v>
      </c>
      <c r="AG80" s="6" t="s">
        <v>50</v>
      </c>
      <c r="AH80" s="6" t="s">
        <v>50</v>
      </c>
      <c r="AI80" s="6" t="s">
        <v>51</v>
      </c>
      <c r="AJ80" s="6" t="s">
        <v>50</v>
      </c>
      <c r="AK80" s="6" t="s">
        <v>50</v>
      </c>
      <c r="AL80" s="6" t="s">
        <v>52</v>
      </c>
      <c r="AM80" s="6" t="s">
        <v>53</v>
      </c>
      <c r="AN80" s="6" t="s">
        <v>50</v>
      </c>
      <c r="AO80" s="6" t="s">
        <v>54</v>
      </c>
    </row>
    <row r="81" spans="2:41" ht="75" x14ac:dyDescent="0.25">
      <c r="B81" s="207" t="s">
        <v>275</v>
      </c>
      <c r="C81" s="66" t="s">
        <v>693</v>
      </c>
      <c r="D81" s="4" t="s">
        <v>710</v>
      </c>
      <c r="E81" s="4" t="s">
        <v>1027</v>
      </c>
      <c r="F81" s="4" t="s">
        <v>932</v>
      </c>
      <c r="G81" s="4" t="s">
        <v>39</v>
      </c>
      <c r="H81" s="208">
        <v>1</v>
      </c>
      <c r="I81" s="4"/>
      <c r="J81" s="15"/>
      <c r="K81" s="4" t="str">
        <f>_xlfn.IFNA(VLOOKUP($J81,WH_Data[],6,FALSE),"")</f>
        <v/>
      </c>
      <c r="L81" s="4" t="str">
        <f>_xlfn.IFNA(VLOOKUP($J81,WH_Data[],3,FALSE),"")</f>
        <v/>
      </c>
      <c r="M81" s="4" t="str">
        <f>_xlfn.IFNA(VLOOKUP($J81,WH_Data[],5,FALSE),"")</f>
        <v/>
      </c>
      <c r="N81" s="4" t="str">
        <f>_xlfn.IFNA(VLOOKUP($J81,WH_Data[],7,FALSE),"")</f>
        <v/>
      </c>
      <c r="O81" s="4" t="str">
        <f>_xlfn.IFNA(VLOOKUP($J81,WH_Data[],8,FALSE),"")</f>
        <v/>
      </c>
      <c r="P81" s="8"/>
      <c r="Q81" s="209">
        <f>Mon_ILR2[[#This Row],[Qty Required]]-Mon_ILR2[[#This Row],[QTY Transfer]]</f>
        <v>1</v>
      </c>
      <c r="R81" s="66" t="s">
        <v>905</v>
      </c>
      <c r="S81" s="66" t="s">
        <v>931</v>
      </c>
      <c r="T81" s="210">
        <f>_xlfn.IFNA(VLOOKUP(Mon_ILR2[[#This Row],[New Model]],PhilipsLibary[],4,FALSE),"0")</f>
        <v>6460</v>
      </c>
      <c r="U81" s="210">
        <f>_xlfn.IFNA(VLOOKUP(Mon_ILR2[[#This Row],[New Model]],PhilipsLibary[],5,FALSE),"0")</f>
        <v>1127</v>
      </c>
      <c r="V81" s="210">
        <v>1879</v>
      </c>
      <c r="W81" s="210">
        <f>Mon_ILR2[[#This Row],[Accessory Rate]]+Mon_ILR2[[#This Row],[Mounting Rate]]+Mon_ILR2[[#This Row],[Unit Rate]]*Mon_ILR2[[#This Row],[New Quantity Required ]]</f>
        <v>9466</v>
      </c>
      <c r="X81" s="8"/>
      <c r="Y81" s="246" t="s">
        <v>988</v>
      </c>
      <c r="Z81" s="6" t="s">
        <v>45</v>
      </c>
      <c r="AA81" s="6" t="s">
        <v>46</v>
      </c>
      <c r="AB81" s="6" t="s">
        <v>47</v>
      </c>
      <c r="AC81" s="6" t="s">
        <v>48</v>
      </c>
      <c r="AD81" s="6" t="s">
        <v>49</v>
      </c>
      <c r="AE81" s="6" t="s">
        <v>50</v>
      </c>
      <c r="AF81" s="6" t="s">
        <v>50</v>
      </c>
      <c r="AG81" s="6" t="s">
        <v>50</v>
      </c>
      <c r="AH81" s="6" t="s">
        <v>50</v>
      </c>
      <c r="AI81" s="6" t="s">
        <v>51</v>
      </c>
      <c r="AJ81" s="6" t="s">
        <v>50</v>
      </c>
      <c r="AK81" s="6" t="s">
        <v>50</v>
      </c>
      <c r="AL81" s="6" t="s">
        <v>52</v>
      </c>
      <c r="AM81" s="6" t="s">
        <v>53</v>
      </c>
      <c r="AN81" s="6" t="s">
        <v>50</v>
      </c>
      <c r="AO81" s="6" t="s">
        <v>54</v>
      </c>
    </row>
    <row r="82" spans="2:41" ht="75" x14ac:dyDescent="0.25">
      <c r="B82" s="207" t="s">
        <v>275</v>
      </c>
      <c r="C82" s="66" t="s">
        <v>693</v>
      </c>
      <c r="D82" s="4" t="s">
        <v>711</v>
      </c>
      <c r="E82" s="4" t="s">
        <v>1027</v>
      </c>
      <c r="F82" s="4" t="s">
        <v>932</v>
      </c>
      <c r="G82" s="4" t="s">
        <v>39</v>
      </c>
      <c r="H82" s="208">
        <v>1</v>
      </c>
      <c r="I82" s="4"/>
      <c r="J82" s="15"/>
      <c r="K82" s="4" t="str">
        <f>_xlfn.IFNA(VLOOKUP($J82,WH_Data[],6,FALSE),"")</f>
        <v/>
      </c>
      <c r="L82" s="4" t="str">
        <f>_xlfn.IFNA(VLOOKUP($J82,WH_Data[],3,FALSE),"")</f>
        <v/>
      </c>
      <c r="M82" s="4" t="str">
        <f>_xlfn.IFNA(VLOOKUP($J82,WH_Data[],5,FALSE),"")</f>
        <v/>
      </c>
      <c r="N82" s="4" t="str">
        <f>_xlfn.IFNA(VLOOKUP($J82,WH_Data[],7,FALSE),"")</f>
        <v/>
      </c>
      <c r="O82" s="4" t="str">
        <f>_xlfn.IFNA(VLOOKUP($J82,WH_Data[],8,FALSE),"")</f>
        <v/>
      </c>
      <c r="P82" s="8"/>
      <c r="Q82" s="209">
        <f>Mon_ILR2[[#This Row],[Qty Required]]-Mon_ILR2[[#This Row],[QTY Transfer]]</f>
        <v>1</v>
      </c>
      <c r="R82" s="66" t="s">
        <v>905</v>
      </c>
      <c r="S82" s="66" t="s">
        <v>931</v>
      </c>
      <c r="T82" s="210">
        <f>_xlfn.IFNA(VLOOKUP(Mon_ILR2[[#This Row],[New Model]],PhilipsLibary[],4,FALSE),"0")</f>
        <v>6460</v>
      </c>
      <c r="U82" s="210">
        <f>_xlfn.IFNA(VLOOKUP(Mon_ILR2[[#This Row],[New Model]],PhilipsLibary[],5,FALSE),"0")</f>
        <v>1127</v>
      </c>
      <c r="V82" s="210">
        <v>1879</v>
      </c>
      <c r="W82" s="210">
        <f>Mon_ILR2[[#This Row],[Accessory Rate]]+Mon_ILR2[[#This Row],[Mounting Rate]]+Mon_ILR2[[#This Row],[Unit Rate]]*Mon_ILR2[[#This Row],[New Quantity Required ]]</f>
        <v>9466</v>
      </c>
      <c r="X82" s="8"/>
      <c r="Y82" s="246" t="s">
        <v>988</v>
      </c>
      <c r="Z82" s="6" t="s">
        <v>45</v>
      </c>
      <c r="AA82" s="6" t="s">
        <v>46</v>
      </c>
      <c r="AB82" s="6" t="s">
        <v>47</v>
      </c>
      <c r="AC82" s="6" t="s">
        <v>48</v>
      </c>
      <c r="AD82" s="6" t="s">
        <v>49</v>
      </c>
      <c r="AE82" s="6" t="s">
        <v>50</v>
      </c>
      <c r="AF82" s="6" t="s">
        <v>50</v>
      </c>
      <c r="AG82" s="6" t="s">
        <v>50</v>
      </c>
      <c r="AH82" s="6" t="s">
        <v>50</v>
      </c>
      <c r="AI82" s="6" t="s">
        <v>51</v>
      </c>
      <c r="AJ82" s="6" t="s">
        <v>50</v>
      </c>
      <c r="AK82" s="6" t="s">
        <v>50</v>
      </c>
      <c r="AL82" s="6" t="s">
        <v>52</v>
      </c>
      <c r="AM82" s="6" t="s">
        <v>53</v>
      </c>
      <c r="AN82" s="6" t="s">
        <v>50</v>
      </c>
      <c r="AO82" s="6" t="s">
        <v>54</v>
      </c>
    </row>
    <row r="83" spans="2:41" ht="75" x14ac:dyDescent="0.25">
      <c r="B83" s="207" t="s">
        <v>275</v>
      </c>
      <c r="C83" s="66" t="s">
        <v>693</v>
      </c>
      <c r="D83" s="4" t="s">
        <v>714</v>
      </c>
      <c r="E83" s="4" t="s">
        <v>1027</v>
      </c>
      <c r="F83" s="4" t="s">
        <v>932</v>
      </c>
      <c r="G83" s="4" t="s">
        <v>39</v>
      </c>
      <c r="H83" s="208">
        <v>1</v>
      </c>
      <c r="I83" s="4"/>
      <c r="J83" s="15"/>
      <c r="K83" s="4" t="str">
        <f>_xlfn.IFNA(VLOOKUP($J83,WH_Data[],6,FALSE),"")</f>
        <v/>
      </c>
      <c r="L83" s="4" t="str">
        <f>_xlfn.IFNA(VLOOKUP($J83,WH_Data[],3,FALSE),"")</f>
        <v/>
      </c>
      <c r="M83" s="4" t="str">
        <f>_xlfn.IFNA(VLOOKUP($J83,WH_Data[],5,FALSE),"")</f>
        <v/>
      </c>
      <c r="N83" s="4" t="str">
        <f>_xlfn.IFNA(VLOOKUP($J83,WH_Data[],7,FALSE),"")</f>
        <v/>
      </c>
      <c r="O83" s="4" t="str">
        <f>_xlfn.IFNA(VLOOKUP($J83,WH_Data[],8,FALSE),"")</f>
        <v/>
      </c>
      <c r="P83" s="8"/>
      <c r="Q83" s="209">
        <f>Mon_ILR2[[#This Row],[Qty Required]]-Mon_ILR2[[#This Row],[QTY Transfer]]</f>
        <v>1</v>
      </c>
      <c r="R83" s="66" t="s">
        <v>905</v>
      </c>
      <c r="S83" s="66" t="s">
        <v>931</v>
      </c>
      <c r="T83" s="210">
        <f>_xlfn.IFNA(VLOOKUP(Mon_ILR2[[#This Row],[New Model]],PhilipsLibary[],4,FALSE),"0")</f>
        <v>6460</v>
      </c>
      <c r="U83" s="210">
        <f>_xlfn.IFNA(VLOOKUP(Mon_ILR2[[#This Row],[New Model]],PhilipsLibary[],5,FALSE),"0")</f>
        <v>1127</v>
      </c>
      <c r="V83" s="210">
        <v>1879</v>
      </c>
      <c r="W83" s="210">
        <f>Mon_ILR2[[#This Row],[Accessory Rate]]+Mon_ILR2[[#This Row],[Mounting Rate]]+Mon_ILR2[[#This Row],[Unit Rate]]*Mon_ILR2[[#This Row],[New Quantity Required ]]</f>
        <v>9466</v>
      </c>
      <c r="X83" s="8"/>
      <c r="Y83" s="246" t="s">
        <v>988</v>
      </c>
      <c r="Z83" s="6" t="s">
        <v>45</v>
      </c>
      <c r="AA83" s="6" t="s">
        <v>46</v>
      </c>
      <c r="AB83" s="6" t="s">
        <v>47</v>
      </c>
      <c r="AC83" s="6" t="s">
        <v>48</v>
      </c>
      <c r="AD83" s="6" t="s">
        <v>49</v>
      </c>
      <c r="AE83" s="6" t="s">
        <v>50</v>
      </c>
      <c r="AF83" s="6" t="s">
        <v>50</v>
      </c>
      <c r="AG83" s="6" t="s">
        <v>50</v>
      </c>
      <c r="AH83" s="6" t="s">
        <v>50</v>
      </c>
      <c r="AI83" s="6" t="s">
        <v>51</v>
      </c>
      <c r="AJ83" s="6" t="s">
        <v>50</v>
      </c>
      <c r="AK83" s="6" t="s">
        <v>50</v>
      </c>
      <c r="AL83" s="6" t="s">
        <v>52</v>
      </c>
      <c r="AM83" s="6" t="s">
        <v>53</v>
      </c>
      <c r="AN83" s="6" t="s">
        <v>50</v>
      </c>
      <c r="AO83" s="6" t="s">
        <v>54</v>
      </c>
    </row>
    <row r="84" spans="2:41" ht="75" x14ac:dyDescent="0.25">
      <c r="B84" s="207" t="s">
        <v>275</v>
      </c>
      <c r="C84" s="66" t="s">
        <v>693</v>
      </c>
      <c r="D84" s="4" t="s">
        <v>715</v>
      </c>
      <c r="E84" s="4" t="s">
        <v>1027</v>
      </c>
      <c r="F84" s="4" t="s">
        <v>932</v>
      </c>
      <c r="G84" s="4" t="s">
        <v>39</v>
      </c>
      <c r="H84" s="208">
        <v>1</v>
      </c>
      <c r="I84" s="4"/>
      <c r="J84" s="15"/>
      <c r="K84" s="4" t="str">
        <f>_xlfn.IFNA(VLOOKUP($J84,WH_Data[],6,FALSE),"")</f>
        <v/>
      </c>
      <c r="L84" s="4" t="str">
        <f>_xlfn.IFNA(VLOOKUP($J84,WH_Data[],3,FALSE),"")</f>
        <v/>
      </c>
      <c r="M84" s="4" t="str">
        <f>_xlfn.IFNA(VLOOKUP($J84,WH_Data[],5,FALSE),"")</f>
        <v/>
      </c>
      <c r="N84" s="4" t="str">
        <f>_xlfn.IFNA(VLOOKUP($J84,WH_Data[],7,FALSE),"")</f>
        <v/>
      </c>
      <c r="O84" s="4" t="str">
        <f>_xlfn.IFNA(VLOOKUP($J84,WH_Data[],8,FALSE),"")</f>
        <v/>
      </c>
      <c r="P84" s="8"/>
      <c r="Q84" s="209">
        <f>Mon_ILR2[[#This Row],[Qty Required]]-Mon_ILR2[[#This Row],[QTY Transfer]]</f>
        <v>1</v>
      </c>
      <c r="R84" s="66" t="s">
        <v>905</v>
      </c>
      <c r="S84" s="66" t="s">
        <v>931</v>
      </c>
      <c r="T84" s="210">
        <f>_xlfn.IFNA(VLOOKUP(Mon_ILR2[[#This Row],[New Model]],PhilipsLibary[],4,FALSE),"0")</f>
        <v>6460</v>
      </c>
      <c r="U84" s="210">
        <f>_xlfn.IFNA(VLOOKUP(Mon_ILR2[[#This Row],[New Model]],PhilipsLibary[],5,FALSE),"0")</f>
        <v>1127</v>
      </c>
      <c r="V84" s="210">
        <v>1879</v>
      </c>
      <c r="W84" s="210">
        <f>Mon_ILR2[[#This Row],[Accessory Rate]]+Mon_ILR2[[#This Row],[Mounting Rate]]+Mon_ILR2[[#This Row],[Unit Rate]]*Mon_ILR2[[#This Row],[New Quantity Required ]]</f>
        <v>9466</v>
      </c>
      <c r="X84" s="8"/>
      <c r="Y84" s="246" t="s">
        <v>988</v>
      </c>
      <c r="Z84" s="6" t="s">
        <v>45</v>
      </c>
      <c r="AA84" s="6" t="s">
        <v>46</v>
      </c>
      <c r="AB84" s="6" t="s">
        <v>47</v>
      </c>
      <c r="AC84" s="6" t="s">
        <v>48</v>
      </c>
      <c r="AD84" s="6" t="s">
        <v>49</v>
      </c>
      <c r="AE84" s="6" t="s">
        <v>50</v>
      </c>
      <c r="AF84" s="6" t="s">
        <v>50</v>
      </c>
      <c r="AG84" s="6" t="s">
        <v>50</v>
      </c>
      <c r="AH84" s="6" t="s">
        <v>50</v>
      </c>
      <c r="AI84" s="6" t="s">
        <v>51</v>
      </c>
      <c r="AJ84" s="6" t="s">
        <v>50</v>
      </c>
      <c r="AK84" s="6" t="s">
        <v>50</v>
      </c>
      <c r="AL84" s="6" t="s">
        <v>52</v>
      </c>
      <c r="AM84" s="6" t="s">
        <v>53</v>
      </c>
      <c r="AN84" s="6" t="s">
        <v>50</v>
      </c>
      <c r="AO84" s="6" t="s">
        <v>54</v>
      </c>
    </row>
    <row r="85" spans="2:41" ht="75" x14ac:dyDescent="0.25">
      <c r="B85" s="207" t="s">
        <v>275</v>
      </c>
      <c r="C85" s="66" t="s">
        <v>693</v>
      </c>
      <c r="D85" s="4" t="s">
        <v>716</v>
      </c>
      <c r="E85" s="4" t="s">
        <v>1027</v>
      </c>
      <c r="F85" s="4" t="s">
        <v>932</v>
      </c>
      <c r="G85" s="4" t="s">
        <v>39</v>
      </c>
      <c r="H85" s="208">
        <v>1</v>
      </c>
      <c r="I85" s="4"/>
      <c r="J85" s="15"/>
      <c r="K85" s="4" t="str">
        <f>_xlfn.IFNA(VLOOKUP($J85,WH_Data[],6,FALSE),"")</f>
        <v/>
      </c>
      <c r="L85" s="4" t="str">
        <f>_xlfn.IFNA(VLOOKUP($J85,WH_Data[],3,FALSE),"")</f>
        <v/>
      </c>
      <c r="M85" s="4" t="str">
        <f>_xlfn.IFNA(VLOOKUP($J85,WH_Data[],5,FALSE),"")</f>
        <v/>
      </c>
      <c r="N85" s="4" t="str">
        <f>_xlfn.IFNA(VLOOKUP($J85,WH_Data[],7,FALSE),"")</f>
        <v/>
      </c>
      <c r="O85" s="4" t="str">
        <f>_xlfn.IFNA(VLOOKUP($J85,WH_Data[],8,FALSE),"")</f>
        <v/>
      </c>
      <c r="P85" s="8"/>
      <c r="Q85" s="209">
        <f>Mon_ILR2[[#This Row],[Qty Required]]-Mon_ILR2[[#This Row],[QTY Transfer]]</f>
        <v>1</v>
      </c>
      <c r="R85" s="66" t="s">
        <v>905</v>
      </c>
      <c r="S85" s="66" t="s">
        <v>931</v>
      </c>
      <c r="T85" s="210">
        <f>_xlfn.IFNA(VLOOKUP(Mon_ILR2[[#This Row],[New Model]],PhilipsLibary[],4,FALSE),"0")</f>
        <v>6460</v>
      </c>
      <c r="U85" s="210">
        <f>_xlfn.IFNA(VLOOKUP(Mon_ILR2[[#This Row],[New Model]],PhilipsLibary[],5,FALSE),"0")</f>
        <v>1127</v>
      </c>
      <c r="V85" s="210">
        <v>1879</v>
      </c>
      <c r="W85" s="210">
        <f>Mon_ILR2[[#This Row],[Accessory Rate]]+Mon_ILR2[[#This Row],[Mounting Rate]]+Mon_ILR2[[#This Row],[Unit Rate]]*Mon_ILR2[[#This Row],[New Quantity Required ]]</f>
        <v>9466</v>
      </c>
      <c r="X85" s="8"/>
      <c r="Y85" s="246" t="s">
        <v>988</v>
      </c>
      <c r="Z85" s="6" t="s">
        <v>45</v>
      </c>
      <c r="AA85" s="6" t="s">
        <v>46</v>
      </c>
      <c r="AB85" s="6" t="s">
        <v>47</v>
      </c>
      <c r="AC85" s="6" t="s">
        <v>48</v>
      </c>
      <c r="AD85" s="6" t="s">
        <v>49</v>
      </c>
      <c r="AE85" s="6" t="s">
        <v>50</v>
      </c>
      <c r="AF85" s="6" t="s">
        <v>50</v>
      </c>
      <c r="AG85" s="6" t="s">
        <v>50</v>
      </c>
      <c r="AH85" s="6" t="s">
        <v>50</v>
      </c>
      <c r="AI85" s="6" t="s">
        <v>51</v>
      </c>
      <c r="AJ85" s="6" t="s">
        <v>50</v>
      </c>
      <c r="AK85" s="6" t="s">
        <v>50</v>
      </c>
      <c r="AL85" s="6" t="s">
        <v>52</v>
      </c>
      <c r="AM85" s="6" t="s">
        <v>53</v>
      </c>
      <c r="AN85" s="6" t="s">
        <v>50</v>
      </c>
      <c r="AO85" s="6" t="s">
        <v>54</v>
      </c>
    </row>
    <row r="86" spans="2:41" ht="75" x14ac:dyDescent="0.25">
      <c r="B86" s="207" t="s">
        <v>275</v>
      </c>
      <c r="C86" s="66" t="s">
        <v>693</v>
      </c>
      <c r="D86" s="4" t="s">
        <v>717</v>
      </c>
      <c r="E86" s="4" t="s">
        <v>1027</v>
      </c>
      <c r="F86" s="4" t="s">
        <v>932</v>
      </c>
      <c r="G86" s="4" t="s">
        <v>39</v>
      </c>
      <c r="H86" s="208">
        <v>1</v>
      </c>
      <c r="I86" s="4"/>
      <c r="J86" s="15"/>
      <c r="K86" s="4" t="str">
        <f>_xlfn.IFNA(VLOOKUP($J86,WH_Data[],6,FALSE),"")</f>
        <v/>
      </c>
      <c r="L86" s="4" t="str">
        <f>_xlfn.IFNA(VLOOKUP($J86,WH_Data[],3,FALSE),"")</f>
        <v/>
      </c>
      <c r="M86" s="4" t="str">
        <f>_xlfn.IFNA(VLOOKUP($J86,WH_Data[],5,FALSE),"")</f>
        <v/>
      </c>
      <c r="N86" s="4" t="str">
        <f>_xlfn.IFNA(VLOOKUP($J86,WH_Data[],7,FALSE),"")</f>
        <v/>
      </c>
      <c r="O86" s="4" t="str">
        <f>_xlfn.IFNA(VLOOKUP($J86,WH_Data[],8,FALSE),"")</f>
        <v/>
      </c>
      <c r="P86" s="8"/>
      <c r="Q86" s="209">
        <f>Mon_ILR2[[#This Row],[Qty Required]]-Mon_ILR2[[#This Row],[QTY Transfer]]</f>
        <v>1</v>
      </c>
      <c r="R86" s="66" t="s">
        <v>905</v>
      </c>
      <c r="S86" s="66" t="s">
        <v>931</v>
      </c>
      <c r="T86" s="210">
        <f>_xlfn.IFNA(VLOOKUP(Mon_ILR2[[#This Row],[New Model]],PhilipsLibary[],4,FALSE),"0")</f>
        <v>6460</v>
      </c>
      <c r="U86" s="210">
        <f>_xlfn.IFNA(VLOOKUP(Mon_ILR2[[#This Row],[New Model]],PhilipsLibary[],5,FALSE),"0")</f>
        <v>1127</v>
      </c>
      <c r="V86" s="210">
        <v>1879</v>
      </c>
      <c r="W86" s="210">
        <f>Mon_ILR2[[#This Row],[Accessory Rate]]+Mon_ILR2[[#This Row],[Mounting Rate]]+Mon_ILR2[[#This Row],[Unit Rate]]*Mon_ILR2[[#This Row],[New Quantity Required ]]</f>
        <v>9466</v>
      </c>
      <c r="X86" s="8"/>
      <c r="Y86" s="246" t="s">
        <v>988</v>
      </c>
      <c r="Z86" s="6" t="s">
        <v>45</v>
      </c>
      <c r="AA86" s="6" t="s">
        <v>46</v>
      </c>
      <c r="AB86" s="6" t="s">
        <v>47</v>
      </c>
      <c r="AC86" s="6" t="s">
        <v>48</v>
      </c>
      <c r="AD86" s="6" t="s">
        <v>49</v>
      </c>
      <c r="AE86" s="6" t="s">
        <v>50</v>
      </c>
      <c r="AF86" s="6" t="s">
        <v>50</v>
      </c>
      <c r="AG86" s="6" t="s">
        <v>50</v>
      </c>
      <c r="AH86" s="6" t="s">
        <v>50</v>
      </c>
      <c r="AI86" s="6" t="s">
        <v>51</v>
      </c>
      <c r="AJ86" s="6" t="s">
        <v>50</v>
      </c>
      <c r="AK86" s="6" t="s">
        <v>50</v>
      </c>
      <c r="AL86" s="6" t="s">
        <v>52</v>
      </c>
      <c r="AM86" s="6" t="s">
        <v>53</v>
      </c>
      <c r="AN86" s="6" t="s">
        <v>50</v>
      </c>
      <c r="AO86" s="6" t="s">
        <v>54</v>
      </c>
    </row>
    <row r="87" spans="2:41" ht="75" x14ac:dyDescent="0.25">
      <c r="B87" s="207" t="s">
        <v>275</v>
      </c>
      <c r="C87" s="66" t="s">
        <v>693</v>
      </c>
      <c r="D87" s="4" t="s">
        <v>718</v>
      </c>
      <c r="E87" s="4" t="s">
        <v>1027</v>
      </c>
      <c r="F87" s="4" t="s">
        <v>932</v>
      </c>
      <c r="G87" s="4" t="s">
        <v>39</v>
      </c>
      <c r="H87" s="208">
        <v>1</v>
      </c>
      <c r="I87" s="4"/>
      <c r="J87" s="15"/>
      <c r="K87" s="4" t="str">
        <f>_xlfn.IFNA(VLOOKUP($J87,WH_Data[],6,FALSE),"")</f>
        <v/>
      </c>
      <c r="L87" s="4" t="str">
        <f>_xlfn.IFNA(VLOOKUP($J87,WH_Data[],3,FALSE),"")</f>
        <v/>
      </c>
      <c r="M87" s="4" t="str">
        <f>_xlfn.IFNA(VLOOKUP($J87,WH_Data[],5,FALSE),"")</f>
        <v/>
      </c>
      <c r="N87" s="4" t="str">
        <f>_xlfn.IFNA(VLOOKUP($J87,WH_Data[],7,FALSE),"")</f>
        <v/>
      </c>
      <c r="O87" s="4" t="str">
        <f>_xlfn.IFNA(VLOOKUP($J87,WH_Data[],8,FALSE),"")</f>
        <v/>
      </c>
      <c r="P87" s="8"/>
      <c r="Q87" s="209">
        <f>Mon_ILR2[[#This Row],[Qty Required]]-Mon_ILR2[[#This Row],[QTY Transfer]]</f>
        <v>1</v>
      </c>
      <c r="R87" s="66" t="s">
        <v>905</v>
      </c>
      <c r="S87" s="66" t="s">
        <v>931</v>
      </c>
      <c r="T87" s="210">
        <f>_xlfn.IFNA(VLOOKUP(Mon_ILR2[[#This Row],[New Model]],PhilipsLibary[],4,FALSE),"0")</f>
        <v>6460</v>
      </c>
      <c r="U87" s="210">
        <f>_xlfn.IFNA(VLOOKUP(Mon_ILR2[[#This Row],[New Model]],PhilipsLibary[],5,FALSE),"0")</f>
        <v>1127</v>
      </c>
      <c r="V87" s="210">
        <v>1879</v>
      </c>
      <c r="W87" s="210">
        <f>Mon_ILR2[[#This Row],[Accessory Rate]]+Mon_ILR2[[#This Row],[Mounting Rate]]+Mon_ILR2[[#This Row],[Unit Rate]]*Mon_ILR2[[#This Row],[New Quantity Required ]]</f>
        <v>9466</v>
      </c>
      <c r="X87" s="8"/>
      <c r="Y87" s="246" t="s">
        <v>988</v>
      </c>
      <c r="Z87" s="6" t="s">
        <v>45</v>
      </c>
      <c r="AA87" s="6" t="s">
        <v>46</v>
      </c>
      <c r="AB87" s="6" t="s">
        <v>47</v>
      </c>
      <c r="AC87" s="6" t="s">
        <v>48</v>
      </c>
      <c r="AD87" s="6" t="s">
        <v>49</v>
      </c>
      <c r="AE87" s="6" t="s">
        <v>50</v>
      </c>
      <c r="AF87" s="6" t="s">
        <v>50</v>
      </c>
      <c r="AG87" s="6" t="s">
        <v>50</v>
      </c>
      <c r="AH87" s="6" t="s">
        <v>50</v>
      </c>
      <c r="AI87" s="6" t="s">
        <v>51</v>
      </c>
      <c r="AJ87" s="6" t="s">
        <v>50</v>
      </c>
      <c r="AK87" s="6" t="s">
        <v>50</v>
      </c>
      <c r="AL87" s="6" t="s">
        <v>52</v>
      </c>
      <c r="AM87" s="6" t="s">
        <v>53</v>
      </c>
      <c r="AN87" s="6" t="s">
        <v>50</v>
      </c>
      <c r="AO87" s="6" t="s">
        <v>54</v>
      </c>
    </row>
    <row r="88" spans="2:41" ht="75" x14ac:dyDescent="0.25">
      <c r="B88" s="207" t="s">
        <v>275</v>
      </c>
      <c r="C88" s="66" t="s">
        <v>693</v>
      </c>
      <c r="D88" s="4" t="s">
        <v>719</v>
      </c>
      <c r="E88" s="4" t="s">
        <v>1027</v>
      </c>
      <c r="F88" s="4" t="s">
        <v>932</v>
      </c>
      <c r="G88" s="4" t="s">
        <v>39</v>
      </c>
      <c r="H88" s="208">
        <v>1</v>
      </c>
      <c r="I88" s="4"/>
      <c r="J88" s="15"/>
      <c r="K88" s="4" t="str">
        <f>_xlfn.IFNA(VLOOKUP($J88,WH_Data[],6,FALSE),"")</f>
        <v/>
      </c>
      <c r="L88" s="4" t="str">
        <f>_xlfn.IFNA(VLOOKUP($J88,WH_Data[],3,FALSE),"")</f>
        <v/>
      </c>
      <c r="M88" s="4" t="str">
        <f>_xlfn.IFNA(VLOOKUP($J88,WH_Data[],5,FALSE),"")</f>
        <v/>
      </c>
      <c r="N88" s="4" t="str">
        <f>_xlfn.IFNA(VLOOKUP($J88,WH_Data[],7,FALSE),"")</f>
        <v/>
      </c>
      <c r="O88" s="4" t="str">
        <f>_xlfn.IFNA(VLOOKUP($J88,WH_Data[],8,FALSE),"")</f>
        <v/>
      </c>
      <c r="P88" s="8"/>
      <c r="Q88" s="209">
        <f>Mon_ILR2[[#This Row],[Qty Required]]-Mon_ILR2[[#This Row],[QTY Transfer]]</f>
        <v>1</v>
      </c>
      <c r="R88" s="66" t="s">
        <v>905</v>
      </c>
      <c r="S88" s="66" t="s">
        <v>931</v>
      </c>
      <c r="T88" s="210">
        <f>_xlfn.IFNA(VLOOKUP(Mon_ILR2[[#This Row],[New Model]],PhilipsLibary[],4,FALSE),"0")</f>
        <v>6460</v>
      </c>
      <c r="U88" s="210">
        <f>_xlfn.IFNA(VLOOKUP(Mon_ILR2[[#This Row],[New Model]],PhilipsLibary[],5,FALSE),"0")</f>
        <v>1127</v>
      </c>
      <c r="V88" s="210">
        <v>1879</v>
      </c>
      <c r="W88" s="210">
        <f>Mon_ILR2[[#This Row],[Accessory Rate]]+Mon_ILR2[[#This Row],[Mounting Rate]]+Mon_ILR2[[#This Row],[Unit Rate]]*Mon_ILR2[[#This Row],[New Quantity Required ]]</f>
        <v>9466</v>
      </c>
      <c r="X88" s="8"/>
      <c r="Y88" s="246" t="s">
        <v>988</v>
      </c>
      <c r="Z88" s="6" t="s">
        <v>45</v>
      </c>
      <c r="AA88" s="6" t="s">
        <v>46</v>
      </c>
      <c r="AB88" s="6" t="s">
        <v>47</v>
      </c>
      <c r="AC88" s="6" t="s">
        <v>48</v>
      </c>
      <c r="AD88" s="6" t="s">
        <v>49</v>
      </c>
      <c r="AE88" s="6" t="s">
        <v>50</v>
      </c>
      <c r="AF88" s="6" t="s">
        <v>50</v>
      </c>
      <c r="AG88" s="6" t="s">
        <v>50</v>
      </c>
      <c r="AH88" s="6" t="s">
        <v>50</v>
      </c>
      <c r="AI88" s="6" t="s">
        <v>51</v>
      </c>
      <c r="AJ88" s="6" t="s">
        <v>50</v>
      </c>
      <c r="AK88" s="6" t="s">
        <v>50</v>
      </c>
      <c r="AL88" s="6" t="s">
        <v>52</v>
      </c>
      <c r="AM88" s="6" t="s">
        <v>53</v>
      </c>
      <c r="AN88" s="6" t="s">
        <v>50</v>
      </c>
      <c r="AO88" s="6" t="s">
        <v>54</v>
      </c>
    </row>
    <row r="89" spans="2:41" ht="75" x14ac:dyDescent="0.25">
      <c r="B89" s="207" t="s">
        <v>275</v>
      </c>
      <c r="C89" s="66" t="s">
        <v>693</v>
      </c>
      <c r="D89" s="4" t="s">
        <v>720</v>
      </c>
      <c r="E89" s="4" t="s">
        <v>1027</v>
      </c>
      <c r="F89" s="4" t="s">
        <v>932</v>
      </c>
      <c r="G89" s="4" t="s">
        <v>39</v>
      </c>
      <c r="H89" s="208">
        <v>1</v>
      </c>
      <c r="I89" s="4"/>
      <c r="J89" s="15"/>
      <c r="K89" s="4" t="str">
        <f>_xlfn.IFNA(VLOOKUP($J89,WH_Data[],6,FALSE),"")</f>
        <v/>
      </c>
      <c r="L89" s="4" t="str">
        <f>_xlfn.IFNA(VLOOKUP($J89,WH_Data[],3,FALSE),"")</f>
        <v/>
      </c>
      <c r="M89" s="4" t="str">
        <f>_xlfn.IFNA(VLOOKUP($J89,WH_Data[],5,FALSE),"")</f>
        <v/>
      </c>
      <c r="N89" s="4" t="str">
        <f>_xlfn.IFNA(VLOOKUP($J89,WH_Data[],7,FALSE),"")</f>
        <v/>
      </c>
      <c r="O89" s="4" t="str">
        <f>_xlfn.IFNA(VLOOKUP($J89,WH_Data[],8,FALSE),"")</f>
        <v/>
      </c>
      <c r="P89" s="8"/>
      <c r="Q89" s="209">
        <f>Mon_ILR2[[#This Row],[Qty Required]]-Mon_ILR2[[#This Row],[QTY Transfer]]</f>
        <v>1</v>
      </c>
      <c r="R89" s="66" t="s">
        <v>905</v>
      </c>
      <c r="S89" s="66" t="s">
        <v>931</v>
      </c>
      <c r="T89" s="210">
        <f>_xlfn.IFNA(VLOOKUP(Mon_ILR2[[#This Row],[New Model]],PhilipsLibary[],4,FALSE),"0")</f>
        <v>6460</v>
      </c>
      <c r="U89" s="210">
        <f>_xlfn.IFNA(VLOOKUP(Mon_ILR2[[#This Row],[New Model]],PhilipsLibary[],5,FALSE),"0")</f>
        <v>1127</v>
      </c>
      <c r="V89" s="210">
        <v>1879</v>
      </c>
      <c r="W89" s="210">
        <f>Mon_ILR2[[#This Row],[Accessory Rate]]+Mon_ILR2[[#This Row],[Mounting Rate]]+Mon_ILR2[[#This Row],[Unit Rate]]*Mon_ILR2[[#This Row],[New Quantity Required ]]</f>
        <v>9466</v>
      </c>
      <c r="X89" s="8"/>
      <c r="Y89" s="246" t="s">
        <v>988</v>
      </c>
      <c r="Z89" s="6" t="s">
        <v>45</v>
      </c>
      <c r="AA89" s="6" t="s">
        <v>46</v>
      </c>
      <c r="AB89" s="6" t="s">
        <v>47</v>
      </c>
      <c r="AC89" s="6" t="s">
        <v>48</v>
      </c>
      <c r="AD89" s="6" t="s">
        <v>49</v>
      </c>
      <c r="AE89" s="6" t="s">
        <v>50</v>
      </c>
      <c r="AF89" s="6" t="s">
        <v>50</v>
      </c>
      <c r="AG89" s="6" t="s">
        <v>50</v>
      </c>
      <c r="AH89" s="6" t="s">
        <v>50</v>
      </c>
      <c r="AI89" s="6" t="s">
        <v>51</v>
      </c>
      <c r="AJ89" s="6" t="s">
        <v>50</v>
      </c>
      <c r="AK89" s="6" t="s">
        <v>50</v>
      </c>
      <c r="AL89" s="6" t="s">
        <v>52</v>
      </c>
      <c r="AM89" s="6" t="s">
        <v>53</v>
      </c>
      <c r="AN89" s="6" t="s">
        <v>50</v>
      </c>
      <c r="AO89" s="6" t="s">
        <v>54</v>
      </c>
    </row>
    <row r="90" spans="2:41" ht="75" x14ac:dyDescent="0.25">
      <c r="B90" s="207" t="s">
        <v>275</v>
      </c>
      <c r="C90" s="66" t="s">
        <v>693</v>
      </c>
      <c r="D90" s="4" t="s">
        <v>725</v>
      </c>
      <c r="E90" s="4" t="s">
        <v>1027</v>
      </c>
      <c r="F90" s="4" t="s">
        <v>932</v>
      </c>
      <c r="G90" s="4" t="s">
        <v>39</v>
      </c>
      <c r="H90" s="208">
        <v>1</v>
      </c>
      <c r="I90" s="4"/>
      <c r="J90" s="15"/>
      <c r="K90" s="4" t="str">
        <f>_xlfn.IFNA(VLOOKUP($J90,WH_Data[],6,FALSE),"")</f>
        <v/>
      </c>
      <c r="L90" s="4" t="str">
        <f>_xlfn.IFNA(VLOOKUP($J90,WH_Data[],3,FALSE),"")</f>
        <v/>
      </c>
      <c r="M90" s="4" t="str">
        <f>_xlfn.IFNA(VLOOKUP($J90,WH_Data[],5,FALSE),"")</f>
        <v/>
      </c>
      <c r="N90" s="4" t="str">
        <f>_xlfn.IFNA(VLOOKUP($J90,WH_Data[],7,FALSE),"")</f>
        <v/>
      </c>
      <c r="O90" s="4" t="str">
        <f>_xlfn.IFNA(VLOOKUP($J90,WH_Data[],8,FALSE),"")</f>
        <v/>
      </c>
      <c r="P90" s="8"/>
      <c r="Q90" s="209">
        <f>Mon_ILR2[[#This Row],[Qty Required]]-Mon_ILR2[[#This Row],[QTY Transfer]]</f>
        <v>1</v>
      </c>
      <c r="R90" s="66" t="s">
        <v>905</v>
      </c>
      <c r="S90" s="66" t="s">
        <v>931</v>
      </c>
      <c r="T90" s="210">
        <f>_xlfn.IFNA(VLOOKUP(Mon_ILR2[[#This Row],[New Model]],PhilipsLibary[],4,FALSE),"0")</f>
        <v>6460</v>
      </c>
      <c r="U90" s="210">
        <f>_xlfn.IFNA(VLOOKUP(Mon_ILR2[[#This Row],[New Model]],PhilipsLibary[],5,FALSE),"0")</f>
        <v>1127</v>
      </c>
      <c r="V90" s="210">
        <v>1879</v>
      </c>
      <c r="W90" s="210">
        <f>Mon_ILR2[[#This Row],[Accessory Rate]]+Mon_ILR2[[#This Row],[Mounting Rate]]+Mon_ILR2[[#This Row],[Unit Rate]]*Mon_ILR2[[#This Row],[New Quantity Required ]]</f>
        <v>9466</v>
      </c>
      <c r="X90" s="8"/>
      <c r="Y90" s="246" t="s">
        <v>988</v>
      </c>
      <c r="Z90" s="6" t="s">
        <v>45</v>
      </c>
      <c r="AA90" s="6" t="s">
        <v>46</v>
      </c>
      <c r="AB90" s="6" t="s">
        <v>47</v>
      </c>
      <c r="AC90" s="6" t="s">
        <v>48</v>
      </c>
      <c r="AD90" s="6" t="s">
        <v>49</v>
      </c>
      <c r="AE90" s="6" t="s">
        <v>50</v>
      </c>
      <c r="AF90" s="6" t="s">
        <v>50</v>
      </c>
      <c r="AG90" s="6" t="s">
        <v>50</v>
      </c>
      <c r="AH90" s="6" t="s">
        <v>50</v>
      </c>
      <c r="AI90" s="6" t="s">
        <v>51</v>
      </c>
      <c r="AJ90" s="6" t="s">
        <v>50</v>
      </c>
      <c r="AK90" s="6" t="s">
        <v>50</v>
      </c>
      <c r="AL90" s="6" t="s">
        <v>52</v>
      </c>
      <c r="AM90" s="6" t="s">
        <v>53</v>
      </c>
      <c r="AN90" s="6" t="s">
        <v>50</v>
      </c>
      <c r="AO90" s="6" t="s">
        <v>54</v>
      </c>
    </row>
    <row r="91" spans="2:41" ht="75" x14ac:dyDescent="0.25">
      <c r="B91" s="207" t="s">
        <v>275</v>
      </c>
      <c r="C91" s="66" t="s">
        <v>693</v>
      </c>
      <c r="D91" s="4" t="s">
        <v>726</v>
      </c>
      <c r="E91" s="4" t="s">
        <v>1027</v>
      </c>
      <c r="F91" s="4" t="s">
        <v>932</v>
      </c>
      <c r="G91" s="4" t="s">
        <v>39</v>
      </c>
      <c r="H91" s="208">
        <v>1</v>
      </c>
      <c r="I91" s="4"/>
      <c r="J91" s="15"/>
      <c r="K91" s="4" t="str">
        <f>_xlfn.IFNA(VLOOKUP($J91,WH_Data[],6,FALSE),"")</f>
        <v/>
      </c>
      <c r="L91" s="4" t="str">
        <f>_xlfn.IFNA(VLOOKUP($J91,WH_Data[],3,FALSE),"")</f>
        <v/>
      </c>
      <c r="M91" s="4" t="str">
        <f>_xlfn.IFNA(VLOOKUP($J91,WH_Data[],5,FALSE),"")</f>
        <v/>
      </c>
      <c r="N91" s="4" t="str">
        <f>_xlfn.IFNA(VLOOKUP($J91,WH_Data[],7,FALSE),"")</f>
        <v/>
      </c>
      <c r="O91" s="4" t="str">
        <f>_xlfn.IFNA(VLOOKUP($J91,WH_Data[],8,FALSE),"")</f>
        <v/>
      </c>
      <c r="P91" s="8"/>
      <c r="Q91" s="209">
        <f>Mon_ILR2[[#This Row],[Qty Required]]-Mon_ILR2[[#This Row],[QTY Transfer]]</f>
        <v>1</v>
      </c>
      <c r="R91" s="66" t="s">
        <v>905</v>
      </c>
      <c r="S91" s="66" t="s">
        <v>931</v>
      </c>
      <c r="T91" s="210">
        <f>_xlfn.IFNA(VLOOKUP(Mon_ILR2[[#This Row],[New Model]],PhilipsLibary[],4,FALSE),"0")</f>
        <v>6460</v>
      </c>
      <c r="U91" s="210">
        <f>_xlfn.IFNA(VLOOKUP(Mon_ILR2[[#This Row],[New Model]],PhilipsLibary[],5,FALSE),"0")</f>
        <v>1127</v>
      </c>
      <c r="V91" s="210">
        <v>1879</v>
      </c>
      <c r="W91" s="210">
        <f>Mon_ILR2[[#This Row],[Accessory Rate]]+Mon_ILR2[[#This Row],[Mounting Rate]]+Mon_ILR2[[#This Row],[Unit Rate]]*Mon_ILR2[[#This Row],[New Quantity Required ]]</f>
        <v>9466</v>
      </c>
      <c r="X91" s="8"/>
      <c r="Y91" s="246" t="s">
        <v>988</v>
      </c>
      <c r="Z91" s="6" t="s">
        <v>45</v>
      </c>
      <c r="AA91" s="6" t="s">
        <v>46</v>
      </c>
      <c r="AB91" s="6" t="s">
        <v>47</v>
      </c>
      <c r="AC91" s="6" t="s">
        <v>48</v>
      </c>
      <c r="AD91" s="6" t="s">
        <v>49</v>
      </c>
      <c r="AE91" s="6" t="s">
        <v>50</v>
      </c>
      <c r="AF91" s="6" t="s">
        <v>50</v>
      </c>
      <c r="AG91" s="6" t="s">
        <v>50</v>
      </c>
      <c r="AH91" s="6" t="s">
        <v>50</v>
      </c>
      <c r="AI91" s="6" t="s">
        <v>51</v>
      </c>
      <c r="AJ91" s="6" t="s">
        <v>50</v>
      </c>
      <c r="AK91" s="6" t="s">
        <v>50</v>
      </c>
      <c r="AL91" s="6" t="s">
        <v>52</v>
      </c>
      <c r="AM91" s="6" t="s">
        <v>53</v>
      </c>
      <c r="AN91" s="6" t="s">
        <v>50</v>
      </c>
      <c r="AO91" s="6" t="s">
        <v>54</v>
      </c>
    </row>
    <row r="92" spans="2:41" ht="75" x14ac:dyDescent="0.25">
      <c r="B92" s="207" t="s">
        <v>275</v>
      </c>
      <c r="C92" s="66" t="s">
        <v>693</v>
      </c>
      <c r="D92" s="4" t="s">
        <v>727</v>
      </c>
      <c r="E92" s="4" t="s">
        <v>1027</v>
      </c>
      <c r="F92" s="4" t="s">
        <v>932</v>
      </c>
      <c r="G92" s="4" t="s">
        <v>39</v>
      </c>
      <c r="H92" s="208">
        <v>1</v>
      </c>
      <c r="I92" s="4"/>
      <c r="J92" s="15"/>
      <c r="K92" s="4" t="str">
        <f>_xlfn.IFNA(VLOOKUP($J92,WH_Data[],6,FALSE),"")</f>
        <v/>
      </c>
      <c r="L92" s="4" t="str">
        <f>_xlfn.IFNA(VLOOKUP($J92,WH_Data[],3,FALSE),"")</f>
        <v/>
      </c>
      <c r="M92" s="4" t="str">
        <f>_xlfn.IFNA(VLOOKUP($J92,WH_Data[],5,FALSE),"")</f>
        <v/>
      </c>
      <c r="N92" s="4" t="str">
        <f>_xlfn.IFNA(VLOOKUP($J92,WH_Data[],7,FALSE),"")</f>
        <v/>
      </c>
      <c r="O92" s="4" t="str">
        <f>_xlfn.IFNA(VLOOKUP($J92,WH_Data[],8,FALSE),"")</f>
        <v/>
      </c>
      <c r="P92" s="8"/>
      <c r="Q92" s="209">
        <f>Mon_ILR2[[#This Row],[Qty Required]]-Mon_ILR2[[#This Row],[QTY Transfer]]</f>
        <v>1</v>
      </c>
      <c r="R92" s="66" t="s">
        <v>905</v>
      </c>
      <c r="S92" s="66" t="s">
        <v>931</v>
      </c>
      <c r="T92" s="210">
        <f>_xlfn.IFNA(VLOOKUP(Mon_ILR2[[#This Row],[New Model]],PhilipsLibary[],4,FALSE),"0")</f>
        <v>6460</v>
      </c>
      <c r="U92" s="210">
        <f>_xlfn.IFNA(VLOOKUP(Mon_ILR2[[#This Row],[New Model]],PhilipsLibary[],5,FALSE),"0")</f>
        <v>1127</v>
      </c>
      <c r="V92" s="210">
        <v>1879</v>
      </c>
      <c r="W92" s="210">
        <f>Mon_ILR2[[#This Row],[Accessory Rate]]+Mon_ILR2[[#This Row],[Mounting Rate]]+Mon_ILR2[[#This Row],[Unit Rate]]*Mon_ILR2[[#This Row],[New Quantity Required ]]</f>
        <v>9466</v>
      </c>
      <c r="X92" s="8"/>
      <c r="Y92" s="246" t="s">
        <v>988</v>
      </c>
      <c r="Z92" s="6" t="s">
        <v>45</v>
      </c>
      <c r="AA92" s="6" t="s">
        <v>46</v>
      </c>
      <c r="AB92" s="6" t="s">
        <v>47</v>
      </c>
      <c r="AC92" s="6" t="s">
        <v>48</v>
      </c>
      <c r="AD92" s="6" t="s">
        <v>49</v>
      </c>
      <c r="AE92" s="6" t="s">
        <v>50</v>
      </c>
      <c r="AF92" s="6" t="s">
        <v>50</v>
      </c>
      <c r="AG92" s="6" t="s">
        <v>50</v>
      </c>
      <c r="AH92" s="6" t="s">
        <v>50</v>
      </c>
      <c r="AI92" s="6" t="s">
        <v>51</v>
      </c>
      <c r="AJ92" s="6" t="s">
        <v>50</v>
      </c>
      <c r="AK92" s="6" t="s">
        <v>50</v>
      </c>
      <c r="AL92" s="6" t="s">
        <v>52</v>
      </c>
      <c r="AM92" s="6" t="s">
        <v>53</v>
      </c>
      <c r="AN92" s="6" t="s">
        <v>50</v>
      </c>
      <c r="AO92" s="6" t="s">
        <v>54</v>
      </c>
    </row>
    <row r="93" spans="2:41" ht="75" x14ac:dyDescent="0.25">
      <c r="B93" s="207" t="s">
        <v>275</v>
      </c>
      <c r="C93" s="66" t="s">
        <v>693</v>
      </c>
      <c r="D93" s="4" t="s">
        <v>728</v>
      </c>
      <c r="E93" s="4" t="s">
        <v>1027</v>
      </c>
      <c r="F93" s="4" t="s">
        <v>932</v>
      </c>
      <c r="G93" s="4" t="s">
        <v>39</v>
      </c>
      <c r="H93" s="208">
        <v>1</v>
      </c>
      <c r="I93" s="4"/>
      <c r="J93" s="15"/>
      <c r="K93" s="4" t="str">
        <f>_xlfn.IFNA(VLOOKUP($J93,WH_Data[],6,FALSE),"")</f>
        <v/>
      </c>
      <c r="L93" s="4" t="str">
        <f>_xlfn.IFNA(VLOOKUP($J93,WH_Data[],3,FALSE),"")</f>
        <v/>
      </c>
      <c r="M93" s="4" t="str">
        <f>_xlfn.IFNA(VLOOKUP($J93,WH_Data[],5,FALSE),"")</f>
        <v/>
      </c>
      <c r="N93" s="4" t="str">
        <f>_xlfn.IFNA(VLOOKUP($J93,WH_Data[],7,FALSE),"")</f>
        <v/>
      </c>
      <c r="O93" s="4" t="str">
        <f>_xlfn.IFNA(VLOOKUP($J93,WH_Data[],8,FALSE),"")</f>
        <v/>
      </c>
      <c r="P93" s="8"/>
      <c r="Q93" s="209">
        <f>Mon_ILR2[[#This Row],[Qty Required]]-Mon_ILR2[[#This Row],[QTY Transfer]]</f>
        <v>1</v>
      </c>
      <c r="R93" s="66" t="s">
        <v>905</v>
      </c>
      <c r="S93" s="66" t="s">
        <v>931</v>
      </c>
      <c r="T93" s="210">
        <f>_xlfn.IFNA(VLOOKUP(Mon_ILR2[[#This Row],[New Model]],PhilipsLibary[],4,FALSE),"0")</f>
        <v>6460</v>
      </c>
      <c r="U93" s="210">
        <f>_xlfn.IFNA(VLOOKUP(Mon_ILR2[[#This Row],[New Model]],PhilipsLibary[],5,FALSE),"0")</f>
        <v>1127</v>
      </c>
      <c r="V93" s="210">
        <v>1879</v>
      </c>
      <c r="W93" s="210">
        <f>Mon_ILR2[[#This Row],[Accessory Rate]]+Mon_ILR2[[#This Row],[Mounting Rate]]+Mon_ILR2[[#This Row],[Unit Rate]]*Mon_ILR2[[#This Row],[New Quantity Required ]]</f>
        <v>9466</v>
      </c>
      <c r="X93" s="8"/>
      <c r="Y93" s="246" t="s">
        <v>988</v>
      </c>
      <c r="Z93" s="6" t="s">
        <v>45</v>
      </c>
      <c r="AA93" s="6" t="s">
        <v>46</v>
      </c>
      <c r="AB93" s="6" t="s">
        <v>47</v>
      </c>
      <c r="AC93" s="6" t="s">
        <v>48</v>
      </c>
      <c r="AD93" s="6" t="s">
        <v>49</v>
      </c>
      <c r="AE93" s="6" t="s">
        <v>50</v>
      </c>
      <c r="AF93" s="6" t="s">
        <v>50</v>
      </c>
      <c r="AG93" s="6" t="s">
        <v>50</v>
      </c>
      <c r="AH93" s="6" t="s">
        <v>50</v>
      </c>
      <c r="AI93" s="6" t="s">
        <v>51</v>
      </c>
      <c r="AJ93" s="6" t="s">
        <v>50</v>
      </c>
      <c r="AK93" s="6" t="s">
        <v>50</v>
      </c>
      <c r="AL93" s="6" t="s">
        <v>52</v>
      </c>
      <c r="AM93" s="6" t="s">
        <v>53</v>
      </c>
      <c r="AN93" s="6" t="s">
        <v>50</v>
      </c>
      <c r="AO93" s="6" t="s">
        <v>54</v>
      </c>
    </row>
    <row r="94" spans="2:41" ht="75" x14ac:dyDescent="0.25">
      <c r="B94" s="207" t="s">
        <v>275</v>
      </c>
      <c r="C94" s="66" t="s">
        <v>693</v>
      </c>
      <c r="D94" s="4" t="s">
        <v>729</v>
      </c>
      <c r="E94" s="4" t="s">
        <v>1027</v>
      </c>
      <c r="F94" s="4" t="s">
        <v>932</v>
      </c>
      <c r="G94" s="4" t="s">
        <v>39</v>
      </c>
      <c r="H94" s="208">
        <v>1</v>
      </c>
      <c r="I94" s="4"/>
      <c r="J94" s="15"/>
      <c r="K94" s="4" t="str">
        <f>_xlfn.IFNA(VLOOKUP($J94,WH_Data[],6,FALSE),"")</f>
        <v/>
      </c>
      <c r="L94" s="4" t="str">
        <f>_xlfn.IFNA(VLOOKUP($J94,WH_Data[],3,FALSE),"")</f>
        <v/>
      </c>
      <c r="M94" s="4" t="str">
        <f>_xlfn.IFNA(VLOOKUP($J94,WH_Data[],5,FALSE),"")</f>
        <v/>
      </c>
      <c r="N94" s="4" t="str">
        <f>_xlfn.IFNA(VLOOKUP($J94,WH_Data[],7,FALSE),"")</f>
        <v/>
      </c>
      <c r="O94" s="4" t="str">
        <f>_xlfn.IFNA(VLOOKUP($J94,WH_Data[],8,FALSE),"")</f>
        <v/>
      </c>
      <c r="P94" s="8"/>
      <c r="Q94" s="209">
        <f>Mon_ILR2[[#This Row],[Qty Required]]-Mon_ILR2[[#This Row],[QTY Transfer]]</f>
        <v>1</v>
      </c>
      <c r="R94" s="66" t="s">
        <v>905</v>
      </c>
      <c r="S94" s="66" t="s">
        <v>931</v>
      </c>
      <c r="T94" s="210">
        <f>_xlfn.IFNA(VLOOKUP(Mon_ILR2[[#This Row],[New Model]],PhilipsLibary[],4,FALSE),"0")</f>
        <v>6460</v>
      </c>
      <c r="U94" s="210">
        <f>_xlfn.IFNA(VLOOKUP(Mon_ILR2[[#This Row],[New Model]],PhilipsLibary[],5,FALSE),"0")</f>
        <v>1127</v>
      </c>
      <c r="V94" s="210">
        <v>1879</v>
      </c>
      <c r="W94" s="210">
        <f>Mon_ILR2[[#This Row],[Accessory Rate]]+Mon_ILR2[[#This Row],[Mounting Rate]]+Mon_ILR2[[#This Row],[Unit Rate]]*Mon_ILR2[[#This Row],[New Quantity Required ]]</f>
        <v>9466</v>
      </c>
      <c r="X94" s="8"/>
      <c r="Y94" s="246" t="s">
        <v>988</v>
      </c>
      <c r="Z94" s="6" t="s">
        <v>45</v>
      </c>
      <c r="AA94" s="6" t="s">
        <v>46</v>
      </c>
      <c r="AB94" s="6" t="s">
        <v>47</v>
      </c>
      <c r="AC94" s="6" t="s">
        <v>48</v>
      </c>
      <c r="AD94" s="6" t="s">
        <v>49</v>
      </c>
      <c r="AE94" s="6" t="s">
        <v>50</v>
      </c>
      <c r="AF94" s="6" t="s">
        <v>50</v>
      </c>
      <c r="AG94" s="6" t="s">
        <v>50</v>
      </c>
      <c r="AH94" s="6" t="s">
        <v>50</v>
      </c>
      <c r="AI94" s="6" t="s">
        <v>51</v>
      </c>
      <c r="AJ94" s="6" t="s">
        <v>50</v>
      </c>
      <c r="AK94" s="6" t="s">
        <v>50</v>
      </c>
      <c r="AL94" s="6" t="s">
        <v>52</v>
      </c>
      <c r="AM94" s="6" t="s">
        <v>53</v>
      </c>
      <c r="AN94" s="6" t="s">
        <v>50</v>
      </c>
      <c r="AO94" s="6" t="s">
        <v>54</v>
      </c>
    </row>
    <row r="95" spans="2:41" ht="75" x14ac:dyDescent="0.25">
      <c r="B95" s="207" t="s">
        <v>275</v>
      </c>
      <c r="C95" s="66" t="s">
        <v>693</v>
      </c>
      <c r="D95" s="4" t="s">
        <v>730</v>
      </c>
      <c r="E95" s="4" t="s">
        <v>1027</v>
      </c>
      <c r="F95" s="4" t="s">
        <v>932</v>
      </c>
      <c r="G95" s="4" t="s">
        <v>39</v>
      </c>
      <c r="H95" s="208">
        <v>1</v>
      </c>
      <c r="I95" s="4"/>
      <c r="J95" s="15"/>
      <c r="K95" s="4" t="str">
        <f>_xlfn.IFNA(VLOOKUP($J95,WH_Data[],6,FALSE),"")</f>
        <v/>
      </c>
      <c r="L95" s="4" t="str">
        <f>_xlfn.IFNA(VLOOKUP($J95,WH_Data[],3,FALSE),"")</f>
        <v/>
      </c>
      <c r="M95" s="4" t="str">
        <f>_xlfn.IFNA(VLOOKUP($J95,WH_Data[],5,FALSE),"")</f>
        <v/>
      </c>
      <c r="N95" s="4" t="str">
        <f>_xlfn.IFNA(VLOOKUP($J95,WH_Data[],7,FALSE),"")</f>
        <v/>
      </c>
      <c r="O95" s="4" t="str">
        <f>_xlfn.IFNA(VLOOKUP($J95,WH_Data[],8,FALSE),"")</f>
        <v/>
      </c>
      <c r="P95" s="8"/>
      <c r="Q95" s="209">
        <f>Mon_ILR2[[#This Row],[Qty Required]]-Mon_ILR2[[#This Row],[QTY Transfer]]</f>
        <v>1</v>
      </c>
      <c r="R95" s="66" t="s">
        <v>905</v>
      </c>
      <c r="S95" s="66" t="s">
        <v>931</v>
      </c>
      <c r="T95" s="210">
        <f>_xlfn.IFNA(VLOOKUP(Mon_ILR2[[#This Row],[New Model]],PhilipsLibary[],4,FALSE),"0")</f>
        <v>6460</v>
      </c>
      <c r="U95" s="210">
        <f>_xlfn.IFNA(VLOOKUP(Mon_ILR2[[#This Row],[New Model]],PhilipsLibary[],5,FALSE),"0")</f>
        <v>1127</v>
      </c>
      <c r="V95" s="210">
        <v>1879</v>
      </c>
      <c r="W95" s="210">
        <f>Mon_ILR2[[#This Row],[Accessory Rate]]+Mon_ILR2[[#This Row],[Mounting Rate]]+Mon_ILR2[[#This Row],[Unit Rate]]*Mon_ILR2[[#This Row],[New Quantity Required ]]</f>
        <v>9466</v>
      </c>
      <c r="X95" s="8"/>
      <c r="Y95" s="246" t="s">
        <v>988</v>
      </c>
      <c r="Z95" s="6" t="s">
        <v>45</v>
      </c>
      <c r="AA95" s="6" t="s">
        <v>46</v>
      </c>
      <c r="AB95" s="6" t="s">
        <v>47</v>
      </c>
      <c r="AC95" s="6" t="s">
        <v>48</v>
      </c>
      <c r="AD95" s="6" t="s">
        <v>49</v>
      </c>
      <c r="AE95" s="6" t="s">
        <v>50</v>
      </c>
      <c r="AF95" s="6" t="s">
        <v>50</v>
      </c>
      <c r="AG95" s="6" t="s">
        <v>50</v>
      </c>
      <c r="AH95" s="6" t="s">
        <v>50</v>
      </c>
      <c r="AI95" s="6" t="s">
        <v>51</v>
      </c>
      <c r="AJ95" s="6" t="s">
        <v>50</v>
      </c>
      <c r="AK95" s="6" t="s">
        <v>50</v>
      </c>
      <c r="AL95" s="6" t="s">
        <v>52</v>
      </c>
      <c r="AM95" s="6" t="s">
        <v>53</v>
      </c>
      <c r="AN95" s="6" t="s">
        <v>50</v>
      </c>
      <c r="AO95" s="6" t="s">
        <v>54</v>
      </c>
    </row>
    <row r="96" spans="2:41" ht="75" x14ac:dyDescent="0.25">
      <c r="B96" s="207" t="s">
        <v>275</v>
      </c>
      <c r="C96" s="66" t="s">
        <v>693</v>
      </c>
      <c r="D96" s="4" t="s">
        <v>732</v>
      </c>
      <c r="E96" s="4" t="s">
        <v>1027</v>
      </c>
      <c r="F96" s="4" t="s">
        <v>932</v>
      </c>
      <c r="G96" s="4" t="s">
        <v>39</v>
      </c>
      <c r="H96" s="208">
        <v>1</v>
      </c>
      <c r="I96" s="4"/>
      <c r="J96" s="15"/>
      <c r="K96" s="4" t="str">
        <f>_xlfn.IFNA(VLOOKUP($J96,WH_Data[],6,FALSE),"")</f>
        <v/>
      </c>
      <c r="L96" s="4" t="str">
        <f>_xlfn.IFNA(VLOOKUP($J96,WH_Data[],3,FALSE),"")</f>
        <v/>
      </c>
      <c r="M96" s="4" t="str">
        <f>_xlfn.IFNA(VLOOKUP($J96,WH_Data[],5,FALSE),"")</f>
        <v/>
      </c>
      <c r="N96" s="4" t="str">
        <f>_xlfn.IFNA(VLOOKUP($J96,WH_Data[],7,FALSE),"")</f>
        <v/>
      </c>
      <c r="O96" s="4" t="str">
        <f>_xlfn.IFNA(VLOOKUP($J96,WH_Data[],8,FALSE),"")</f>
        <v/>
      </c>
      <c r="P96" s="8"/>
      <c r="Q96" s="209">
        <f>Mon_ILR2[[#This Row],[Qty Required]]-Mon_ILR2[[#This Row],[QTY Transfer]]</f>
        <v>1</v>
      </c>
      <c r="R96" s="66" t="s">
        <v>905</v>
      </c>
      <c r="S96" s="66" t="s">
        <v>931</v>
      </c>
      <c r="T96" s="210">
        <f>_xlfn.IFNA(VLOOKUP(Mon_ILR2[[#This Row],[New Model]],PhilipsLibary[],4,FALSE),"0")</f>
        <v>6460</v>
      </c>
      <c r="U96" s="210">
        <f>_xlfn.IFNA(VLOOKUP(Mon_ILR2[[#This Row],[New Model]],PhilipsLibary[],5,FALSE),"0")</f>
        <v>1127</v>
      </c>
      <c r="V96" s="210">
        <v>1879</v>
      </c>
      <c r="W96" s="210">
        <f>Mon_ILR2[[#This Row],[Accessory Rate]]+Mon_ILR2[[#This Row],[Mounting Rate]]+Mon_ILR2[[#This Row],[Unit Rate]]*Mon_ILR2[[#This Row],[New Quantity Required ]]</f>
        <v>9466</v>
      </c>
      <c r="X96" s="8"/>
      <c r="Y96" s="246" t="s">
        <v>988</v>
      </c>
      <c r="Z96" s="6" t="s">
        <v>45</v>
      </c>
      <c r="AA96" s="6" t="s">
        <v>46</v>
      </c>
      <c r="AB96" s="6" t="s">
        <v>47</v>
      </c>
      <c r="AC96" s="6" t="s">
        <v>48</v>
      </c>
      <c r="AD96" s="6" t="s">
        <v>49</v>
      </c>
      <c r="AE96" s="6" t="s">
        <v>50</v>
      </c>
      <c r="AF96" s="6" t="s">
        <v>50</v>
      </c>
      <c r="AG96" s="6" t="s">
        <v>50</v>
      </c>
      <c r="AH96" s="6" t="s">
        <v>50</v>
      </c>
      <c r="AI96" s="6" t="s">
        <v>51</v>
      </c>
      <c r="AJ96" s="6" t="s">
        <v>50</v>
      </c>
      <c r="AK96" s="6" t="s">
        <v>50</v>
      </c>
      <c r="AL96" s="6" t="s">
        <v>52</v>
      </c>
      <c r="AM96" s="6" t="s">
        <v>53</v>
      </c>
      <c r="AN96" s="6" t="s">
        <v>50</v>
      </c>
      <c r="AO96" s="6" t="s">
        <v>54</v>
      </c>
    </row>
    <row r="97" spans="2:41" ht="75" x14ac:dyDescent="0.25">
      <c r="B97" s="207" t="s">
        <v>275</v>
      </c>
      <c r="C97" s="66" t="s">
        <v>693</v>
      </c>
      <c r="D97" s="4" t="s">
        <v>733</v>
      </c>
      <c r="E97" s="4" t="s">
        <v>1027</v>
      </c>
      <c r="F97" s="4" t="s">
        <v>932</v>
      </c>
      <c r="G97" s="4" t="s">
        <v>39</v>
      </c>
      <c r="H97" s="208">
        <v>1</v>
      </c>
      <c r="I97" s="4"/>
      <c r="J97" s="15"/>
      <c r="K97" s="4" t="str">
        <f>_xlfn.IFNA(VLOOKUP($J97,WH_Data[],6,FALSE),"")</f>
        <v/>
      </c>
      <c r="L97" s="4" t="str">
        <f>_xlfn.IFNA(VLOOKUP($J97,WH_Data[],3,FALSE),"")</f>
        <v/>
      </c>
      <c r="M97" s="4" t="str">
        <f>_xlfn.IFNA(VLOOKUP($J97,WH_Data[],5,FALSE),"")</f>
        <v/>
      </c>
      <c r="N97" s="4" t="str">
        <f>_xlfn.IFNA(VLOOKUP($J97,WH_Data[],7,FALSE),"")</f>
        <v/>
      </c>
      <c r="O97" s="4" t="str">
        <f>_xlfn.IFNA(VLOOKUP($J97,WH_Data[],8,FALSE),"")</f>
        <v/>
      </c>
      <c r="P97" s="8"/>
      <c r="Q97" s="209">
        <f>Mon_ILR2[[#This Row],[Qty Required]]-Mon_ILR2[[#This Row],[QTY Transfer]]</f>
        <v>1</v>
      </c>
      <c r="R97" s="66" t="s">
        <v>905</v>
      </c>
      <c r="S97" s="66" t="s">
        <v>931</v>
      </c>
      <c r="T97" s="210">
        <f>_xlfn.IFNA(VLOOKUP(Mon_ILR2[[#This Row],[New Model]],PhilipsLibary[],4,FALSE),"0")</f>
        <v>6460</v>
      </c>
      <c r="U97" s="210">
        <f>_xlfn.IFNA(VLOOKUP(Mon_ILR2[[#This Row],[New Model]],PhilipsLibary[],5,FALSE),"0")</f>
        <v>1127</v>
      </c>
      <c r="V97" s="210">
        <v>1879</v>
      </c>
      <c r="W97" s="210">
        <f>Mon_ILR2[[#This Row],[Accessory Rate]]+Mon_ILR2[[#This Row],[Mounting Rate]]+Mon_ILR2[[#This Row],[Unit Rate]]*Mon_ILR2[[#This Row],[New Quantity Required ]]</f>
        <v>9466</v>
      </c>
      <c r="X97" s="8"/>
      <c r="Y97" s="246" t="s">
        <v>988</v>
      </c>
      <c r="Z97" s="6" t="s">
        <v>45</v>
      </c>
      <c r="AA97" s="6" t="s">
        <v>46</v>
      </c>
      <c r="AB97" s="6" t="s">
        <v>47</v>
      </c>
      <c r="AC97" s="6" t="s">
        <v>48</v>
      </c>
      <c r="AD97" s="6" t="s">
        <v>49</v>
      </c>
      <c r="AE97" s="6" t="s">
        <v>50</v>
      </c>
      <c r="AF97" s="6" t="s">
        <v>50</v>
      </c>
      <c r="AG97" s="6" t="s">
        <v>50</v>
      </c>
      <c r="AH97" s="6" t="s">
        <v>50</v>
      </c>
      <c r="AI97" s="6" t="s">
        <v>51</v>
      </c>
      <c r="AJ97" s="6" t="s">
        <v>50</v>
      </c>
      <c r="AK97" s="6" t="s">
        <v>50</v>
      </c>
      <c r="AL97" s="6" t="s">
        <v>52</v>
      </c>
      <c r="AM97" s="6" t="s">
        <v>53</v>
      </c>
      <c r="AN97" s="6" t="s">
        <v>50</v>
      </c>
      <c r="AO97" s="6" t="s">
        <v>54</v>
      </c>
    </row>
    <row r="98" spans="2:41" ht="75" x14ac:dyDescent="0.25">
      <c r="B98" s="207" t="s">
        <v>275</v>
      </c>
      <c r="C98" s="66" t="s">
        <v>708</v>
      </c>
      <c r="D98" s="4" t="s">
        <v>709</v>
      </c>
      <c r="E98" s="4" t="s">
        <v>1027</v>
      </c>
      <c r="F98" s="4" t="s">
        <v>932</v>
      </c>
      <c r="G98" s="4" t="s">
        <v>39</v>
      </c>
      <c r="H98" s="208">
        <v>1</v>
      </c>
      <c r="I98" s="4"/>
      <c r="J98" s="15"/>
      <c r="K98" s="4" t="str">
        <f>_xlfn.IFNA(VLOOKUP($J98,WH_Data[],6,FALSE),"")</f>
        <v/>
      </c>
      <c r="L98" s="4" t="str">
        <f>_xlfn.IFNA(VLOOKUP($J98,WH_Data[],3,FALSE),"")</f>
        <v/>
      </c>
      <c r="M98" s="4" t="str">
        <f>_xlfn.IFNA(VLOOKUP($J98,WH_Data[],5,FALSE),"")</f>
        <v/>
      </c>
      <c r="N98" s="4" t="str">
        <f>_xlfn.IFNA(VLOOKUP($J98,WH_Data[],7,FALSE),"")</f>
        <v/>
      </c>
      <c r="O98" s="4" t="str">
        <f>_xlfn.IFNA(VLOOKUP($J98,WH_Data[],8,FALSE),"")</f>
        <v/>
      </c>
      <c r="P98" s="8"/>
      <c r="Q98" s="209">
        <f>Mon_ILR2[[#This Row],[Qty Required]]-Mon_ILR2[[#This Row],[QTY Transfer]]</f>
        <v>1</v>
      </c>
      <c r="R98" s="66" t="s">
        <v>905</v>
      </c>
      <c r="S98" s="66" t="s">
        <v>931</v>
      </c>
      <c r="T98" s="210">
        <f>_xlfn.IFNA(VLOOKUP(Mon_ILR2[[#This Row],[New Model]],PhilipsLibary[],4,FALSE),"0")</f>
        <v>6460</v>
      </c>
      <c r="U98" s="210">
        <f>_xlfn.IFNA(VLOOKUP(Mon_ILR2[[#This Row],[New Model]],PhilipsLibary[],5,FALSE),"0")</f>
        <v>1127</v>
      </c>
      <c r="V98" s="210">
        <v>1879</v>
      </c>
      <c r="W98" s="210">
        <f>Mon_ILR2[[#This Row],[Accessory Rate]]+Mon_ILR2[[#This Row],[Mounting Rate]]+Mon_ILR2[[#This Row],[Unit Rate]]*Mon_ILR2[[#This Row],[New Quantity Required ]]</f>
        <v>9466</v>
      </c>
      <c r="X98" s="8"/>
      <c r="Y98" s="246" t="s">
        <v>988</v>
      </c>
      <c r="Z98" s="6" t="s">
        <v>45</v>
      </c>
      <c r="AA98" s="6" t="s">
        <v>46</v>
      </c>
      <c r="AB98" s="6" t="s">
        <v>47</v>
      </c>
      <c r="AC98" s="6" t="s">
        <v>48</v>
      </c>
      <c r="AD98" s="6" t="s">
        <v>49</v>
      </c>
      <c r="AE98" s="6" t="s">
        <v>50</v>
      </c>
      <c r="AF98" s="6" t="s">
        <v>50</v>
      </c>
      <c r="AG98" s="6" t="s">
        <v>50</v>
      </c>
      <c r="AH98" s="6" t="s">
        <v>50</v>
      </c>
      <c r="AI98" s="6" t="s">
        <v>51</v>
      </c>
      <c r="AJ98" s="6" t="s">
        <v>50</v>
      </c>
      <c r="AK98" s="6" t="s">
        <v>50</v>
      </c>
      <c r="AL98" s="6" t="s">
        <v>52</v>
      </c>
      <c r="AM98" s="6" t="s">
        <v>53</v>
      </c>
      <c r="AN98" s="6" t="s">
        <v>50</v>
      </c>
      <c r="AO98" s="6" t="s">
        <v>54</v>
      </c>
    </row>
    <row r="99" spans="2:41" ht="75" x14ac:dyDescent="0.25">
      <c r="B99" s="207" t="s">
        <v>275</v>
      </c>
      <c r="C99" s="66" t="s">
        <v>708</v>
      </c>
      <c r="D99" s="4" t="s">
        <v>713</v>
      </c>
      <c r="E99" s="4" t="s">
        <v>1027</v>
      </c>
      <c r="F99" s="4" t="s">
        <v>932</v>
      </c>
      <c r="G99" s="4" t="s">
        <v>39</v>
      </c>
      <c r="H99" s="208">
        <v>1</v>
      </c>
      <c r="I99" s="4"/>
      <c r="J99" s="15"/>
      <c r="K99" s="4" t="str">
        <f>_xlfn.IFNA(VLOOKUP($J99,WH_Data[],6,FALSE),"")</f>
        <v/>
      </c>
      <c r="L99" s="4" t="str">
        <f>_xlfn.IFNA(VLOOKUP($J99,WH_Data[],3,FALSE),"")</f>
        <v/>
      </c>
      <c r="M99" s="4" t="str">
        <f>_xlfn.IFNA(VLOOKUP($J99,WH_Data[],5,FALSE),"")</f>
        <v/>
      </c>
      <c r="N99" s="4" t="str">
        <f>_xlfn.IFNA(VLOOKUP($J99,WH_Data[],7,FALSE),"")</f>
        <v/>
      </c>
      <c r="O99" s="4" t="str">
        <f>_xlfn.IFNA(VLOOKUP($J99,WH_Data[],8,FALSE),"")</f>
        <v/>
      </c>
      <c r="P99" s="8"/>
      <c r="Q99" s="209">
        <f>Mon_ILR2[[#This Row],[Qty Required]]-Mon_ILR2[[#This Row],[QTY Transfer]]</f>
        <v>1</v>
      </c>
      <c r="R99" s="66" t="s">
        <v>905</v>
      </c>
      <c r="S99" s="66" t="s">
        <v>931</v>
      </c>
      <c r="T99" s="210">
        <f>_xlfn.IFNA(VLOOKUP(Mon_ILR2[[#This Row],[New Model]],PhilipsLibary[],4,FALSE),"0")</f>
        <v>6460</v>
      </c>
      <c r="U99" s="210">
        <f>_xlfn.IFNA(VLOOKUP(Mon_ILR2[[#This Row],[New Model]],PhilipsLibary[],5,FALSE),"0")</f>
        <v>1127</v>
      </c>
      <c r="V99" s="210">
        <v>1879</v>
      </c>
      <c r="W99" s="210">
        <f>Mon_ILR2[[#This Row],[Accessory Rate]]+Mon_ILR2[[#This Row],[Mounting Rate]]+Mon_ILR2[[#This Row],[Unit Rate]]*Mon_ILR2[[#This Row],[New Quantity Required ]]</f>
        <v>9466</v>
      </c>
      <c r="X99" s="8"/>
      <c r="Y99" s="246" t="s">
        <v>988</v>
      </c>
      <c r="Z99" s="6" t="s">
        <v>45</v>
      </c>
      <c r="AA99" s="6" t="s">
        <v>46</v>
      </c>
      <c r="AB99" s="6" t="s">
        <v>47</v>
      </c>
      <c r="AC99" s="6" t="s">
        <v>48</v>
      </c>
      <c r="AD99" s="6" t="s">
        <v>49</v>
      </c>
      <c r="AE99" s="6" t="s">
        <v>50</v>
      </c>
      <c r="AF99" s="6" t="s">
        <v>50</v>
      </c>
      <c r="AG99" s="6" t="s">
        <v>50</v>
      </c>
      <c r="AH99" s="6" t="s">
        <v>50</v>
      </c>
      <c r="AI99" s="6" t="s">
        <v>51</v>
      </c>
      <c r="AJ99" s="6" t="s">
        <v>50</v>
      </c>
      <c r="AK99" s="6" t="s">
        <v>50</v>
      </c>
      <c r="AL99" s="6" t="s">
        <v>52</v>
      </c>
      <c r="AM99" s="6" t="s">
        <v>53</v>
      </c>
      <c r="AN99" s="6" t="s">
        <v>50</v>
      </c>
      <c r="AO99" s="6" t="s">
        <v>54</v>
      </c>
    </row>
    <row r="100" spans="2:41" ht="75" x14ac:dyDescent="0.25">
      <c r="B100" s="207" t="s">
        <v>275</v>
      </c>
      <c r="C100" s="66" t="s">
        <v>722</v>
      </c>
      <c r="D100" s="4" t="s">
        <v>723</v>
      </c>
      <c r="E100" s="4" t="s">
        <v>1027</v>
      </c>
      <c r="F100" s="4" t="s">
        <v>932</v>
      </c>
      <c r="G100" s="4" t="s">
        <v>39</v>
      </c>
      <c r="H100" s="208">
        <v>1</v>
      </c>
      <c r="I100" s="4"/>
      <c r="J100" s="15"/>
      <c r="K100" s="4" t="str">
        <f>_xlfn.IFNA(VLOOKUP($J100,WH_Data[],6,FALSE),"")</f>
        <v/>
      </c>
      <c r="L100" s="4" t="str">
        <f>_xlfn.IFNA(VLOOKUP($J100,WH_Data[],3,FALSE),"")</f>
        <v/>
      </c>
      <c r="M100" s="4" t="str">
        <f>_xlfn.IFNA(VLOOKUP($J100,WH_Data[],5,FALSE),"")</f>
        <v/>
      </c>
      <c r="N100" s="4" t="str">
        <f>_xlfn.IFNA(VLOOKUP($J100,WH_Data[],7,FALSE),"")</f>
        <v/>
      </c>
      <c r="O100" s="4" t="str">
        <f>_xlfn.IFNA(VLOOKUP($J100,WH_Data[],8,FALSE),"")</f>
        <v/>
      </c>
      <c r="P100" s="8"/>
      <c r="Q100" s="209">
        <f>Mon_ILR2[[#This Row],[Qty Required]]-Mon_ILR2[[#This Row],[QTY Transfer]]</f>
        <v>1</v>
      </c>
      <c r="R100" s="66" t="s">
        <v>905</v>
      </c>
      <c r="S100" s="66" t="s">
        <v>931</v>
      </c>
      <c r="T100" s="210">
        <f>_xlfn.IFNA(VLOOKUP(Mon_ILR2[[#This Row],[New Model]],PhilipsLibary[],4,FALSE),"0")</f>
        <v>6460</v>
      </c>
      <c r="U100" s="210">
        <f>_xlfn.IFNA(VLOOKUP(Mon_ILR2[[#This Row],[New Model]],PhilipsLibary[],5,FALSE),"0")</f>
        <v>1127</v>
      </c>
      <c r="V100" s="210">
        <v>1879</v>
      </c>
      <c r="W100" s="210">
        <f>Mon_ILR2[[#This Row],[Accessory Rate]]+Mon_ILR2[[#This Row],[Mounting Rate]]+Mon_ILR2[[#This Row],[Unit Rate]]*Mon_ILR2[[#This Row],[New Quantity Required ]]</f>
        <v>9466</v>
      </c>
      <c r="X100" s="8"/>
      <c r="Y100" s="246" t="s">
        <v>988</v>
      </c>
      <c r="Z100" s="6" t="s">
        <v>45</v>
      </c>
      <c r="AA100" s="6" t="s">
        <v>46</v>
      </c>
      <c r="AB100" s="6" t="s">
        <v>47</v>
      </c>
      <c r="AC100" s="6" t="s">
        <v>48</v>
      </c>
      <c r="AD100" s="6" t="s">
        <v>49</v>
      </c>
      <c r="AE100" s="6" t="s">
        <v>50</v>
      </c>
      <c r="AF100" s="6" t="s">
        <v>50</v>
      </c>
      <c r="AG100" s="6" t="s">
        <v>50</v>
      </c>
      <c r="AH100" s="6" t="s">
        <v>50</v>
      </c>
      <c r="AI100" s="6" t="s">
        <v>51</v>
      </c>
      <c r="AJ100" s="6" t="s">
        <v>50</v>
      </c>
      <c r="AK100" s="6" t="s">
        <v>50</v>
      </c>
      <c r="AL100" s="6" t="s">
        <v>52</v>
      </c>
      <c r="AM100" s="6" t="s">
        <v>53</v>
      </c>
      <c r="AN100" s="6" t="s">
        <v>50</v>
      </c>
      <c r="AO100" s="6" t="s">
        <v>54</v>
      </c>
    </row>
    <row r="101" spans="2:41" ht="75" x14ac:dyDescent="0.25">
      <c r="B101" s="207" t="s">
        <v>275</v>
      </c>
      <c r="C101" s="66" t="s">
        <v>722</v>
      </c>
      <c r="D101" s="4" t="s">
        <v>724</v>
      </c>
      <c r="E101" s="4" t="s">
        <v>1027</v>
      </c>
      <c r="F101" s="4" t="s">
        <v>932</v>
      </c>
      <c r="G101" s="4" t="s">
        <v>39</v>
      </c>
      <c r="H101" s="208">
        <v>1</v>
      </c>
      <c r="I101" s="4"/>
      <c r="J101" s="15"/>
      <c r="K101" s="4" t="str">
        <f>_xlfn.IFNA(VLOOKUP($J101,WH_Data[],6,FALSE),"")</f>
        <v/>
      </c>
      <c r="L101" s="4" t="str">
        <f>_xlfn.IFNA(VLOOKUP($J101,WH_Data[],3,FALSE),"")</f>
        <v/>
      </c>
      <c r="M101" s="4" t="str">
        <f>_xlfn.IFNA(VLOOKUP($J101,WH_Data[],5,FALSE),"")</f>
        <v/>
      </c>
      <c r="N101" s="4" t="str">
        <f>_xlfn.IFNA(VLOOKUP($J101,WH_Data[],7,FALSE),"")</f>
        <v/>
      </c>
      <c r="O101" s="4" t="str">
        <f>_xlfn.IFNA(VLOOKUP($J101,WH_Data[],8,FALSE),"")</f>
        <v/>
      </c>
      <c r="P101" s="8"/>
      <c r="Q101" s="209">
        <f>Mon_ILR2[[#This Row],[Qty Required]]-Mon_ILR2[[#This Row],[QTY Transfer]]</f>
        <v>1</v>
      </c>
      <c r="R101" s="66" t="s">
        <v>905</v>
      </c>
      <c r="S101" s="66" t="s">
        <v>931</v>
      </c>
      <c r="T101" s="210">
        <f>_xlfn.IFNA(VLOOKUP(Mon_ILR2[[#This Row],[New Model]],PhilipsLibary[],4,FALSE),"0")</f>
        <v>6460</v>
      </c>
      <c r="U101" s="210">
        <f>_xlfn.IFNA(VLOOKUP(Mon_ILR2[[#This Row],[New Model]],PhilipsLibary[],5,FALSE),"0")</f>
        <v>1127</v>
      </c>
      <c r="V101" s="210">
        <v>1879</v>
      </c>
      <c r="W101" s="210">
        <f>Mon_ILR2[[#This Row],[Accessory Rate]]+Mon_ILR2[[#This Row],[Mounting Rate]]+Mon_ILR2[[#This Row],[Unit Rate]]*Mon_ILR2[[#This Row],[New Quantity Required ]]</f>
        <v>9466</v>
      </c>
      <c r="X101" s="8"/>
      <c r="Y101" s="246" t="s">
        <v>988</v>
      </c>
      <c r="Z101" s="6" t="s">
        <v>45</v>
      </c>
      <c r="AA101" s="6" t="s">
        <v>46</v>
      </c>
      <c r="AB101" s="6" t="s">
        <v>47</v>
      </c>
      <c r="AC101" s="6" t="s">
        <v>48</v>
      </c>
      <c r="AD101" s="6" t="s">
        <v>49</v>
      </c>
      <c r="AE101" s="6" t="s">
        <v>50</v>
      </c>
      <c r="AF101" s="6" t="s">
        <v>50</v>
      </c>
      <c r="AG101" s="6" t="s">
        <v>50</v>
      </c>
      <c r="AH101" s="6" t="s">
        <v>50</v>
      </c>
      <c r="AI101" s="6" t="s">
        <v>51</v>
      </c>
      <c r="AJ101" s="6" t="s">
        <v>50</v>
      </c>
      <c r="AK101" s="6" t="s">
        <v>50</v>
      </c>
      <c r="AL101" s="6" t="s">
        <v>52</v>
      </c>
      <c r="AM101" s="6" t="s">
        <v>53</v>
      </c>
      <c r="AN101" s="6" t="s">
        <v>50</v>
      </c>
      <c r="AO101" s="6" t="s">
        <v>54</v>
      </c>
    </row>
    <row r="102" spans="2:41" ht="75" x14ac:dyDescent="0.25">
      <c r="B102" s="207" t="s">
        <v>275</v>
      </c>
      <c r="C102" s="66" t="s">
        <v>36</v>
      </c>
      <c r="D102" s="4" t="s">
        <v>690</v>
      </c>
      <c r="E102" s="4" t="s">
        <v>1027</v>
      </c>
      <c r="F102" s="4" t="s">
        <v>932</v>
      </c>
      <c r="G102" s="4" t="s">
        <v>39</v>
      </c>
      <c r="H102" s="208">
        <v>1</v>
      </c>
      <c r="I102" s="4"/>
      <c r="J102" s="15"/>
      <c r="K102" s="4" t="str">
        <f>_xlfn.IFNA(VLOOKUP($J102,WH_Data[],6,FALSE),"")</f>
        <v/>
      </c>
      <c r="L102" s="4" t="str">
        <f>_xlfn.IFNA(VLOOKUP($J102,WH_Data[],3,FALSE),"")</f>
        <v/>
      </c>
      <c r="M102" s="4" t="str">
        <f>_xlfn.IFNA(VLOOKUP($J102,WH_Data[],5,FALSE),"")</f>
        <v/>
      </c>
      <c r="N102" s="4" t="str">
        <f>_xlfn.IFNA(VLOOKUP($J102,WH_Data[],7,FALSE),"")</f>
        <v/>
      </c>
      <c r="O102" s="4" t="str">
        <f>_xlfn.IFNA(VLOOKUP($J102,WH_Data[],8,FALSE),"")</f>
        <v/>
      </c>
      <c r="P102" s="8"/>
      <c r="Q102" s="209">
        <f>Mon_ILR2[[#This Row],[Qty Required]]-Mon_ILR2[[#This Row],[QTY Transfer]]</f>
        <v>1</v>
      </c>
      <c r="R102" s="66" t="s">
        <v>905</v>
      </c>
      <c r="S102" s="66" t="s">
        <v>931</v>
      </c>
      <c r="T102" s="210">
        <f>_xlfn.IFNA(VLOOKUP(Mon_ILR2[[#This Row],[New Model]],PhilipsLibary[],4,FALSE),"0")</f>
        <v>6460</v>
      </c>
      <c r="U102" s="210">
        <f>_xlfn.IFNA(VLOOKUP(Mon_ILR2[[#This Row],[New Model]],PhilipsLibary[],5,FALSE),"0")</f>
        <v>1127</v>
      </c>
      <c r="V102" s="210">
        <v>1879</v>
      </c>
      <c r="W102" s="210">
        <f>Mon_ILR2[[#This Row],[Accessory Rate]]+Mon_ILR2[[#This Row],[Mounting Rate]]+Mon_ILR2[[#This Row],[Unit Rate]]*Mon_ILR2[[#This Row],[New Quantity Required ]]</f>
        <v>9466</v>
      </c>
      <c r="X102" s="8"/>
      <c r="Y102" s="246" t="s">
        <v>988</v>
      </c>
      <c r="Z102" s="6" t="s">
        <v>45</v>
      </c>
      <c r="AA102" s="6" t="s">
        <v>46</v>
      </c>
      <c r="AB102" s="6" t="s">
        <v>47</v>
      </c>
      <c r="AC102" s="6" t="s">
        <v>48</v>
      </c>
      <c r="AD102" s="6" t="s">
        <v>49</v>
      </c>
      <c r="AE102" s="6" t="s">
        <v>50</v>
      </c>
      <c r="AF102" s="6" t="s">
        <v>50</v>
      </c>
      <c r="AG102" s="6" t="s">
        <v>50</v>
      </c>
      <c r="AH102" s="6" t="s">
        <v>50</v>
      </c>
      <c r="AI102" s="6" t="s">
        <v>51</v>
      </c>
      <c r="AJ102" s="6" t="s">
        <v>50</v>
      </c>
      <c r="AK102" s="6" t="s">
        <v>50</v>
      </c>
      <c r="AL102" s="6" t="s">
        <v>52</v>
      </c>
      <c r="AM102" s="6" t="s">
        <v>53</v>
      </c>
      <c r="AN102" s="6" t="s">
        <v>50</v>
      </c>
      <c r="AO102" s="6" t="s">
        <v>54</v>
      </c>
    </row>
    <row r="103" spans="2:41" ht="75" x14ac:dyDescent="0.25">
      <c r="B103" s="207" t="s">
        <v>275</v>
      </c>
      <c r="C103" s="66" t="s">
        <v>36</v>
      </c>
      <c r="D103" s="4" t="s">
        <v>691</v>
      </c>
      <c r="E103" s="4" t="s">
        <v>1027</v>
      </c>
      <c r="F103" s="4" t="s">
        <v>932</v>
      </c>
      <c r="G103" s="4" t="s">
        <v>39</v>
      </c>
      <c r="H103" s="208">
        <v>1</v>
      </c>
      <c r="I103" s="4"/>
      <c r="J103" s="15"/>
      <c r="K103" s="4" t="str">
        <f>_xlfn.IFNA(VLOOKUP($J103,WH_Data[],6,FALSE),"")</f>
        <v/>
      </c>
      <c r="L103" s="4" t="str">
        <f>_xlfn.IFNA(VLOOKUP($J103,WH_Data[],3,FALSE),"")</f>
        <v/>
      </c>
      <c r="M103" s="4" t="str">
        <f>_xlfn.IFNA(VLOOKUP($J103,WH_Data[],5,FALSE),"")</f>
        <v/>
      </c>
      <c r="N103" s="4" t="str">
        <f>_xlfn.IFNA(VLOOKUP($J103,WH_Data[],7,FALSE),"")</f>
        <v/>
      </c>
      <c r="O103" s="4" t="str">
        <f>_xlfn.IFNA(VLOOKUP($J103,WH_Data[],8,FALSE),"")</f>
        <v/>
      </c>
      <c r="P103" s="8"/>
      <c r="Q103" s="209">
        <f>Mon_ILR2[[#This Row],[Qty Required]]-Mon_ILR2[[#This Row],[QTY Transfer]]</f>
        <v>1</v>
      </c>
      <c r="R103" s="66" t="s">
        <v>905</v>
      </c>
      <c r="S103" s="66" t="s">
        <v>931</v>
      </c>
      <c r="T103" s="210">
        <f>_xlfn.IFNA(VLOOKUP(Mon_ILR2[[#This Row],[New Model]],PhilipsLibary[],4,FALSE),"0")</f>
        <v>6460</v>
      </c>
      <c r="U103" s="210">
        <f>_xlfn.IFNA(VLOOKUP(Mon_ILR2[[#This Row],[New Model]],PhilipsLibary[],5,FALSE),"0")</f>
        <v>1127</v>
      </c>
      <c r="V103" s="210">
        <v>1879</v>
      </c>
      <c r="W103" s="210">
        <f>Mon_ILR2[[#This Row],[Accessory Rate]]+Mon_ILR2[[#This Row],[Mounting Rate]]+Mon_ILR2[[#This Row],[Unit Rate]]*Mon_ILR2[[#This Row],[New Quantity Required ]]</f>
        <v>9466</v>
      </c>
      <c r="X103" s="8"/>
      <c r="Y103" s="246" t="s">
        <v>988</v>
      </c>
      <c r="Z103" s="6" t="s">
        <v>45</v>
      </c>
      <c r="AA103" s="6" t="s">
        <v>46</v>
      </c>
      <c r="AB103" s="6" t="s">
        <v>47</v>
      </c>
      <c r="AC103" s="6" t="s">
        <v>48</v>
      </c>
      <c r="AD103" s="6" t="s">
        <v>49</v>
      </c>
      <c r="AE103" s="6" t="s">
        <v>50</v>
      </c>
      <c r="AF103" s="6" t="s">
        <v>50</v>
      </c>
      <c r="AG103" s="6" t="s">
        <v>50</v>
      </c>
      <c r="AH103" s="6" t="s">
        <v>50</v>
      </c>
      <c r="AI103" s="6" t="s">
        <v>51</v>
      </c>
      <c r="AJ103" s="6" t="s">
        <v>50</v>
      </c>
      <c r="AK103" s="6" t="s">
        <v>50</v>
      </c>
      <c r="AL103" s="6" t="s">
        <v>52</v>
      </c>
      <c r="AM103" s="6" t="s">
        <v>53</v>
      </c>
      <c r="AN103" s="6" t="s">
        <v>50</v>
      </c>
      <c r="AO103" s="6" t="s">
        <v>54</v>
      </c>
    </row>
    <row r="104" spans="2:41" ht="75" x14ac:dyDescent="0.25">
      <c r="B104" s="207" t="s">
        <v>275</v>
      </c>
      <c r="C104" s="66" t="s">
        <v>661</v>
      </c>
      <c r="D104" s="4" t="s">
        <v>662</v>
      </c>
      <c r="E104" s="4" t="s">
        <v>1027</v>
      </c>
      <c r="F104" s="4" t="s">
        <v>932</v>
      </c>
      <c r="G104" s="4" t="s">
        <v>39</v>
      </c>
      <c r="H104" s="208">
        <v>1</v>
      </c>
      <c r="I104" s="4"/>
      <c r="J104" s="15"/>
      <c r="K104" s="4" t="str">
        <f>_xlfn.IFNA(VLOOKUP($J104,WH_Data[],6,FALSE),"")</f>
        <v/>
      </c>
      <c r="L104" s="4" t="str">
        <f>_xlfn.IFNA(VLOOKUP($J104,WH_Data[],3,FALSE),"")</f>
        <v/>
      </c>
      <c r="M104" s="4" t="str">
        <f>_xlfn.IFNA(VLOOKUP($J104,WH_Data[],5,FALSE),"")</f>
        <v/>
      </c>
      <c r="N104" s="4" t="str">
        <f>_xlfn.IFNA(VLOOKUP($J104,WH_Data[],7,FALSE),"")</f>
        <v/>
      </c>
      <c r="O104" s="4" t="str">
        <f>_xlfn.IFNA(VLOOKUP($J104,WH_Data[],8,FALSE),"")</f>
        <v/>
      </c>
      <c r="P104" s="8"/>
      <c r="Q104" s="209">
        <f>Mon_ILR2[[#This Row],[Qty Required]]-Mon_ILR2[[#This Row],[QTY Transfer]]</f>
        <v>1</v>
      </c>
      <c r="R104" s="66" t="s">
        <v>905</v>
      </c>
      <c r="S104" s="66" t="s">
        <v>931</v>
      </c>
      <c r="T104" s="210">
        <f>_xlfn.IFNA(VLOOKUP(Mon_ILR2[[#This Row],[New Model]],PhilipsLibary[],4,FALSE),"0")</f>
        <v>6460</v>
      </c>
      <c r="U104" s="210">
        <f>_xlfn.IFNA(VLOOKUP(Mon_ILR2[[#This Row],[New Model]],PhilipsLibary[],5,FALSE),"0")</f>
        <v>1127</v>
      </c>
      <c r="V104" s="210">
        <v>1879</v>
      </c>
      <c r="W104" s="210">
        <f>Mon_ILR2[[#This Row],[Accessory Rate]]+Mon_ILR2[[#This Row],[Mounting Rate]]+Mon_ILR2[[#This Row],[Unit Rate]]*Mon_ILR2[[#This Row],[New Quantity Required ]]</f>
        <v>9466</v>
      </c>
      <c r="X104" s="8"/>
      <c r="Y104" s="246" t="s">
        <v>988</v>
      </c>
      <c r="Z104" s="6" t="s">
        <v>45</v>
      </c>
      <c r="AA104" s="6" t="s">
        <v>46</v>
      </c>
      <c r="AB104" s="6" t="s">
        <v>47</v>
      </c>
      <c r="AC104" s="6" t="s">
        <v>48</v>
      </c>
      <c r="AD104" s="6" t="s">
        <v>49</v>
      </c>
      <c r="AE104" s="6" t="s">
        <v>50</v>
      </c>
      <c r="AF104" s="6" t="s">
        <v>50</v>
      </c>
      <c r="AG104" s="6" t="s">
        <v>50</v>
      </c>
      <c r="AH104" s="6" t="s">
        <v>50</v>
      </c>
      <c r="AI104" s="6" t="s">
        <v>51</v>
      </c>
      <c r="AJ104" s="6" t="s">
        <v>50</v>
      </c>
      <c r="AK104" s="6" t="s">
        <v>50</v>
      </c>
      <c r="AL104" s="6" t="s">
        <v>52</v>
      </c>
      <c r="AM104" s="6" t="s">
        <v>53</v>
      </c>
      <c r="AN104" s="6" t="s">
        <v>50</v>
      </c>
      <c r="AO104" s="6" t="s">
        <v>54</v>
      </c>
    </row>
    <row r="105" spans="2:41" ht="75" x14ac:dyDescent="0.25">
      <c r="B105" s="207" t="s">
        <v>275</v>
      </c>
      <c r="C105" s="66" t="s">
        <v>661</v>
      </c>
      <c r="D105" s="4" t="s">
        <v>663</v>
      </c>
      <c r="E105" s="4" t="s">
        <v>1027</v>
      </c>
      <c r="F105" s="4" t="s">
        <v>932</v>
      </c>
      <c r="G105" s="4" t="s">
        <v>39</v>
      </c>
      <c r="H105" s="208">
        <v>1</v>
      </c>
      <c r="I105" s="4"/>
      <c r="J105" s="15"/>
      <c r="K105" s="4" t="str">
        <f>_xlfn.IFNA(VLOOKUP($J105,WH_Data[],6,FALSE),"")</f>
        <v/>
      </c>
      <c r="L105" s="4" t="str">
        <f>_xlfn.IFNA(VLOOKUP($J105,WH_Data[],3,FALSE),"")</f>
        <v/>
      </c>
      <c r="M105" s="4" t="str">
        <f>_xlfn.IFNA(VLOOKUP($J105,WH_Data[],5,FALSE),"")</f>
        <v/>
      </c>
      <c r="N105" s="4" t="str">
        <f>_xlfn.IFNA(VLOOKUP($J105,WH_Data[],7,FALSE),"")</f>
        <v/>
      </c>
      <c r="O105" s="4" t="str">
        <f>_xlfn.IFNA(VLOOKUP($J105,WH_Data[],8,FALSE),"")</f>
        <v/>
      </c>
      <c r="P105" s="8"/>
      <c r="Q105" s="209">
        <f>Mon_ILR2[[#This Row],[Qty Required]]-Mon_ILR2[[#This Row],[QTY Transfer]]</f>
        <v>1</v>
      </c>
      <c r="R105" s="66" t="s">
        <v>905</v>
      </c>
      <c r="S105" s="66" t="s">
        <v>931</v>
      </c>
      <c r="T105" s="210">
        <f>_xlfn.IFNA(VLOOKUP(Mon_ILR2[[#This Row],[New Model]],PhilipsLibary[],4,FALSE),"0")</f>
        <v>6460</v>
      </c>
      <c r="U105" s="210">
        <f>_xlfn.IFNA(VLOOKUP(Mon_ILR2[[#This Row],[New Model]],PhilipsLibary[],5,FALSE),"0")</f>
        <v>1127</v>
      </c>
      <c r="V105" s="210">
        <v>1879</v>
      </c>
      <c r="W105" s="210">
        <f>Mon_ILR2[[#This Row],[Accessory Rate]]+Mon_ILR2[[#This Row],[Mounting Rate]]+Mon_ILR2[[#This Row],[Unit Rate]]*Mon_ILR2[[#This Row],[New Quantity Required ]]</f>
        <v>9466</v>
      </c>
      <c r="X105" s="8"/>
      <c r="Y105" s="246" t="s">
        <v>988</v>
      </c>
      <c r="Z105" s="6" t="s">
        <v>45</v>
      </c>
      <c r="AA105" s="6" t="s">
        <v>46</v>
      </c>
      <c r="AB105" s="6" t="s">
        <v>47</v>
      </c>
      <c r="AC105" s="6" t="s">
        <v>48</v>
      </c>
      <c r="AD105" s="6" t="s">
        <v>49</v>
      </c>
      <c r="AE105" s="6" t="s">
        <v>50</v>
      </c>
      <c r="AF105" s="6" t="s">
        <v>50</v>
      </c>
      <c r="AG105" s="6" t="s">
        <v>50</v>
      </c>
      <c r="AH105" s="6" t="s">
        <v>50</v>
      </c>
      <c r="AI105" s="6" t="s">
        <v>51</v>
      </c>
      <c r="AJ105" s="6" t="s">
        <v>50</v>
      </c>
      <c r="AK105" s="6" t="s">
        <v>50</v>
      </c>
      <c r="AL105" s="6" t="s">
        <v>52</v>
      </c>
      <c r="AM105" s="6" t="s">
        <v>53</v>
      </c>
      <c r="AN105" s="6" t="s">
        <v>50</v>
      </c>
      <c r="AO105" s="6" t="s">
        <v>54</v>
      </c>
    </row>
    <row r="106" spans="2:41" ht="75" x14ac:dyDescent="0.25">
      <c r="B106" s="207" t="s">
        <v>275</v>
      </c>
      <c r="C106" s="66" t="s">
        <v>661</v>
      </c>
      <c r="D106" s="4" t="s">
        <v>664</v>
      </c>
      <c r="E106" s="4" t="s">
        <v>1027</v>
      </c>
      <c r="F106" s="4" t="s">
        <v>932</v>
      </c>
      <c r="G106" s="4" t="s">
        <v>39</v>
      </c>
      <c r="H106" s="208">
        <v>1</v>
      </c>
      <c r="I106" s="4"/>
      <c r="J106" s="15"/>
      <c r="K106" s="4" t="str">
        <f>_xlfn.IFNA(VLOOKUP($J106,WH_Data[],6,FALSE),"")</f>
        <v/>
      </c>
      <c r="L106" s="4" t="str">
        <f>_xlfn.IFNA(VLOOKUP($J106,WH_Data[],3,FALSE),"")</f>
        <v/>
      </c>
      <c r="M106" s="4" t="str">
        <f>_xlfn.IFNA(VLOOKUP($J106,WH_Data[],5,FALSE),"")</f>
        <v/>
      </c>
      <c r="N106" s="4" t="str">
        <f>_xlfn.IFNA(VLOOKUP($J106,WH_Data[],7,FALSE),"")</f>
        <v/>
      </c>
      <c r="O106" s="4" t="str">
        <f>_xlfn.IFNA(VLOOKUP($J106,WH_Data[],8,FALSE),"")</f>
        <v/>
      </c>
      <c r="P106" s="8"/>
      <c r="Q106" s="209">
        <f>Mon_ILR2[[#This Row],[Qty Required]]-Mon_ILR2[[#This Row],[QTY Transfer]]</f>
        <v>1</v>
      </c>
      <c r="R106" s="66" t="s">
        <v>905</v>
      </c>
      <c r="S106" s="66" t="s">
        <v>931</v>
      </c>
      <c r="T106" s="210">
        <f>_xlfn.IFNA(VLOOKUP(Mon_ILR2[[#This Row],[New Model]],PhilipsLibary[],4,FALSE),"0")</f>
        <v>6460</v>
      </c>
      <c r="U106" s="210">
        <f>_xlfn.IFNA(VLOOKUP(Mon_ILR2[[#This Row],[New Model]],PhilipsLibary[],5,FALSE),"0")</f>
        <v>1127</v>
      </c>
      <c r="V106" s="210">
        <v>1879</v>
      </c>
      <c r="W106" s="210">
        <f>Mon_ILR2[[#This Row],[Accessory Rate]]+Mon_ILR2[[#This Row],[Mounting Rate]]+Mon_ILR2[[#This Row],[Unit Rate]]*Mon_ILR2[[#This Row],[New Quantity Required ]]</f>
        <v>9466</v>
      </c>
      <c r="X106" s="8"/>
      <c r="Y106" s="246" t="s">
        <v>988</v>
      </c>
      <c r="Z106" s="6" t="s">
        <v>45</v>
      </c>
      <c r="AA106" s="6" t="s">
        <v>46</v>
      </c>
      <c r="AB106" s="6" t="s">
        <v>47</v>
      </c>
      <c r="AC106" s="6" t="s">
        <v>48</v>
      </c>
      <c r="AD106" s="6" t="s">
        <v>49</v>
      </c>
      <c r="AE106" s="6" t="s">
        <v>50</v>
      </c>
      <c r="AF106" s="6" t="s">
        <v>50</v>
      </c>
      <c r="AG106" s="6" t="s">
        <v>50</v>
      </c>
      <c r="AH106" s="6" t="s">
        <v>50</v>
      </c>
      <c r="AI106" s="6" t="s">
        <v>51</v>
      </c>
      <c r="AJ106" s="6" t="s">
        <v>50</v>
      </c>
      <c r="AK106" s="6" t="s">
        <v>50</v>
      </c>
      <c r="AL106" s="6" t="s">
        <v>52</v>
      </c>
      <c r="AM106" s="6" t="s">
        <v>53</v>
      </c>
      <c r="AN106" s="6" t="s">
        <v>50</v>
      </c>
      <c r="AO106" s="6" t="s">
        <v>54</v>
      </c>
    </row>
    <row r="107" spans="2:41" ht="75" x14ac:dyDescent="0.25">
      <c r="B107" s="207" t="s">
        <v>275</v>
      </c>
      <c r="C107" s="66" t="s">
        <v>661</v>
      </c>
      <c r="D107" s="4" t="s">
        <v>665</v>
      </c>
      <c r="E107" s="4" t="s">
        <v>1027</v>
      </c>
      <c r="F107" s="4" t="s">
        <v>932</v>
      </c>
      <c r="G107" s="4" t="s">
        <v>39</v>
      </c>
      <c r="H107" s="208">
        <v>1</v>
      </c>
      <c r="I107" s="4"/>
      <c r="J107" s="15"/>
      <c r="K107" s="4" t="str">
        <f>_xlfn.IFNA(VLOOKUP($J107,WH_Data[],6,FALSE),"")</f>
        <v/>
      </c>
      <c r="L107" s="4" t="str">
        <f>_xlfn.IFNA(VLOOKUP($J107,WH_Data[],3,FALSE),"")</f>
        <v/>
      </c>
      <c r="M107" s="4" t="str">
        <f>_xlfn.IFNA(VLOOKUP($J107,WH_Data[],5,FALSE),"")</f>
        <v/>
      </c>
      <c r="N107" s="4" t="str">
        <f>_xlfn.IFNA(VLOOKUP($J107,WH_Data[],7,FALSE),"")</f>
        <v/>
      </c>
      <c r="O107" s="4" t="str">
        <f>_xlfn.IFNA(VLOOKUP($J107,WH_Data[],8,FALSE),"")</f>
        <v/>
      </c>
      <c r="P107" s="8"/>
      <c r="Q107" s="209">
        <f>Mon_ILR2[[#This Row],[Qty Required]]-Mon_ILR2[[#This Row],[QTY Transfer]]</f>
        <v>1</v>
      </c>
      <c r="R107" s="66" t="s">
        <v>905</v>
      </c>
      <c r="S107" s="66" t="s">
        <v>931</v>
      </c>
      <c r="T107" s="210">
        <f>_xlfn.IFNA(VLOOKUP(Mon_ILR2[[#This Row],[New Model]],PhilipsLibary[],4,FALSE),"0")</f>
        <v>6460</v>
      </c>
      <c r="U107" s="210">
        <f>_xlfn.IFNA(VLOOKUP(Mon_ILR2[[#This Row],[New Model]],PhilipsLibary[],5,FALSE),"0")</f>
        <v>1127</v>
      </c>
      <c r="V107" s="210">
        <v>1879</v>
      </c>
      <c r="W107" s="210">
        <f>Mon_ILR2[[#This Row],[Accessory Rate]]+Mon_ILR2[[#This Row],[Mounting Rate]]+Mon_ILR2[[#This Row],[Unit Rate]]*Mon_ILR2[[#This Row],[New Quantity Required ]]</f>
        <v>9466</v>
      </c>
      <c r="X107" s="8"/>
      <c r="Y107" s="246" t="s">
        <v>988</v>
      </c>
      <c r="Z107" s="6" t="s">
        <v>45</v>
      </c>
      <c r="AA107" s="6" t="s">
        <v>46</v>
      </c>
      <c r="AB107" s="6" t="s">
        <v>47</v>
      </c>
      <c r="AC107" s="6" t="s">
        <v>48</v>
      </c>
      <c r="AD107" s="6" t="s">
        <v>49</v>
      </c>
      <c r="AE107" s="6" t="s">
        <v>50</v>
      </c>
      <c r="AF107" s="6" t="s">
        <v>50</v>
      </c>
      <c r="AG107" s="6" t="s">
        <v>50</v>
      </c>
      <c r="AH107" s="6" t="s">
        <v>50</v>
      </c>
      <c r="AI107" s="6" t="s">
        <v>51</v>
      </c>
      <c r="AJ107" s="6" t="s">
        <v>50</v>
      </c>
      <c r="AK107" s="6" t="s">
        <v>50</v>
      </c>
      <c r="AL107" s="6" t="s">
        <v>52</v>
      </c>
      <c r="AM107" s="6" t="s">
        <v>53</v>
      </c>
      <c r="AN107" s="6" t="s">
        <v>50</v>
      </c>
      <c r="AO107" s="6" t="s">
        <v>54</v>
      </c>
    </row>
    <row r="108" spans="2:41" ht="75" x14ac:dyDescent="0.25">
      <c r="B108" s="207" t="s">
        <v>275</v>
      </c>
      <c r="C108" s="66" t="s">
        <v>661</v>
      </c>
      <c r="D108" s="4" t="s">
        <v>666</v>
      </c>
      <c r="E108" s="4" t="s">
        <v>1027</v>
      </c>
      <c r="F108" s="4" t="s">
        <v>932</v>
      </c>
      <c r="G108" s="4" t="s">
        <v>39</v>
      </c>
      <c r="H108" s="208">
        <v>1</v>
      </c>
      <c r="I108" s="4"/>
      <c r="J108" s="15"/>
      <c r="K108" s="4" t="str">
        <f>_xlfn.IFNA(VLOOKUP($J108,WH_Data[],6,FALSE),"")</f>
        <v/>
      </c>
      <c r="L108" s="4" t="str">
        <f>_xlfn.IFNA(VLOOKUP($J108,WH_Data[],3,FALSE),"")</f>
        <v/>
      </c>
      <c r="M108" s="4" t="str">
        <f>_xlfn.IFNA(VLOOKUP($J108,WH_Data[],5,FALSE),"")</f>
        <v/>
      </c>
      <c r="N108" s="4" t="str">
        <f>_xlfn.IFNA(VLOOKUP($J108,WH_Data[],7,FALSE),"")</f>
        <v/>
      </c>
      <c r="O108" s="4" t="str">
        <f>_xlfn.IFNA(VLOOKUP($J108,WH_Data[],8,FALSE),"")</f>
        <v/>
      </c>
      <c r="P108" s="8"/>
      <c r="Q108" s="209">
        <f>Mon_ILR2[[#This Row],[Qty Required]]-Mon_ILR2[[#This Row],[QTY Transfer]]</f>
        <v>1</v>
      </c>
      <c r="R108" s="66" t="s">
        <v>905</v>
      </c>
      <c r="S108" s="66" t="s">
        <v>931</v>
      </c>
      <c r="T108" s="210">
        <f>_xlfn.IFNA(VLOOKUP(Mon_ILR2[[#This Row],[New Model]],PhilipsLibary[],4,FALSE),"0")</f>
        <v>6460</v>
      </c>
      <c r="U108" s="210">
        <f>_xlfn.IFNA(VLOOKUP(Mon_ILR2[[#This Row],[New Model]],PhilipsLibary[],5,FALSE),"0")</f>
        <v>1127</v>
      </c>
      <c r="V108" s="210">
        <v>1879</v>
      </c>
      <c r="W108" s="210">
        <f>Mon_ILR2[[#This Row],[Accessory Rate]]+Mon_ILR2[[#This Row],[Mounting Rate]]+Mon_ILR2[[#This Row],[Unit Rate]]*Mon_ILR2[[#This Row],[New Quantity Required ]]</f>
        <v>9466</v>
      </c>
      <c r="X108" s="8"/>
      <c r="Y108" s="246" t="s">
        <v>988</v>
      </c>
      <c r="Z108" s="6" t="s">
        <v>45</v>
      </c>
      <c r="AA108" s="6" t="s">
        <v>46</v>
      </c>
      <c r="AB108" s="6" t="s">
        <v>47</v>
      </c>
      <c r="AC108" s="6" t="s">
        <v>48</v>
      </c>
      <c r="AD108" s="6" t="s">
        <v>49</v>
      </c>
      <c r="AE108" s="6" t="s">
        <v>50</v>
      </c>
      <c r="AF108" s="6" t="s">
        <v>50</v>
      </c>
      <c r="AG108" s="6" t="s">
        <v>50</v>
      </c>
      <c r="AH108" s="6" t="s">
        <v>50</v>
      </c>
      <c r="AI108" s="6" t="s">
        <v>51</v>
      </c>
      <c r="AJ108" s="6" t="s">
        <v>50</v>
      </c>
      <c r="AK108" s="6" t="s">
        <v>50</v>
      </c>
      <c r="AL108" s="6" t="s">
        <v>52</v>
      </c>
      <c r="AM108" s="6" t="s">
        <v>53</v>
      </c>
      <c r="AN108" s="6" t="s">
        <v>50</v>
      </c>
      <c r="AO108" s="6" t="s">
        <v>54</v>
      </c>
    </row>
    <row r="109" spans="2:41" ht="75" x14ac:dyDescent="0.25">
      <c r="B109" s="207" t="s">
        <v>275</v>
      </c>
      <c r="C109" s="66" t="s">
        <v>661</v>
      </c>
      <c r="D109" s="4" t="s">
        <v>667</v>
      </c>
      <c r="E109" s="4" t="s">
        <v>1027</v>
      </c>
      <c r="F109" s="4" t="s">
        <v>932</v>
      </c>
      <c r="G109" s="4" t="s">
        <v>39</v>
      </c>
      <c r="H109" s="208">
        <v>1</v>
      </c>
      <c r="I109" s="4"/>
      <c r="J109" s="15"/>
      <c r="K109" s="4" t="str">
        <f>_xlfn.IFNA(VLOOKUP($J109,WH_Data[],6,FALSE),"")</f>
        <v/>
      </c>
      <c r="L109" s="4" t="str">
        <f>_xlfn.IFNA(VLOOKUP($J109,WH_Data[],3,FALSE),"")</f>
        <v/>
      </c>
      <c r="M109" s="4" t="str">
        <f>_xlfn.IFNA(VLOOKUP($J109,WH_Data[],5,FALSE),"")</f>
        <v/>
      </c>
      <c r="N109" s="4" t="str">
        <f>_xlfn.IFNA(VLOOKUP($J109,WH_Data[],7,FALSE),"")</f>
        <v/>
      </c>
      <c r="O109" s="4" t="str">
        <f>_xlfn.IFNA(VLOOKUP($J109,WH_Data[],8,FALSE),"")</f>
        <v/>
      </c>
      <c r="P109" s="8"/>
      <c r="Q109" s="209">
        <f>Mon_ILR2[[#This Row],[Qty Required]]-Mon_ILR2[[#This Row],[QTY Transfer]]</f>
        <v>1</v>
      </c>
      <c r="R109" s="66" t="s">
        <v>905</v>
      </c>
      <c r="S109" s="66" t="s">
        <v>931</v>
      </c>
      <c r="T109" s="210">
        <f>_xlfn.IFNA(VLOOKUP(Mon_ILR2[[#This Row],[New Model]],PhilipsLibary[],4,FALSE),"0")</f>
        <v>6460</v>
      </c>
      <c r="U109" s="210">
        <f>_xlfn.IFNA(VLOOKUP(Mon_ILR2[[#This Row],[New Model]],PhilipsLibary[],5,FALSE),"0")</f>
        <v>1127</v>
      </c>
      <c r="V109" s="210">
        <v>1879</v>
      </c>
      <c r="W109" s="210">
        <f>Mon_ILR2[[#This Row],[Accessory Rate]]+Mon_ILR2[[#This Row],[Mounting Rate]]+Mon_ILR2[[#This Row],[Unit Rate]]*Mon_ILR2[[#This Row],[New Quantity Required ]]</f>
        <v>9466</v>
      </c>
      <c r="X109" s="8"/>
      <c r="Y109" s="246" t="s">
        <v>988</v>
      </c>
      <c r="Z109" s="6" t="s">
        <v>45</v>
      </c>
      <c r="AA109" s="6" t="s">
        <v>46</v>
      </c>
      <c r="AB109" s="6" t="s">
        <v>47</v>
      </c>
      <c r="AC109" s="6" t="s">
        <v>48</v>
      </c>
      <c r="AD109" s="6" t="s">
        <v>49</v>
      </c>
      <c r="AE109" s="6" t="s">
        <v>50</v>
      </c>
      <c r="AF109" s="6" t="s">
        <v>50</v>
      </c>
      <c r="AG109" s="6" t="s">
        <v>50</v>
      </c>
      <c r="AH109" s="6" t="s">
        <v>50</v>
      </c>
      <c r="AI109" s="6" t="s">
        <v>51</v>
      </c>
      <c r="AJ109" s="6" t="s">
        <v>50</v>
      </c>
      <c r="AK109" s="6" t="s">
        <v>50</v>
      </c>
      <c r="AL109" s="6" t="s">
        <v>52</v>
      </c>
      <c r="AM109" s="6" t="s">
        <v>53</v>
      </c>
      <c r="AN109" s="6" t="s">
        <v>50</v>
      </c>
      <c r="AO109" s="6" t="s">
        <v>54</v>
      </c>
    </row>
    <row r="110" spans="2:41" ht="135" customHeight="1" x14ac:dyDescent="0.25">
      <c r="B110" s="207" t="s">
        <v>275</v>
      </c>
      <c r="C110" s="66" t="s">
        <v>364</v>
      </c>
      <c r="D110" s="4" t="s">
        <v>759</v>
      </c>
      <c r="E110" s="4" t="s">
        <v>1027</v>
      </c>
      <c r="F110" s="4" t="s">
        <v>932</v>
      </c>
      <c r="G110" s="4" t="s">
        <v>39</v>
      </c>
      <c r="H110" s="208">
        <v>1</v>
      </c>
      <c r="I110" s="4"/>
      <c r="J110" s="15"/>
      <c r="K110" s="4" t="str">
        <f>_xlfn.IFNA(VLOOKUP($J110,WH_Data[],6,FALSE),"")</f>
        <v/>
      </c>
      <c r="L110" s="4" t="str">
        <f>_xlfn.IFNA(VLOOKUP($J110,WH_Data[],3,FALSE),"")</f>
        <v/>
      </c>
      <c r="M110" s="4" t="str">
        <f>_xlfn.IFNA(VLOOKUP($J110,WH_Data[],5,FALSE),"")</f>
        <v/>
      </c>
      <c r="N110" s="4" t="str">
        <f>_xlfn.IFNA(VLOOKUP($J110,WH_Data[],7,FALSE),"")</f>
        <v/>
      </c>
      <c r="O110" s="4" t="str">
        <f>_xlfn.IFNA(VLOOKUP($J110,WH_Data[],8,FALSE),"")</f>
        <v/>
      </c>
      <c r="P110" s="8"/>
      <c r="Q110" s="209">
        <f>Mon_ILR2[[#This Row],[Qty Required]]-Mon_ILR2[[#This Row],[QTY Transfer]]</f>
        <v>1</v>
      </c>
      <c r="R110" s="66" t="s">
        <v>905</v>
      </c>
      <c r="S110" s="304" t="s">
        <v>931</v>
      </c>
      <c r="T110" s="210">
        <f>_xlfn.IFNA(VLOOKUP(Mon_ILR2[[#This Row],[New Model]],PhilipsLibary[],4,FALSE),"0")</f>
        <v>6460</v>
      </c>
      <c r="U110" s="210">
        <f>_xlfn.IFNA(VLOOKUP(Mon_ILR2[[#This Row],[New Model]],PhilipsLibary[],5,FALSE),"0")</f>
        <v>1127</v>
      </c>
      <c r="V110" s="210">
        <v>1879</v>
      </c>
      <c r="W110" s="210">
        <f>Mon_ILR2[[#This Row],[Accessory Rate]]+Mon_ILR2[[#This Row],[Mounting Rate]]+Mon_ILR2[[#This Row],[Unit Rate]]*Mon_ILR2[[#This Row],[New Quantity Required ]]</f>
        <v>9466</v>
      </c>
      <c r="X110" s="8"/>
      <c r="Y110" s="289" t="s">
        <v>2165</v>
      </c>
      <c r="Z110" s="6" t="s">
        <v>45</v>
      </c>
      <c r="AA110" s="6" t="s">
        <v>46</v>
      </c>
      <c r="AB110" s="6" t="s">
        <v>47</v>
      </c>
      <c r="AC110" s="6" t="s">
        <v>48</v>
      </c>
      <c r="AD110" s="6" t="s">
        <v>49</v>
      </c>
      <c r="AE110" s="6" t="s">
        <v>50</v>
      </c>
      <c r="AF110" s="6" t="s">
        <v>50</v>
      </c>
      <c r="AG110" s="6" t="s">
        <v>50</v>
      </c>
      <c r="AH110" s="6" t="s">
        <v>50</v>
      </c>
      <c r="AI110" s="6" t="s">
        <v>51</v>
      </c>
      <c r="AJ110" s="6" t="s">
        <v>50</v>
      </c>
      <c r="AK110" s="6" t="s">
        <v>50</v>
      </c>
      <c r="AL110" s="6" t="s">
        <v>52</v>
      </c>
      <c r="AM110" s="6" t="s">
        <v>53</v>
      </c>
      <c r="AN110" s="6" t="s">
        <v>50</v>
      </c>
      <c r="AO110" s="6" t="s">
        <v>54</v>
      </c>
    </row>
    <row r="111" spans="2:41" ht="75" x14ac:dyDescent="0.25">
      <c r="B111" s="207" t="s">
        <v>275</v>
      </c>
      <c r="C111" s="66" t="s">
        <v>672</v>
      </c>
      <c r="D111" s="4" t="s">
        <v>673</v>
      </c>
      <c r="E111" s="4" t="s">
        <v>1027</v>
      </c>
      <c r="F111" s="4" t="s">
        <v>932</v>
      </c>
      <c r="G111" s="4" t="s">
        <v>39</v>
      </c>
      <c r="H111" s="208">
        <v>1</v>
      </c>
      <c r="I111" s="4"/>
      <c r="J111" s="15"/>
      <c r="K111" s="4" t="str">
        <f>_xlfn.IFNA(VLOOKUP($J111,WH_Data[],6,FALSE),"")</f>
        <v/>
      </c>
      <c r="L111" s="4" t="str">
        <f>_xlfn.IFNA(VLOOKUP($J111,WH_Data[],3,FALSE),"")</f>
        <v/>
      </c>
      <c r="M111" s="4" t="str">
        <f>_xlfn.IFNA(VLOOKUP($J111,WH_Data[],5,FALSE),"")</f>
        <v/>
      </c>
      <c r="N111" s="4" t="str">
        <f>_xlfn.IFNA(VLOOKUP($J111,WH_Data[],7,FALSE),"")</f>
        <v/>
      </c>
      <c r="O111" s="4" t="str">
        <f>_xlfn.IFNA(VLOOKUP($J111,WH_Data[],8,FALSE),"")</f>
        <v/>
      </c>
      <c r="P111" s="8"/>
      <c r="Q111" s="209">
        <f>Mon_ILR2[[#This Row],[Qty Required]]-Mon_ILR2[[#This Row],[QTY Transfer]]</f>
        <v>1</v>
      </c>
      <c r="R111" s="66" t="s">
        <v>905</v>
      </c>
      <c r="S111" s="66" t="s">
        <v>931</v>
      </c>
      <c r="T111" s="210">
        <f>_xlfn.IFNA(VLOOKUP(Mon_ILR2[[#This Row],[New Model]],PhilipsLibary[],4,FALSE),"0")</f>
        <v>6460</v>
      </c>
      <c r="U111" s="210">
        <f>_xlfn.IFNA(VLOOKUP(Mon_ILR2[[#This Row],[New Model]],PhilipsLibary[],5,FALSE),"0")</f>
        <v>1127</v>
      </c>
      <c r="V111" s="210">
        <v>1879</v>
      </c>
      <c r="W111" s="210">
        <f>Mon_ILR2[[#This Row],[Accessory Rate]]+Mon_ILR2[[#This Row],[Mounting Rate]]+Mon_ILR2[[#This Row],[Unit Rate]]*Mon_ILR2[[#This Row],[New Quantity Required ]]</f>
        <v>9466</v>
      </c>
      <c r="X111" s="8"/>
      <c r="Y111" s="246" t="s">
        <v>988</v>
      </c>
      <c r="Z111" s="6" t="s">
        <v>45</v>
      </c>
      <c r="AA111" s="6" t="s">
        <v>46</v>
      </c>
      <c r="AB111" s="6" t="s">
        <v>47</v>
      </c>
      <c r="AC111" s="6" t="s">
        <v>48</v>
      </c>
      <c r="AD111" s="6" t="s">
        <v>49</v>
      </c>
      <c r="AE111" s="6" t="s">
        <v>50</v>
      </c>
      <c r="AF111" s="6" t="s">
        <v>50</v>
      </c>
      <c r="AG111" s="6" t="s">
        <v>50</v>
      </c>
      <c r="AH111" s="6" t="s">
        <v>50</v>
      </c>
      <c r="AI111" s="6" t="s">
        <v>51</v>
      </c>
      <c r="AJ111" s="6" t="s">
        <v>50</v>
      </c>
      <c r="AK111" s="6" t="s">
        <v>50</v>
      </c>
      <c r="AL111" s="6" t="s">
        <v>52</v>
      </c>
      <c r="AM111" s="6" t="s">
        <v>53</v>
      </c>
      <c r="AN111" s="6" t="s">
        <v>50</v>
      </c>
      <c r="AO111" s="6" t="s">
        <v>54</v>
      </c>
    </row>
    <row r="112" spans="2:41" ht="75" x14ac:dyDescent="0.25">
      <c r="B112" s="207" t="s">
        <v>275</v>
      </c>
      <c r="C112" s="66" t="s">
        <v>672</v>
      </c>
      <c r="D112" s="4" t="s">
        <v>674</v>
      </c>
      <c r="E112" s="4" t="s">
        <v>1027</v>
      </c>
      <c r="F112" s="4" t="s">
        <v>932</v>
      </c>
      <c r="G112" s="4" t="s">
        <v>39</v>
      </c>
      <c r="H112" s="208">
        <v>1</v>
      </c>
      <c r="I112" s="4"/>
      <c r="J112" s="15"/>
      <c r="K112" s="4" t="str">
        <f>_xlfn.IFNA(VLOOKUP($J112,WH_Data[],6,FALSE),"")</f>
        <v/>
      </c>
      <c r="L112" s="4" t="str">
        <f>_xlfn.IFNA(VLOOKUP($J112,WH_Data[],3,FALSE),"")</f>
        <v/>
      </c>
      <c r="M112" s="4" t="str">
        <f>_xlfn.IFNA(VLOOKUP($J112,WH_Data[],5,FALSE),"")</f>
        <v/>
      </c>
      <c r="N112" s="4" t="str">
        <f>_xlfn.IFNA(VLOOKUP($J112,WH_Data[],7,FALSE),"")</f>
        <v/>
      </c>
      <c r="O112" s="4" t="str">
        <f>_xlfn.IFNA(VLOOKUP($J112,WH_Data[],8,FALSE),"")</f>
        <v/>
      </c>
      <c r="P112" s="8"/>
      <c r="Q112" s="209">
        <f>Mon_ILR2[[#This Row],[Qty Required]]-Mon_ILR2[[#This Row],[QTY Transfer]]</f>
        <v>1</v>
      </c>
      <c r="R112" s="66" t="s">
        <v>905</v>
      </c>
      <c r="S112" s="66" t="s">
        <v>931</v>
      </c>
      <c r="T112" s="210">
        <f>_xlfn.IFNA(VLOOKUP(Mon_ILR2[[#This Row],[New Model]],PhilipsLibary[],4,FALSE),"0")</f>
        <v>6460</v>
      </c>
      <c r="U112" s="210">
        <f>_xlfn.IFNA(VLOOKUP(Mon_ILR2[[#This Row],[New Model]],PhilipsLibary[],5,FALSE),"0")</f>
        <v>1127</v>
      </c>
      <c r="V112" s="210">
        <v>1879</v>
      </c>
      <c r="W112" s="210">
        <f>Mon_ILR2[[#This Row],[Accessory Rate]]+Mon_ILR2[[#This Row],[Mounting Rate]]+Mon_ILR2[[#This Row],[Unit Rate]]*Mon_ILR2[[#This Row],[New Quantity Required ]]</f>
        <v>9466</v>
      </c>
      <c r="X112" s="8"/>
      <c r="Y112" s="246" t="s">
        <v>988</v>
      </c>
      <c r="Z112" s="6" t="s">
        <v>45</v>
      </c>
      <c r="AA112" s="6" t="s">
        <v>46</v>
      </c>
      <c r="AB112" s="6" t="s">
        <v>47</v>
      </c>
      <c r="AC112" s="6" t="s">
        <v>48</v>
      </c>
      <c r="AD112" s="6" t="s">
        <v>49</v>
      </c>
      <c r="AE112" s="6" t="s">
        <v>50</v>
      </c>
      <c r="AF112" s="6" t="s">
        <v>50</v>
      </c>
      <c r="AG112" s="6" t="s">
        <v>50</v>
      </c>
      <c r="AH112" s="6" t="s">
        <v>50</v>
      </c>
      <c r="AI112" s="6" t="s">
        <v>51</v>
      </c>
      <c r="AJ112" s="6" t="s">
        <v>50</v>
      </c>
      <c r="AK112" s="6" t="s">
        <v>50</v>
      </c>
      <c r="AL112" s="6" t="s">
        <v>52</v>
      </c>
      <c r="AM112" s="6" t="s">
        <v>53</v>
      </c>
      <c r="AN112" s="6" t="s">
        <v>50</v>
      </c>
      <c r="AO112" s="6" t="s">
        <v>54</v>
      </c>
    </row>
    <row r="113" spans="2:41" ht="75" x14ac:dyDescent="0.25">
      <c r="B113" s="207" t="s">
        <v>275</v>
      </c>
      <c r="C113" s="66" t="s">
        <v>672</v>
      </c>
      <c r="D113" s="4" t="s">
        <v>675</v>
      </c>
      <c r="E113" s="4" t="s">
        <v>1027</v>
      </c>
      <c r="F113" s="4" t="s">
        <v>932</v>
      </c>
      <c r="G113" s="4" t="s">
        <v>39</v>
      </c>
      <c r="H113" s="208">
        <v>1</v>
      </c>
      <c r="I113" s="4"/>
      <c r="J113" s="15"/>
      <c r="K113" s="4" t="str">
        <f>_xlfn.IFNA(VLOOKUP($J113,WH_Data[],6,FALSE),"")</f>
        <v/>
      </c>
      <c r="L113" s="4" t="str">
        <f>_xlfn.IFNA(VLOOKUP($J113,WH_Data[],3,FALSE),"")</f>
        <v/>
      </c>
      <c r="M113" s="4" t="str">
        <f>_xlfn.IFNA(VLOOKUP($J113,WH_Data[],5,FALSE),"")</f>
        <v/>
      </c>
      <c r="N113" s="4" t="str">
        <f>_xlfn.IFNA(VLOOKUP($J113,WH_Data[],7,FALSE),"")</f>
        <v/>
      </c>
      <c r="O113" s="4" t="str">
        <f>_xlfn.IFNA(VLOOKUP($J113,WH_Data[],8,FALSE),"")</f>
        <v/>
      </c>
      <c r="P113" s="8"/>
      <c r="Q113" s="209">
        <f>Mon_ILR2[[#This Row],[Qty Required]]-Mon_ILR2[[#This Row],[QTY Transfer]]</f>
        <v>1</v>
      </c>
      <c r="R113" s="66" t="s">
        <v>905</v>
      </c>
      <c r="S113" s="66" t="s">
        <v>931</v>
      </c>
      <c r="T113" s="210">
        <f>_xlfn.IFNA(VLOOKUP(Mon_ILR2[[#This Row],[New Model]],PhilipsLibary[],4,FALSE),"0")</f>
        <v>6460</v>
      </c>
      <c r="U113" s="210">
        <f>_xlfn.IFNA(VLOOKUP(Mon_ILR2[[#This Row],[New Model]],PhilipsLibary[],5,FALSE),"0")</f>
        <v>1127</v>
      </c>
      <c r="V113" s="210">
        <v>1879</v>
      </c>
      <c r="W113" s="210">
        <f>Mon_ILR2[[#This Row],[Accessory Rate]]+Mon_ILR2[[#This Row],[Mounting Rate]]+Mon_ILR2[[#This Row],[Unit Rate]]*Mon_ILR2[[#This Row],[New Quantity Required ]]</f>
        <v>9466</v>
      </c>
      <c r="X113" s="8"/>
      <c r="Y113" s="246" t="s">
        <v>988</v>
      </c>
      <c r="Z113" s="6" t="s">
        <v>45</v>
      </c>
      <c r="AA113" s="6" t="s">
        <v>46</v>
      </c>
      <c r="AB113" s="6" t="s">
        <v>47</v>
      </c>
      <c r="AC113" s="6" t="s">
        <v>48</v>
      </c>
      <c r="AD113" s="6" t="s">
        <v>49</v>
      </c>
      <c r="AE113" s="6" t="s">
        <v>50</v>
      </c>
      <c r="AF113" s="6" t="s">
        <v>50</v>
      </c>
      <c r="AG113" s="6" t="s">
        <v>50</v>
      </c>
      <c r="AH113" s="6" t="s">
        <v>50</v>
      </c>
      <c r="AI113" s="6" t="s">
        <v>51</v>
      </c>
      <c r="AJ113" s="6" t="s">
        <v>50</v>
      </c>
      <c r="AK113" s="6" t="s">
        <v>50</v>
      </c>
      <c r="AL113" s="6" t="s">
        <v>52</v>
      </c>
      <c r="AM113" s="6" t="s">
        <v>53</v>
      </c>
      <c r="AN113" s="6" t="s">
        <v>50</v>
      </c>
      <c r="AO113" s="6" t="s">
        <v>54</v>
      </c>
    </row>
    <row r="114" spans="2:41" ht="75" x14ac:dyDescent="0.25">
      <c r="B114" s="207" t="s">
        <v>275</v>
      </c>
      <c r="C114" s="66" t="s">
        <v>672</v>
      </c>
      <c r="D114" s="4" t="s">
        <v>679</v>
      </c>
      <c r="E114" s="4" t="s">
        <v>1027</v>
      </c>
      <c r="F114" s="4" t="s">
        <v>932</v>
      </c>
      <c r="G114" s="4" t="s">
        <v>39</v>
      </c>
      <c r="H114" s="208">
        <v>1</v>
      </c>
      <c r="I114" s="4"/>
      <c r="J114" s="15"/>
      <c r="K114" s="4" t="str">
        <f>_xlfn.IFNA(VLOOKUP($J114,WH_Data[],6,FALSE),"")</f>
        <v/>
      </c>
      <c r="L114" s="4" t="str">
        <f>_xlfn.IFNA(VLOOKUP($J114,WH_Data[],3,FALSE),"")</f>
        <v/>
      </c>
      <c r="M114" s="4" t="str">
        <f>_xlfn.IFNA(VLOOKUP($J114,WH_Data[],5,FALSE),"")</f>
        <v/>
      </c>
      <c r="N114" s="4" t="str">
        <f>_xlfn.IFNA(VLOOKUP($J114,WH_Data[],7,FALSE),"")</f>
        <v/>
      </c>
      <c r="O114" s="4" t="str">
        <f>_xlfn.IFNA(VLOOKUP($J114,WH_Data[],8,FALSE),"")</f>
        <v/>
      </c>
      <c r="P114" s="8"/>
      <c r="Q114" s="209">
        <f>Mon_ILR2[[#This Row],[Qty Required]]-Mon_ILR2[[#This Row],[QTY Transfer]]</f>
        <v>1</v>
      </c>
      <c r="R114" s="66" t="s">
        <v>905</v>
      </c>
      <c r="S114" s="66" t="s">
        <v>931</v>
      </c>
      <c r="T114" s="210">
        <f>_xlfn.IFNA(VLOOKUP(Mon_ILR2[[#This Row],[New Model]],PhilipsLibary[],4,FALSE),"0")</f>
        <v>6460</v>
      </c>
      <c r="U114" s="210">
        <f>_xlfn.IFNA(VLOOKUP(Mon_ILR2[[#This Row],[New Model]],PhilipsLibary[],5,FALSE),"0")</f>
        <v>1127</v>
      </c>
      <c r="V114" s="210">
        <v>1879</v>
      </c>
      <c r="W114" s="210">
        <f>Mon_ILR2[[#This Row],[Accessory Rate]]+Mon_ILR2[[#This Row],[Mounting Rate]]+Mon_ILR2[[#This Row],[Unit Rate]]*Mon_ILR2[[#This Row],[New Quantity Required ]]</f>
        <v>9466</v>
      </c>
      <c r="X114" s="8"/>
      <c r="Y114" s="246" t="s">
        <v>988</v>
      </c>
      <c r="Z114" s="6" t="s">
        <v>45</v>
      </c>
      <c r="AA114" s="6" t="s">
        <v>46</v>
      </c>
      <c r="AB114" s="6" t="s">
        <v>47</v>
      </c>
      <c r="AC114" s="6" t="s">
        <v>48</v>
      </c>
      <c r="AD114" s="6" t="s">
        <v>49</v>
      </c>
      <c r="AE114" s="6" t="s">
        <v>50</v>
      </c>
      <c r="AF114" s="6" t="s">
        <v>50</v>
      </c>
      <c r="AG114" s="6" t="s">
        <v>50</v>
      </c>
      <c r="AH114" s="6" t="s">
        <v>50</v>
      </c>
      <c r="AI114" s="6" t="s">
        <v>51</v>
      </c>
      <c r="AJ114" s="6" t="s">
        <v>50</v>
      </c>
      <c r="AK114" s="6" t="s">
        <v>50</v>
      </c>
      <c r="AL114" s="6" t="s">
        <v>52</v>
      </c>
      <c r="AM114" s="6" t="s">
        <v>53</v>
      </c>
      <c r="AN114" s="6" t="s">
        <v>50</v>
      </c>
      <c r="AO114" s="6" t="s">
        <v>54</v>
      </c>
    </row>
    <row r="115" spans="2:41" ht="75" x14ac:dyDescent="0.25">
      <c r="B115" s="207" t="s">
        <v>275</v>
      </c>
      <c r="C115" s="66" t="s">
        <v>672</v>
      </c>
      <c r="D115" s="4" t="s">
        <v>680</v>
      </c>
      <c r="E115" s="4" t="s">
        <v>1027</v>
      </c>
      <c r="F115" s="4" t="s">
        <v>932</v>
      </c>
      <c r="G115" s="4" t="s">
        <v>39</v>
      </c>
      <c r="H115" s="208">
        <v>1</v>
      </c>
      <c r="I115" s="4"/>
      <c r="J115" s="15"/>
      <c r="K115" s="4" t="str">
        <f>_xlfn.IFNA(VLOOKUP($J115,WH_Data[],6,FALSE),"")</f>
        <v/>
      </c>
      <c r="L115" s="4" t="str">
        <f>_xlfn.IFNA(VLOOKUP($J115,WH_Data[],3,FALSE),"")</f>
        <v/>
      </c>
      <c r="M115" s="4" t="str">
        <f>_xlfn.IFNA(VLOOKUP($J115,WH_Data[],5,FALSE),"")</f>
        <v/>
      </c>
      <c r="N115" s="4" t="str">
        <f>_xlfn.IFNA(VLOOKUP($J115,WH_Data[],7,FALSE),"")</f>
        <v/>
      </c>
      <c r="O115" s="4" t="str">
        <f>_xlfn.IFNA(VLOOKUP($J115,WH_Data[],8,FALSE),"")</f>
        <v/>
      </c>
      <c r="P115" s="8"/>
      <c r="Q115" s="209">
        <f>Mon_ILR2[[#This Row],[Qty Required]]-Mon_ILR2[[#This Row],[QTY Transfer]]</f>
        <v>1</v>
      </c>
      <c r="R115" s="66" t="s">
        <v>905</v>
      </c>
      <c r="S115" s="66" t="s">
        <v>931</v>
      </c>
      <c r="T115" s="210">
        <f>_xlfn.IFNA(VLOOKUP(Mon_ILR2[[#This Row],[New Model]],PhilipsLibary[],4,FALSE),"0")</f>
        <v>6460</v>
      </c>
      <c r="U115" s="210">
        <f>_xlfn.IFNA(VLOOKUP(Mon_ILR2[[#This Row],[New Model]],PhilipsLibary[],5,FALSE),"0")</f>
        <v>1127</v>
      </c>
      <c r="V115" s="210">
        <v>1879</v>
      </c>
      <c r="W115" s="210">
        <f>Mon_ILR2[[#This Row],[Accessory Rate]]+Mon_ILR2[[#This Row],[Mounting Rate]]+Mon_ILR2[[#This Row],[Unit Rate]]*Mon_ILR2[[#This Row],[New Quantity Required ]]</f>
        <v>9466</v>
      </c>
      <c r="X115" s="8"/>
      <c r="Y115" s="246" t="s">
        <v>988</v>
      </c>
      <c r="Z115" s="6" t="s">
        <v>45</v>
      </c>
      <c r="AA115" s="6" t="s">
        <v>46</v>
      </c>
      <c r="AB115" s="6" t="s">
        <v>47</v>
      </c>
      <c r="AC115" s="6" t="s">
        <v>48</v>
      </c>
      <c r="AD115" s="6" t="s">
        <v>49</v>
      </c>
      <c r="AE115" s="6" t="s">
        <v>50</v>
      </c>
      <c r="AF115" s="6" t="s">
        <v>50</v>
      </c>
      <c r="AG115" s="6" t="s">
        <v>50</v>
      </c>
      <c r="AH115" s="6" t="s">
        <v>50</v>
      </c>
      <c r="AI115" s="6" t="s">
        <v>51</v>
      </c>
      <c r="AJ115" s="6" t="s">
        <v>50</v>
      </c>
      <c r="AK115" s="6" t="s">
        <v>50</v>
      </c>
      <c r="AL115" s="6" t="s">
        <v>52</v>
      </c>
      <c r="AM115" s="6" t="s">
        <v>53</v>
      </c>
      <c r="AN115" s="6" t="s">
        <v>50</v>
      </c>
      <c r="AO115" s="6" t="s">
        <v>54</v>
      </c>
    </row>
    <row r="116" spans="2:41" ht="75" x14ac:dyDescent="0.25">
      <c r="B116" s="207" t="s">
        <v>275</v>
      </c>
      <c r="C116" s="66" t="s">
        <v>672</v>
      </c>
      <c r="D116" s="4" t="s">
        <v>687</v>
      </c>
      <c r="E116" s="4" t="s">
        <v>1027</v>
      </c>
      <c r="F116" s="4" t="s">
        <v>932</v>
      </c>
      <c r="G116" s="4" t="s">
        <v>39</v>
      </c>
      <c r="H116" s="208">
        <v>1</v>
      </c>
      <c r="I116" s="4"/>
      <c r="J116" s="15"/>
      <c r="K116" s="4" t="str">
        <f>_xlfn.IFNA(VLOOKUP($J116,WH_Data[],6,FALSE),"")</f>
        <v/>
      </c>
      <c r="L116" s="4" t="str">
        <f>_xlfn.IFNA(VLOOKUP($J116,WH_Data[],3,FALSE),"")</f>
        <v/>
      </c>
      <c r="M116" s="4" t="str">
        <f>_xlfn.IFNA(VLOOKUP($J116,WH_Data[],5,FALSE),"")</f>
        <v/>
      </c>
      <c r="N116" s="4" t="str">
        <f>_xlfn.IFNA(VLOOKUP($J116,WH_Data[],7,FALSE),"")</f>
        <v/>
      </c>
      <c r="O116" s="4" t="str">
        <f>_xlfn.IFNA(VLOOKUP($J116,WH_Data[],8,FALSE),"")</f>
        <v/>
      </c>
      <c r="P116" s="8"/>
      <c r="Q116" s="209">
        <f>Mon_ILR2[[#This Row],[Qty Required]]-Mon_ILR2[[#This Row],[QTY Transfer]]</f>
        <v>1</v>
      </c>
      <c r="R116" s="66" t="s">
        <v>905</v>
      </c>
      <c r="S116" s="66" t="s">
        <v>931</v>
      </c>
      <c r="T116" s="210">
        <f>_xlfn.IFNA(VLOOKUP(Mon_ILR2[[#This Row],[New Model]],PhilipsLibary[],4,FALSE),"0")</f>
        <v>6460</v>
      </c>
      <c r="U116" s="210">
        <f>_xlfn.IFNA(VLOOKUP(Mon_ILR2[[#This Row],[New Model]],PhilipsLibary[],5,FALSE),"0")</f>
        <v>1127</v>
      </c>
      <c r="V116" s="210">
        <v>1879</v>
      </c>
      <c r="W116" s="210">
        <f>Mon_ILR2[[#This Row],[Accessory Rate]]+Mon_ILR2[[#This Row],[Mounting Rate]]+Mon_ILR2[[#This Row],[Unit Rate]]*Mon_ILR2[[#This Row],[New Quantity Required ]]</f>
        <v>9466</v>
      </c>
      <c r="X116" s="8"/>
      <c r="Y116" s="246" t="s">
        <v>988</v>
      </c>
      <c r="Z116" s="6" t="s">
        <v>45</v>
      </c>
      <c r="AA116" s="6" t="s">
        <v>46</v>
      </c>
      <c r="AB116" s="6" t="s">
        <v>47</v>
      </c>
      <c r="AC116" s="6" t="s">
        <v>48</v>
      </c>
      <c r="AD116" s="6" t="s">
        <v>49</v>
      </c>
      <c r="AE116" s="6" t="s">
        <v>50</v>
      </c>
      <c r="AF116" s="6" t="s">
        <v>50</v>
      </c>
      <c r="AG116" s="6" t="s">
        <v>50</v>
      </c>
      <c r="AH116" s="6" t="s">
        <v>50</v>
      </c>
      <c r="AI116" s="6" t="s">
        <v>51</v>
      </c>
      <c r="AJ116" s="6" t="s">
        <v>50</v>
      </c>
      <c r="AK116" s="6" t="s">
        <v>50</v>
      </c>
      <c r="AL116" s="6" t="s">
        <v>52</v>
      </c>
      <c r="AM116" s="6" t="s">
        <v>53</v>
      </c>
      <c r="AN116" s="6" t="s">
        <v>50</v>
      </c>
      <c r="AO116" s="6" t="s">
        <v>54</v>
      </c>
    </row>
    <row r="117" spans="2:41" ht="60" x14ac:dyDescent="0.25">
      <c r="B117" s="207" t="s">
        <v>761</v>
      </c>
      <c r="C117" s="66" t="s">
        <v>185</v>
      </c>
      <c r="D117" s="4" t="s">
        <v>762</v>
      </c>
      <c r="E117" s="4" t="s">
        <v>1027</v>
      </c>
      <c r="F117" s="4" t="s">
        <v>932</v>
      </c>
      <c r="G117" s="4" t="s">
        <v>39</v>
      </c>
      <c r="H117" s="208">
        <v>1</v>
      </c>
      <c r="I117" s="212" t="s">
        <v>763</v>
      </c>
      <c r="J117" s="213">
        <v>4821</v>
      </c>
      <c r="K117" s="4" t="e">
        <f>VLOOKUP(J117,#REF!,7,FALSE)</f>
        <v>#REF!</v>
      </c>
      <c r="L117" s="4" t="s">
        <v>168</v>
      </c>
      <c r="M117" s="4" t="s">
        <v>179</v>
      </c>
      <c r="N117" s="4" t="s">
        <v>764</v>
      </c>
      <c r="O117" s="4" t="s">
        <v>303</v>
      </c>
      <c r="P117" s="8">
        <v>0</v>
      </c>
      <c r="Q117" s="300">
        <v>0</v>
      </c>
      <c r="R117" s="66" t="s">
        <v>905</v>
      </c>
      <c r="S117" s="304" t="s">
        <v>931</v>
      </c>
      <c r="T117" s="210">
        <f>_xlfn.IFNA(VLOOKUP(Mon_ILR2[[#This Row],[New Model]],PhilipsLibary[],4,FALSE),"0")</f>
        <v>6460</v>
      </c>
      <c r="U117" s="210">
        <f>_xlfn.IFNA(VLOOKUP(Mon_ILR2[[#This Row],[New Model]],PhilipsLibary[],5,FALSE),"0")</f>
        <v>1127</v>
      </c>
      <c r="V117" s="210">
        <v>1879</v>
      </c>
      <c r="W117" s="210">
        <v>0</v>
      </c>
      <c r="X117" s="8"/>
      <c r="Y117" s="302" t="s">
        <v>2158</v>
      </c>
      <c r="Z117" s="6" t="s">
        <v>45</v>
      </c>
      <c r="AA117" s="6" t="s">
        <v>46</v>
      </c>
      <c r="AB117" s="6" t="s">
        <v>47</v>
      </c>
      <c r="AC117" s="6" t="s">
        <v>48</v>
      </c>
      <c r="AD117" s="6" t="s">
        <v>49</v>
      </c>
      <c r="AE117" s="6" t="s">
        <v>50</v>
      </c>
      <c r="AF117" s="6" t="s">
        <v>50</v>
      </c>
      <c r="AG117" s="6" t="s">
        <v>50</v>
      </c>
      <c r="AH117" s="6" t="s">
        <v>50</v>
      </c>
      <c r="AI117" s="6" t="s">
        <v>51</v>
      </c>
      <c r="AJ117" s="6" t="s">
        <v>50</v>
      </c>
      <c r="AK117" s="6" t="s">
        <v>50</v>
      </c>
      <c r="AL117" s="6" t="s">
        <v>52</v>
      </c>
      <c r="AM117" s="6" t="s">
        <v>53</v>
      </c>
      <c r="AN117" s="6" t="s">
        <v>50</v>
      </c>
      <c r="AO117" s="6" t="s">
        <v>54</v>
      </c>
    </row>
    <row r="118" spans="2:41" ht="60" x14ac:dyDescent="0.25">
      <c r="B118" s="207" t="s">
        <v>761</v>
      </c>
      <c r="C118" s="66" t="s">
        <v>185</v>
      </c>
      <c r="D118" s="4" t="s">
        <v>765</v>
      </c>
      <c r="E118" s="4" t="s">
        <v>1027</v>
      </c>
      <c r="F118" s="4" t="s">
        <v>932</v>
      </c>
      <c r="G118" s="4" t="s">
        <v>39</v>
      </c>
      <c r="H118" s="208">
        <v>1</v>
      </c>
      <c r="I118" s="212" t="s">
        <v>763</v>
      </c>
      <c r="J118" s="214">
        <v>4822</v>
      </c>
      <c r="K118" s="4" t="e">
        <f>VLOOKUP(J118,#REF!,7,FALSE)</f>
        <v>#REF!</v>
      </c>
      <c r="L118" s="4" t="s">
        <v>168</v>
      </c>
      <c r="M118" s="4" t="s">
        <v>179</v>
      </c>
      <c r="N118" s="4" t="s">
        <v>764</v>
      </c>
      <c r="O118" s="4" t="s">
        <v>303</v>
      </c>
      <c r="P118" s="8">
        <v>0</v>
      </c>
      <c r="Q118" s="300">
        <v>0</v>
      </c>
      <c r="R118" s="66" t="s">
        <v>905</v>
      </c>
      <c r="S118" s="304" t="s">
        <v>931</v>
      </c>
      <c r="T118" s="210">
        <f>_xlfn.IFNA(VLOOKUP(Mon_ILR2[[#This Row],[New Model]],PhilipsLibary[],4,FALSE),"0")</f>
        <v>6460</v>
      </c>
      <c r="U118" s="210">
        <f>_xlfn.IFNA(VLOOKUP(Mon_ILR2[[#This Row],[New Model]],PhilipsLibary[],5,FALSE),"0")</f>
        <v>1127</v>
      </c>
      <c r="V118" s="210">
        <v>1879</v>
      </c>
      <c r="W118" s="210">
        <v>0</v>
      </c>
      <c r="X118" s="8"/>
      <c r="Y118" s="302" t="s">
        <v>2158</v>
      </c>
      <c r="Z118" s="6" t="s">
        <v>45</v>
      </c>
      <c r="AA118" s="6" t="s">
        <v>46</v>
      </c>
      <c r="AB118" s="6" t="s">
        <v>47</v>
      </c>
      <c r="AC118" s="6" t="s">
        <v>48</v>
      </c>
      <c r="AD118" s="6" t="s">
        <v>49</v>
      </c>
      <c r="AE118" s="6" t="s">
        <v>50</v>
      </c>
      <c r="AF118" s="6" t="s">
        <v>50</v>
      </c>
      <c r="AG118" s="6" t="s">
        <v>50</v>
      </c>
      <c r="AH118" s="6" t="s">
        <v>50</v>
      </c>
      <c r="AI118" s="6" t="s">
        <v>51</v>
      </c>
      <c r="AJ118" s="6" t="s">
        <v>50</v>
      </c>
      <c r="AK118" s="6" t="s">
        <v>50</v>
      </c>
      <c r="AL118" s="6" t="s">
        <v>52</v>
      </c>
      <c r="AM118" s="6" t="s">
        <v>53</v>
      </c>
      <c r="AN118" s="6" t="s">
        <v>50</v>
      </c>
      <c r="AO118" s="6" t="s">
        <v>54</v>
      </c>
    </row>
    <row r="119" spans="2:41" ht="60" x14ac:dyDescent="0.25">
      <c r="B119" s="207" t="s">
        <v>761</v>
      </c>
      <c r="C119" s="66" t="s">
        <v>185</v>
      </c>
      <c r="D119" s="4" t="s">
        <v>766</v>
      </c>
      <c r="E119" s="4" t="s">
        <v>1027</v>
      </c>
      <c r="F119" s="4" t="s">
        <v>932</v>
      </c>
      <c r="G119" s="4" t="s">
        <v>39</v>
      </c>
      <c r="H119" s="208">
        <v>1</v>
      </c>
      <c r="I119" s="212" t="s">
        <v>763</v>
      </c>
      <c r="J119" s="213">
        <v>4823</v>
      </c>
      <c r="K119" s="4" t="e">
        <f>VLOOKUP(J119,#REF!,7,FALSE)</f>
        <v>#REF!</v>
      </c>
      <c r="L119" s="4" t="s">
        <v>168</v>
      </c>
      <c r="M119" s="4" t="s">
        <v>179</v>
      </c>
      <c r="N119" s="4" t="s">
        <v>764</v>
      </c>
      <c r="O119" s="4" t="s">
        <v>303</v>
      </c>
      <c r="P119" s="8">
        <v>0</v>
      </c>
      <c r="Q119" s="300">
        <v>0</v>
      </c>
      <c r="R119" s="66" t="s">
        <v>905</v>
      </c>
      <c r="S119" s="304" t="s">
        <v>931</v>
      </c>
      <c r="T119" s="210">
        <f>_xlfn.IFNA(VLOOKUP(Mon_ILR2[[#This Row],[New Model]],PhilipsLibary[],4,FALSE),"0")</f>
        <v>6460</v>
      </c>
      <c r="U119" s="210">
        <f>_xlfn.IFNA(VLOOKUP(Mon_ILR2[[#This Row],[New Model]],PhilipsLibary[],5,FALSE),"0")</f>
        <v>1127</v>
      </c>
      <c r="V119" s="210">
        <v>1879</v>
      </c>
      <c r="W119" s="210">
        <v>0</v>
      </c>
      <c r="X119" s="8"/>
      <c r="Y119" s="302" t="s">
        <v>2158</v>
      </c>
      <c r="Z119" s="6" t="s">
        <v>45</v>
      </c>
      <c r="AA119" s="6" t="s">
        <v>46</v>
      </c>
      <c r="AB119" s="6" t="s">
        <v>47</v>
      </c>
      <c r="AC119" s="6" t="s">
        <v>48</v>
      </c>
      <c r="AD119" s="6" t="s">
        <v>49</v>
      </c>
      <c r="AE119" s="6" t="s">
        <v>50</v>
      </c>
      <c r="AF119" s="6" t="s">
        <v>50</v>
      </c>
      <c r="AG119" s="6" t="s">
        <v>50</v>
      </c>
      <c r="AH119" s="6" t="s">
        <v>50</v>
      </c>
      <c r="AI119" s="6" t="s">
        <v>51</v>
      </c>
      <c r="AJ119" s="6" t="s">
        <v>50</v>
      </c>
      <c r="AK119" s="6" t="s">
        <v>50</v>
      </c>
      <c r="AL119" s="6" t="s">
        <v>52</v>
      </c>
      <c r="AM119" s="6" t="s">
        <v>53</v>
      </c>
      <c r="AN119" s="6" t="s">
        <v>50</v>
      </c>
      <c r="AO119" s="6" t="s">
        <v>54</v>
      </c>
    </row>
    <row r="120" spans="2:41" ht="60" x14ac:dyDescent="0.25">
      <c r="B120" s="207" t="s">
        <v>761</v>
      </c>
      <c r="C120" s="66" t="s">
        <v>185</v>
      </c>
      <c r="D120" s="4" t="s">
        <v>767</v>
      </c>
      <c r="E120" s="4" t="s">
        <v>1027</v>
      </c>
      <c r="F120" s="4" t="s">
        <v>932</v>
      </c>
      <c r="G120" s="4" t="s">
        <v>39</v>
      </c>
      <c r="H120" s="208">
        <v>1</v>
      </c>
      <c r="I120" s="212" t="s">
        <v>763</v>
      </c>
      <c r="J120" s="214">
        <v>4824</v>
      </c>
      <c r="K120" s="4" t="e">
        <f>VLOOKUP(J120,#REF!,7,FALSE)</f>
        <v>#REF!</v>
      </c>
      <c r="L120" s="4" t="s">
        <v>168</v>
      </c>
      <c r="M120" s="4" t="s">
        <v>179</v>
      </c>
      <c r="N120" s="4" t="s">
        <v>764</v>
      </c>
      <c r="O120" s="4" t="s">
        <v>303</v>
      </c>
      <c r="P120" s="8">
        <v>0</v>
      </c>
      <c r="Q120" s="300">
        <v>0</v>
      </c>
      <c r="R120" s="66" t="s">
        <v>905</v>
      </c>
      <c r="S120" s="304" t="s">
        <v>931</v>
      </c>
      <c r="T120" s="210">
        <f>_xlfn.IFNA(VLOOKUP(Mon_ILR2[[#This Row],[New Model]],PhilipsLibary[],4,FALSE),"0")</f>
        <v>6460</v>
      </c>
      <c r="U120" s="210">
        <f>_xlfn.IFNA(VLOOKUP(Mon_ILR2[[#This Row],[New Model]],PhilipsLibary[],5,FALSE),"0")</f>
        <v>1127</v>
      </c>
      <c r="V120" s="210">
        <v>1879</v>
      </c>
      <c r="W120" s="210">
        <v>0</v>
      </c>
      <c r="X120" s="8"/>
      <c r="Y120" s="302" t="s">
        <v>2158</v>
      </c>
      <c r="Z120" s="6" t="s">
        <v>45</v>
      </c>
      <c r="AA120" s="6" t="s">
        <v>46</v>
      </c>
      <c r="AB120" s="6" t="s">
        <v>47</v>
      </c>
      <c r="AC120" s="6" t="s">
        <v>48</v>
      </c>
      <c r="AD120" s="6" t="s">
        <v>49</v>
      </c>
      <c r="AE120" s="6" t="s">
        <v>50</v>
      </c>
      <c r="AF120" s="6" t="s">
        <v>50</v>
      </c>
      <c r="AG120" s="6" t="s">
        <v>50</v>
      </c>
      <c r="AH120" s="6" t="s">
        <v>50</v>
      </c>
      <c r="AI120" s="6" t="s">
        <v>51</v>
      </c>
      <c r="AJ120" s="6" t="s">
        <v>50</v>
      </c>
      <c r="AK120" s="6" t="s">
        <v>50</v>
      </c>
      <c r="AL120" s="6" t="s">
        <v>52</v>
      </c>
      <c r="AM120" s="6" t="s">
        <v>53</v>
      </c>
      <c r="AN120" s="6" t="s">
        <v>50</v>
      </c>
      <c r="AO120" s="6" t="s">
        <v>54</v>
      </c>
    </row>
    <row r="121" spans="2:41" ht="60" x14ac:dyDescent="0.25">
      <c r="B121" s="207" t="s">
        <v>761</v>
      </c>
      <c r="C121" s="66" t="s">
        <v>185</v>
      </c>
      <c r="D121" s="4" t="s">
        <v>768</v>
      </c>
      <c r="E121" s="4" t="s">
        <v>1027</v>
      </c>
      <c r="F121" s="4" t="s">
        <v>932</v>
      </c>
      <c r="G121" s="4" t="s">
        <v>39</v>
      </c>
      <c r="H121" s="208">
        <v>1</v>
      </c>
      <c r="I121" s="212" t="s">
        <v>763</v>
      </c>
      <c r="J121" s="213">
        <v>4825</v>
      </c>
      <c r="K121" s="4" t="e">
        <f>VLOOKUP(J121,#REF!,7,FALSE)</f>
        <v>#REF!</v>
      </c>
      <c r="L121" s="4" t="s">
        <v>168</v>
      </c>
      <c r="M121" s="4" t="s">
        <v>179</v>
      </c>
      <c r="N121" s="4" t="s">
        <v>764</v>
      </c>
      <c r="O121" s="4" t="s">
        <v>303</v>
      </c>
      <c r="P121" s="8">
        <v>0</v>
      </c>
      <c r="Q121" s="300">
        <v>0</v>
      </c>
      <c r="R121" s="66" t="s">
        <v>905</v>
      </c>
      <c r="S121" s="304" t="s">
        <v>931</v>
      </c>
      <c r="T121" s="210">
        <f>_xlfn.IFNA(VLOOKUP(Mon_ILR2[[#This Row],[New Model]],PhilipsLibary[],4,FALSE),"0")</f>
        <v>6460</v>
      </c>
      <c r="U121" s="210">
        <f>_xlfn.IFNA(VLOOKUP(Mon_ILR2[[#This Row],[New Model]],PhilipsLibary[],5,FALSE),"0")</f>
        <v>1127</v>
      </c>
      <c r="V121" s="210">
        <v>1879</v>
      </c>
      <c r="W121" s="210">
        <v>0</v>
      </c>
      <c r="X121" s="8"/>
      <c r="Y121" s="302" t="s">
        <v>2158</v>
      </c>
      <c r="Z121" s="6" t="s">
        <v>45</v>
      </c>
      <c r="AA121" s="6" t="s">
        <v>46</v>
      </c>
      <c r="AB121" s="6" t="s">
        <v>47</v>
      </c>
      <c r="AC121" s="6" t="s">
        <v>48</v>
      </c>
      <c r="AD121" s="6" t="s">
        <v>49</v>
      </c>
      <c r="AE121" s="6" t="s">
        <v>50</v>
      </c>
      <c r="AF121" s="6" t="s">
        <v>50</v>
      </c>
      <c r="AG121" s="6" t="s">
        <v>50</v>
      </c>
      <c r="AH121" s="6" t="s">
        <v>50</v>
      </c>
      <c r="AI121" s="6" t="s">
        <v>51</v>
      </c>
      <c r="AJ121" s="6" t="s">
        <v>50</v>
      </c>
      <c r="AK121" s="6" t="s">
        <v>50</v>
      </c>
      <c r="AL121" s="6" t="s">
        <v>52</v>
      </c>
      <c r="AM121" s="6" t="s">
        <v>53</v>
      </c>
      <c r="AN121" s="6" t="s">
        <v>50</v>
      </c>
      <c r="AO121" s="6" t="s">
        <v>54</v>
      </c>
    </row>
    <row r="122" spans="2:41" ht="60" x14ac:dyDescent="0.25">
      <c r="B122" s="207" t="s">
        <v>761</v>
      </c>
      <c r="C122" s="66" t="s">
        <v>185</v>
      </c>
      <c r="D122" s="4" t="s">
        <v>769</v>
      </c>
      <c r="E122" s="4" t="s">
        <v>1027</v>
      </c>
      <c r="F122" s="4" t="s">
        <v>932</v>
      </c>
      <c r="G122" s="4" t="s">
        <v>39</v>
      </c>
      <c r="H122" s="208">
        <v>1</v>
      </c>
      <c r="I122" s="212" t="s">
        <v>763</v>
      </c>
      <c r="J122" s="214">
        <v>4826</v>
      </c>
      <c r="K122" s="4" t="e">
        <f>VLOOKUP(J122,#REF!,7,FALSE)</f>
        <v>#REF!</v>
      </c>
      <c r="L122" s="4" t="s">
        <v>168</v>
      </c>
      <c r="M122" s="4" t="s">
        <v>179</v>
      </c>
      <c r="N122" s="4" t="s">
        <v>764</v>
      </c>
      <c r="O122" s="4" t="s">
        <v>303</v>
      </c>
      <c r="P122" s="8">
        <v>0</v>
      </c>
      <c r="Q122" s="300">
        <v>0</v>
      </c>
      <c r="R122" s="66" t="s">
        <v>905</v>
      </c>
      <c r="S122" s="304" t="s">
        <v>931</v>
      </c>
      <c r="T122" s="210">
        <f>_xlfn.IFNA(VLOOKUP(Mon_ILR2[[#This Row],[New Model]],PhilipsLibary[],4,FALSE),"0")</f>
        <v>6460</v>
      </c>
      <c r="U122" s="210">
        <f>_xlfn.IFNA(VLOOKUP(Mon_ILR2[[#This Row],[New Model]],PhilipsLibary[],5,FALSE),"0")</f>
        <v>1127</v>
      </c>
      <c r="V122" s="210">
        <v>1879</v>
      </c>
      <c r="W122" s="210">
        <v>0</v>
      </c>
      <c r="X122" s="8"/>
      <c r="Y122" s="302" t="s">
        <v>2158</v>
      </c>
      <c r="Z122" s="6" t="s">
        <v>45</v>
      </c>
      <c r="AA122" s="6" t="s">
        <v>46</v>
      </c>
      <c r="AB122" s="6" t="s">
        <v>47</v>
      </c>
      <c r="AC122" s="6" t="s">
        <v>48</v>
      </c>
      <c r="AD122" s="6" t="s">
        <v>49</v>
      </c>
      <c r="AE122" s="6" t="s">
        <v>50</v>
      </c>
      <c r="AF122" s="6" t="s">
        <v>50</v>
      </c>
      <c r="AG122" s="6" t="s">
        <v>50</v>
      </c>
      <c r="AH122" s="6" t="s">
        <v>50</v>
      </c>
      <c r="AI122" s="6" t="s">
        <v>51</v>
      </c>
      <c r="AJ122" s="6" t="s">
        <v>50</v>
      </c>
      <c r="AK122" s="6" t="s">
        <v>50</v>
      </c>
      <c r="AL122" s="6" t="s">
        <v>52</v>
      </c>
      <c r="AM122" s="6" t="s">
        <v>53</v>
      </c>
      <c r="AN122" s="6" t="s">
        <v>50</v>
      </c>
      <c r="AO122" s="6" t="s">
        <v>54</v>
      </c>
    </row>
    <row r="123" spans="2:41" ht="45" x14ac:dyDescent="0.25">
      <c r="B123" s="207" t="s">
        <v>299</v>
      </c>
      <c r="C123" s="66" t="s">
        <v>640</v>
      </c>
      <c r="D123" s="4" t="s">
        <v>770</v>
      </c>
      <c r="E123" s="4" t="s">
        <v>1025</v>
      </c>
      <c r="F123" s="4" t="s">
        <v>654</v>
      </c>
      <c r="G123" s="4" t="s">
        <v>39</v>
      </c>
      <c r="H123" s="301">
        <v>2</v>
      </c>
      <c r="I123" s="4"/>
      <c r="J123" s="15"/>
      <c r="K123" s="4" t="str">
        <f>_xlfn.IFNA(VLOOKUP($J123,WH_Data[],6,FALSE),"")</f>
        <v/>
      </c>
      <c r="L123" s="4" t="str">
        <f>_xlfn.IFNA(VLOOKUP($J123,WH_Data[],3,FALSE),"")</f>
        <v/>
      </c>
      <c r="M123" s="4" t="str">
        <f>_xlfn.IFNA(VLOOKUP($J123,WH_Data[],5,FALSE),"")</f>
        <v/>
      </c>
      <c r="N123" s="4" t="str">
        <f>_xlfn.IFNA(VLOOKUP($J123,WH_Data[],7,FALSE),"")</f>
        <v/>
      </c>
      <c r="O123" s="4" t="str">
        <f>_xlfn.IFNA(VLOOKUP($J123,WH_Data[],8,FALSE),"")</f>
        <v/>
      </c>
      <c r="P123" s="8"/>
      <c r="Q123" s="300">
        <v>2</v>
      </c>
      <c r="R123" s="66" t="s">
        <v>905</v>
      </c>
      <c r="S123" s="66" t="s">
        <v>903</v>
      </c>
      <c r="T123" s="210">
        <f>_xlfn.IFNA(VLOOKUP(Mon_ILR2[[#This Row],[New Model]],PhilipsLibary[],4,FALSE),"0")</f>
        <v>2362</v>
      </c>
      <c r="U123" s="303">
        <v>398</v>
      </c>
      <c r="V123" s="210">
        <f>_xlfn.IFNA(VLOOKUP(Mon_ILR2[[#This Row],[New Model]],PhilipsLibary[],5,FALSE),"0")</f>
        <v>0</v>
      </c>
      <c r="W123" s="210">
        <f>Mon_ILR2[[#This Row],[Accessory Rate]]+Mon_ILR2[[#This Row],[Mounting Rate]]+Mon_ILR2[[#This Row],[Unit Rate]]*Mon_ILR2[[#This Row],[New Quantity Required ]]</f>
        <v>5122</v>
      </c>
      <c r="X123" s="8"/>
      <c r="Y123" s="302" t="s">
        <v>2183</v>
      </c>
    </row>
    <row r="124" spans="2:41" ht="45" x14ac:dyDescent="0.25">
      <c r="B124" s="207" t="s">
        <v>299</v>
      </c>
      <c r="C124" s="66" t="s">
        <v>640</v>
      </c>
      <c r="D124" s="4" t="s">
        <v>774</v>
      </c>
      <c r="E124" s="4" t="s">
        <v>1025</v>
      </c>
      <c r="F124" s="4" t="s">
        <v>654</v>
      </c>
      <c r="G124" s="4" t="s">
        <v>39</v>
      </c>
      <c r="H124" s="208">
        <v>1</v>
      </c>
      <c r="I124" s="4"/>
      <c r="J124" s="15"/>
      <c r="K124" s="4" t="str">
        <f>_xlfn.IFNA(VLOOKUP($J124,WH_Data[],6,FALSE),"")</f>
        <v/>
      </c>
      <c r="L124" s="4" t="str">
        <f>_xlfn.IFNA(VLOOKUP($J124,WH_Data[],3,FALSE),"")</f>
        <v/>
      </c>
      <c r="M124" s="4" t="str">
        <f>_xlfn.IFNA(VLOOKUP($J124,WH_Data[],5,FALSE),"")</f>
        <v/>
      </c>
      <c r="N124" s="4" t="str">
        <f>_xlfn.IFNA(VLOOKUP($J124,WH_Data[],7,FALSE),"")</f>
        <v/>
      </c>
      <c r="O124" s="4" t="str">
        <f>_xlfn.IFNA(VLOOKUP($J124,WH_Data[],8,FALSE),"")</f>
        <v/>
      </c>
      <c r="P124" s="8"/>
      <c r="Q124" s="300">
        <v>2</v>
      </c>
      <c r="R124" s="66" t="s">
        <v>905</v>
      </c>
      <c r="S124" s="66" t="s">
        <v>903</v>
      </c>
      <c r="T124" s="210">
        <f>_xlfn.IFNA(VLOOKUP(Mon_ILR2[[#This Row],[New Model]],PhilipsLibary[],4,FALSE),"0")</f>
        <v>2362</v>
      </c>
      <c r="U124" s="303">
        <v>398</v>
      </c>
      <c r="V124" s="210">
        <f>_xlfn.IFNA(VLOOKUP(Mon_ILR2[[#This Row],[New Model]],PhilipsLibary[],5,FALSE),"0")</f>
        <v>0</v>
      </c>
      <c r="W124" s="210">
        <f>Mon_ILR2[[#This Row],[Accessory Rate]]+Mon_ILR2[[#This Row],[Mounting Rate]]+Mon_ILR2[[#This Row],[Unit Rate]]*Mon_ILR2[[#This Row],[New Quantity Required ]]</f>
        <v>5122</v>
      </c>
      <c r="X124" s="8"/>
      <c r="Y124" s="302" t="s">
        <v>2183</v>
      </c>
    </row>
    <row r="125" spans="2:41" ht="75" x14ac:dyDescent="0.25">
      <c r="B125" s="207" t="s">
        <v>528</v>
      </c>
      <c r="C125" s="66" t="s">
        <v>594</v>
      </c>
      <c r="D125" s="4" t="s">
        <v>777</v>
      </c>
      <c r="E125" s="4" t="s">
        <v>1027</v>
      </c>
      <c r="F125" s="4" t="s">
        <v>932</v>
      </c>
      <c r="G125" s="4" t="s">
        <v>39</v>
      </c>
      <c r="H125" s="208">
        <v>1</v>
      </c>
      <c r="I125" s="4"/>
      <c r="J125" s="15"/>
      <c r="K125" s="4" t="str">
        <f>_xlfn.IFNA(VLOOKUP($J125,WH_Data[],6,FALSE),"")</f>
        <v/>
      </c>
      <c r="L125" s="4" t="str">
        <f>_xlfn.IFNA(VLOOKUP($J125,WH_Data[],3,FALSE),"")</f>
        <v/>
      </c>
      <c r="M125" s="4" t="str">
        <f>_xlfn.IFNA(VLOOKUP($J125,WH_Data[],5,FALSE),"")</f>
        <v/>
      </c>
      <c r="N125" s="4" t="str">
        <f>_xlfn.IFNA(VLOOKUP($J125,WH_Data[],7,FALSE),"")</f>
        <v/>
      </c>
      <c r="O125" s="4" t="str">
        <f>_xlfn.IFNA(VLOOKUP($J125,WH_Data[],8,FALSE),"")</f>
        <v/>
      </c>
      <c r="P125" s="8"/>
      <c r="Q125" s="209">
        <f>Mon_ILR2[[#This Row],[Qty Required]]-Mon_ILR2[[#This Row],[QTY Transfer]]</f>
        <v>1</v>
      </c>
      <c r="R125" s="66" t="s">
        <v>905</v>
      </c>
      <c r="S125" s="66" t="s">
        <v>931</v>
      </c>
      <c r="T125" s="210">
        <f>_xlfn.IFNA(VLOOKUP(Mon_ILR2[[#This Row],[New Model]],PhilipsLibary[],4,FALSE),"0")</f>
        <v>6460</v>
      </c>
      <c r="U125" s="210">
        <f>_xlfn.IFNA(VLOOKUP(Mon_ILR2[[#This Row],[New Model]],PhilipsLibary[],5,FALSE),"0")</f>
        <v>1127</v>
      </c>
      <c r="V125" s="210">
        <v>1879</v>
      </c>
      <c r="W125" s="210">
        <f>Mon_ILR2[[#This Row],[Accessory Rate]]+Mon_ILR2[[#This Row],[Mounting Rate]]+Mon_ILR2[[#This Row],[Unit Rate]]*Mon_ILR2[[#This Row],[New Quantity Required ]]</f>
        <v>9466</v>
      </c>
      <c r="X125" s="8"/>
      <c r="Y125" s="246" t="s">
        <v>988</v>
      </c>
      <c r="Z125" s="6" t="s">
        <v>45</v>
      </c>
      <c r="AA125" s="6" t="s">
        <v>46</v>
      </c>
      <c r="AB125" s="6" t="s">
        <v>47</v>
      </c>
      <c r="AC125" s="6" t="s">
        <v>48</v>
      </c>
      <c r="AD125" s="6" t="s">
        <v>49</v>
      </c>
      <c r="AE125" s="6" t="s">
        <v>50</v>
      </c>
      <c r="AF125" s="6" t="s">
        <v>50</v>
      </c>
      <c r="AG125" s="6" t="s">
        <v>50</v>
      </c>
      <c r="AH125" s="6" t="s">
        <v>50</v>
      </c>
      <c r="AI125" s="6" t="s">
        <v>51</v>
      </c>
      <c r="AJ125" s="6" t="s">
        <v>50</v>
      </c>
      <c r="AK125" s="6" t="s">
        <v>50</v>
      </c>
      <c r="AL125" s="6" t="s">
        <v>52</v>
      </c>
      <c r="AM125" s="6" t="s">
        <v>53</v>
      </c>
      <c r="AN125" s="6" t="s">
        <v>50</v>
      </c>
      <c r="AO125" s="6" t="s">
        <v>54</v>
      </c>
    </row>
    <row r="126" spans="2:41" ht="75" x14ac:dyDescent="0.25">
      <c r="B126" s="207" t="s">
        <v>528</v>
      </c>
      <c r="C126" s="66" t="s">
        <v>471</v>
      </c>
      <c r="D126" s="4" t="s">
        <v>778</v>
      </c>
      <c r="E126" s="4" t="s">
        <v>1027</v>
      </c>
      <c r="F126" s="4" t="s">
        <v>932</v>
      </c>
      <c r="G126" s="4" t="s">
        <v>39</v>
      </c>
      <c r="H126" s="208">
        <v>1</v>
      </c>
      <c r="I126" s="4"/>
      <c r="J126" s="15"/>
      <c r="K126" s="4" t="str">
        <f>_xlfn.IFNA(VLOOKUP($J126,WH_Data[],6,FALSE),"")</f>
        <v/>
      </c>
      <c r="L126" s="4" t="str">
        <f>_xlfn.IFNA(VLOOKUP($J126,WH_Data[],3,FALSE),"")</f>
        <v/>
      </c>
      <c r="M126" s="4" t="str">
        <f>_xlfn.IFNA(VLOOKUP($J126,WH_Data[],5,FALSE),"")</f>
        <v/>
      </c>
      <c r="N126" s="4" t="str">
        <f>_xlfn.IFNA(VLOOKUP($J126,WH_Data[],7,FALSE),"")</f>
        <v/>
      </c>
      <c r="O126" s="4" t="str">
        <f>_xlfn.IFNA(VLOOKUP($J126,WH_Data[],8,FALSE),"")</f>
        <v/>
      </c>
      <c r="P126" s="8"/>
      <c r="Q126" s="209">
        <f>Mon_ILR2[[#This Row],[Qty Required]]-Mon_ILR2[[#This Row],[QTY Transfer]]</f>
        <v>1</v>
      </c>
      <c r="R126" s="66" t="s">
        <v>905</v>
      </c>
      <c r="S126" s="66" t="s">
        <v>934</v>
      </c>
      <c r="T126" s="210">
        <f>_xlfn.IFNA(VLOOKUP(Mon_ILR2[[#This Row],[New Model]],PhilipsLibary[],4,FALSE),"0")</f>
        <v>7489</v>
      </c>
      <c r="U126" s="210">
        <f>_xlfn.IFNA(VLOOKUP(Mon_ILR2[[#This Row],[New Model]],PhilipsLibary[],5,FALSE),"0")</f>
        <v>1127</v>
      </c>
      <c r="V126" s="210">
        <v>1879</v>
      </c>
      <c r="W126" s="210">
        <f>Mon_ILR2[[#This Row],[Accessory Rate]]+Mon_ILR2[[#This Row],[Mounting Rate]]+Mon_ILR2[[#This Row],[Unit Rate]]*Mon_ILR2[[#This Row],[New Quantity Required ]]</f>
        <v>10495</v>
      </c>
      <c r="X126" s="8"/>
      <c r="Y126" s="246" t="s">
        <v>988</v>
      </c>
      <c r="Z126" s="6" t="s">
        <v>45</v>
      </c>
      <c r="AA126" s="6" t="s">
        <v>46</v>
      </c>
      <c r="AB126" s="6" t="s">
        <v>47</v>
      </c>
      <c r="AC126" s="6" t="s">
        <v>48</v>
      </c>
      <c r="AD126" s="6" t="s">
        <v>49</v>
      </c>
      <c r="AE126" s="6" t="s">
        <v>50</v>
      </c>
      <c r="AF126" s="6" t="s">
        <v>50</v>
      </c>
      <c r="AG126" s="6" t="s">
        <v>50</v>
      </c>
      <c r="AH126" s="6" t="s">
        <v>50</v>
      </c>
      <c r="AI126" s="6" t="s">
        <v>51</v>
      </c>
      <c r="AJ126" s="6" t="s">
        <v>50</v>
      </c>
      <c r="AK126" s="6" t="s">
        <v>50</v>
      </c>
      <c r="AL126" s="6" t="s">
        <v>52</v>
      </c>
      <c r="AM126" s="6" t="s">
        <v>53</v>
      </c>
      <c r="AN126" s="6" t="s">
        <v>50</v>
      </c>
      <c r="AO126" s="6" t="s">
        <v>54</v>
      </c>
    </row>
    <row r="127" spans="2:41" ht="75" x14ac:dyDescent="0.25">
      <c r="B127" s="207" t="s">
        <v>368</v>
      </c>
      <c r="C127" s="66" t="s">
        <v>36</v>
      </c>
      <c r="D127" s="4" t="s">
        <v>369</v>
      </c>
      <c r="E127" s="4" t="s">
        <v>1027</v>
      </c>
      <c r="F127" s="4" t="s">
        <v>932</v>
      </c>
      <c r="G127" s="4" t="s">
        <v>39</v>
      </c>
      <c r="H127" s="208">
        <v>1</v>
      </c>
      <c r="I127" s="4"/>
      <c r="J127" s="15"/>
      <c r="K127" s="4"/>
      <c r="L127" s="4"/>
      <c r="M127" s="4"/>
      <c r="N127" s="4"/>
      <c r="O127" s="4"/>
      <c r="P127" s="8"/>
      <c r="Q127" s="209">
        <f>Mon_ILR2[[#This Row],[Qty Required]]-Mon_ILR2[[#This Row],[QTY Transfer]]</f>
        <v>1</v>
      </c>
      <c r="R127" s="66" t="s">
        <v>905</v>
      </c>
      <c r="S127" s="66" t="s">
        <v>934</v>
      </c>
      <c r="T127" s="210">
        <f>_xlfn.IFNA(VLOOKUP(Mon_ILR2[[#This Row],[New Model]],PhilipsLibary[],4,FALSE),"0")</f>
        <v>7489</v>
      </c>
      <c r="U127" s="210">
        <f>_xlfn.IFNA(VLOOKUP(Mon_ILR2[[#This Row],[New Model]],PhilipsLibary[],5,FALSE),"0")</f>
        <v>1127</v>
      </c>
      <c r="V127" s="210">
        <v>1879</v>
      </c>
      <c r="W127" s="210">
        <f>Mon_ILR2[[#This Row],[Accessory Rate]]+Mon_ILR2[[#This Row],[Mounting Rate]]+Mon_ILR2[[#This Row],[Unit Rate]]*Mon_ILR2[[#This Row],[New Quantity Required ]]</f>
        <v>10495</v>
      </c>
      <c r="X127" s="8"/>
      <c r="Y127" s="248" t="s">
        <v>988</v>
      </c>
      <c r="Z127" s="6" t="s">
        <v>45</v>
      </c>
      <c r="AA127" s="6" t="s">
        <v>46</v>
      </c>
      <c r="AB127" s="6" t="s">
        <v>47</v>
      </c>
      <c r="AC127" s="6" t="s">
        <v>48</v>
      </c>
      <c r="AD127" s="6" t="s">
        <v>49</v>
      </c>
      <c r="AE127" s="6" t="s">
        <v>50</v>
      </c>
      <c r="AF127" s="6" t="s">
        <v>50</v>
      </c>
      <c r="AG127" s="6" t="s">
        <v>50</v>
      </c>
      <c r="AH127" s="6" t="s">
        <v>50</v>
      </c>
      <c r="AI127" s="6" t="s">
        <v>51</v>
      </c>
      <c r="AJ127" s="6" t="s">
        <v>50</v>
      </c>
      <c r="AK127" s="6" t="s">
        <v>50</v>
      </c>
      <c r="AL127" s="6" t="s">
        <v>52</v>
      </c>
      <c r="AM127" s="6" t="s">
        <v>53</v>
      </c>
      <c r="AN127" s="6" t="s">
        <v>50</v>
      </c>
      <c r="AO127" s="6" t="s">
        <v>54</v>
      </c>
    </row>
    <row r="128" spans="2:41" ht="165" x14ac:dyDescent="0.25">
      <c r="B128" s="207" t="s">
        <v>368</v>
      </c>
      <c r="C128" s="66" t="s">
        <v>371</v>
      </c>
      <c r="D128" s="4" t="s">
        <v>372</v>
      </c>
      <c r="E128" s="4" t="s">
        <v>1027</v>
      </c>
      <c r="F128" s="4" t="s">
        <v>932</v>
      </c>
      <c r="G128" s="4" t="s">
        <v>39</v>
      </c>
      <c r="H128" s="208">
        <v>1</v>
      </c>
      <c r="I128" s="4"/>
      <c r="J128" s="15" t="s">
        <v>373</v>
      </c>
      <c r="K128" s="4" t="s">
        <v>38</v>
      </c>
      <c r="L128" s="4" t="s">
        <v>168</v>
      </c>
      <c r="M128" s="4" t="s">
        <v>179</v>
      </c>
      <c r="N128" s="4">
        <v>0</v>
      </c>
      <c r="O128" s="4" t="s">
        <v>180</v>
      </c>
      <c r="P128" s="8">
        <v>1</v>
      </c>
      <c r="Q128" s="209">
        <f>Mon_ILR2[[#This Row],[Qty Required]]-Mon_ILR2[[#This Row],[QTY Transfer]]</f>
        <v>0</v>
      </c>
      <c r="R128" s="66" t="s">
        <v>905</v>
      </c>
      <c r="S128" s="305" t="s">
        <v>934</v>
      </c>
      <c r="T128" s="210">
        <v>929</v>
      </c>
      <c r="U128" s="210">
        <f>_xlfn.IFNA(VLOOKUP(Mon_ILR2[[#This Row],[New Model]],PhilipsLibary[],5,FALSE),"0")</f>
        <v>1127</v>
      </c>
      <c r="V128" s="210">
        <v>1659</v>
      </c>
      <c r="W128" s="210">
        <v>3715</v>
      </c>
      <c r="X128" s="246" t="s">
        <v>1058</v>
      </c>
      <c r="Y128" s="289" t="s">
        <v>2173</v>
      </c>
      <c r="Z128" s="6" t="s">
        <v>45</v>
      </c>
      <c r="AA128" s="6" t="s">
        <v>46</v>
      </c>
      <c r="AB128" s="6" t="s">
        <v>47</v>
      </c>
      <c r="AC128" s="6" t="s">
        <v>48</v>
      </c>
      <c r="AD128" s="6" t="s">
        <v>49</v>
      </c>
      <c r="AE128" s="6" t="s">
        <v>50</v>
      </c>
      <c r="AF128" s="6" t="s">
        <v>50</v>
      </c>
      <c r="AG128" s="6" t="s">
        <v>50</v>
      </c>
      <c r="AH128" s="6" t="s">
        <v>50</v>
      </c>
      <c r="AI128" s="6" t="s">
        <v>51</v>
      </c>
      <c r="AJ128" s="6" t="s">
        <v>50</v>
      </c>
      <c r="AK128" s="6" t="s">
        <v>50</v>
      </c>
      <c r="AL128" s="6" t="s">
        <v>52</v>
      </c>
      <c r="AM128" s="6" t="s">
        <v>53</v>
      </c>
      <c r="AN128" s="6" t="s">
        <v>50</v>
      </c>
      <c r="AO128" s="6" t="s">
        <v>54</v>
      </c>
    </row>
    <row r="129" spans="2:41" ht="165" x14ac:dyDescent="0.25">
      <c r="B129" s="207" t="s">
        <v>368</v>
      </c>
      <c r="C129" s="66" t="s">
        <v>374</v>
      </c>
      <c r="D129" s="4" t="s">
        <v>375</v>
      </c>
      <c r="E129" s="4" t="s">
        <v>1027</v>
      </c>
      <c r="F129" s="4" t="s">
        <v>932</v>
      </c>
      <c r="G129" s="4" t="s">
        <v>39</v>
      </c>
      <c r="H129" s="208">
        <v>1</v>
      </c>
      <c r="I129" s="4"/>
      <c r="J129" s="15" t="s">
        <v>376</v>
      </c>
      <c r="K129" s="4" t="s">
        <v>38</v>
      </c>
      <c r="L129" s="4" t="s">
        <v>168</v>
      </c>
      <c r="M129" s="4" t="s">
        <v>179</v>
      </c>
      <c r="N129" s="4">
        <v>0</v>
      </c>
      <c r="O129" s="4" t="s">
        <v>303</v>
      </c>
      <c r="P129" s="8">
        <v>1</v>
      </c>
      <c r="Q129" s="209">
        <f>Mon_ILR2[[#This Row],[Qty Required]]-Mon_ILR2[[#This Row],[QTY Transfer]]</f>
        <v>0</v>
      </c>
      <c r="R129" s="66" t="s">
        <v>905</v>
      </c>
      <c r="S129" s="305" t="s">
        <v>934</v>
      </c>
      <c r="T129" s="210">
        <v>929</v>
      </c>
      <c r="U129" s="210">
        <f>_xlfn.IFNA(VLOOKUP(Mon_ILR2[[#This Row],[New Model]],PhilipsLibary[],5,FALSE),"0")</f>
        <v>1127</v>
      </c>
      <c r="V129" s="210">
        <v>1659</v>
      </c>
      <c r="W129" s="210">
        <v>3715</v>
      </c>
      <c r="X129" s="246" t="s">
        <v>1058</v>
      </c>
      <c r="Y129" s="289" t="s">
        <v>2173</v>
      </c>
      <c r="Z129" s="6" t="s">
        <v>45</v>
      </c>
      <c r="AA129" s="6" t="s">
        <v>46</v>
      </c>
      <c r="AB129" s="6" t="s">
        <v>47</v>
      </c>
      <c r="AC129" s="6" t="s">
        <v>48</v>
      </c>
      <c r="AD129" s="6" t="s">
        <v>49</v>
      </c>
      <c r="AE129" s="6" t="s">
        <v>50</v>
      </c>
      <c r="AF129" s="6" t="s">
        <v>50</v>
      </c>
      <c r="AG129" s="6" t="s">
        <v>50</v>
      </c>
      <c r="AH129" s="6" t="s">
        <v>50</v>
      </c>
      <c r="AI129" s="6" t="s">
        <v>51</v>
      </c>
      <c r="AJ129" s="6" t="s">
        <v>50</v>
      </c>
      <c r="AK129" s="6" t="s">
        <v>50</v>
      </c>
      <c r="AL129" s="6" t="s">
        <v>52</v>
      </c>
      <c r="AM129" s="6" t="s">
        <v>53</v>
      </c>
      <c r="AN129" s="6" t="s">
        <v>50</v>
      </c>
      <c r="AO129" s="6" t="s">
        <v>54</v>
      </c>
    </row>
    <row r="130" spans="2:41" ht="165" x14ac:dyDescent="0.25">
      <c r="B130" s="207" t="s">
        <v>368</v>
      </c>
      <c r="C130" s="66" t="s">
        <v>374</v>
      </c>
      <c r="D130" s="4" t="s">
        <v>377</v>
      </c>
      <c r="E130" s="4" t="s">
        <v>1027</v>
      </c>
      <c r="F130" s="4" t="s">
        <v>932</v>
      </c>
      <c r="G130" s="4" t="s">
        <v>39</v>
      </c>
      <c r="H130" s="208">
        <v>1</v>
      </c>
      <c r="I130" s="4"/>
      <c r="J130" s="15" t="s">
        <v>378</v>
      </c>
      <c r="K130" s="4" t="s">
        <v>38</v>
      </c>
      <c r="L130" s="4" t="s">
        <v>168</v>
      </c>
      <c r="M130" s="4" t="s">
        <v>179</v>
      </c>
      <c r="N130" s="4">
        <v>0</v>
      </c>
      <c r="O130" s="4" t="s">
        <v>180</v>
      </c>
      <c r="P130" s="8">
        <v>1</v>
      </c>
      <c r="Q130" s="209">
        <f>Mon_ILR2[[#This Row],[Qty Required]]-Mon_ILR2[[#This Row],[QTY Transfer]]</f>
        <v>0</v>
      </c>
      <c r="R130" s="66" t="s">
        <v>905</v>
      </c>
      <c r="S130" s="305" t="s">
        <v>934</v>
      </c>
      <c r="T130" s="210">
        <v>929</v>
      </c>
      <c r="U130" s="210">
        <f>_xlfn.IFNA(VLOOKUP(Mon_ILR2[[#This Row],[New Model]],PhilipsLibary[],5,FALSE),"0")</f>
        <v>1127</v>
      </c>
      <c r="V130" s="210">
        <v>1659</v>
      </c>
      <c r="W130" s="210">
        <v>3715</v>
      </c>
      <c r="X130" s="246" t="s">
        <v>1058</v>
      </c>
      <c r="Y130" s="289" t="s">
        <v>2173</v>
      </c>
      <c r="Z130" s="6" t="s">
        <v>45</v>
      </c>
      <c r="AA130" s="6" t="s">
        <v>46</v>
      </c>
      <c r="AB130" s="6" t="s">
        <v>47</v>
      </c>
      <c r="AC130" s="6" t="s">
        <v>48</v>
      </c>
      <c r="AD130" s="6" t="s">
        <v>49</v>
      </c>
      <c r="AE130" s="6" t="s">
        <v>50</v>
      </c>
      <c r="AF130" s="6" t="s">
        <v>50</v>
      </c>
      <c r="AG130" s="6" t="s">
        <v>50</v>
      </c>
      <c r="AH130" s="6" t="s">
        <v>50</v>
      </c>
      <c r="AI130" s="6" t="s">
        <v>51</v>
      </c>
      <c r="AJ130" s="6" t="s">
        <v>50</v>
      </c>
      <c r="AK130" s="6" t="s">
        <v>50</v>
      </c>
      <c r="AL130" s="6" t="s">
        <v>52</v>
      </c>
      <c r="AM130" s="6" t="s">
        <v>53</v>
      </c>
      <c r="AN130" s="6" t="s">
        <v>50</v>
      </c>
      <c r="AO130" s="6" t="s">
        <v>54</v>
      </c>
    </row>
    <row r="131" spans="2:41" ht="75" x14ac:dyDescent="0.25">
      <c r="B131" s="207" t="s">
        <v>368</v>
      </c>
      <c r="C131" s="66" t="s">
        <v>379</v>
      </c>
      <c r="D131" s="4" t="s">
        <v>380</v>
      </c>
      <c r="E131" s="4" t="s">
        <v>1027</v>
      </c>
      <c r="F131" s="4" t="s">
        <v>932</v>
      </c>
      <c r="G131" s="4" t="s">
        <v>39</v>
      </c>
      <c r="H131" s="208">
        <v>1</v>
      </c>
      <c r="I131" s="4"/>
      <c r="J131" s="15"/>
      <c r="K131" s="4"/>
      <c r="L131" s="4"/>
      <c r="M131" s="4"/>
      <c r="N131" s="4"/>
      <c r="O131" s="4"/>
      <c r="P131" s="8"/>
      <c r="Q131" s="209">
        <f>Mon_ILR2[[#This Row],[Qty Required]]-Mon_ILR2[[#This Row],[QTY Transfer]]</f>
        <v>1</v>
      </c>
      <c r="R131" s="66" t="s">
        <v>905</v>
      </c>
      <c r="S131" s="66" t="s">
        <v>934</v>
      </c>
      <c r="T131" s="210">
        <f>_xlfn.IFNA(VLOOKUP(Mon_ILR2[[#This Row],[New Model]],PhilipsLibary[],4,FALSE),"0")</f>
        <v>7489</v>
      </c>
      <c r="U131" s="210">
        <f>_xlfn.IFNA(VLOOKUP(Mon_ILR2[[#This Row],[New Model]],PhilipsLibary[],5,FALSE),"0")</f>
        <v>1127</v>
      </c>
      <c r="V131" s="210">
        <v>1879</v>
      </c>
      <c r="W131" s="210">
        <f>Mon_ILR2[[#This Row],[Accessory Rate]]+Mon_ILR2[[#This Row],[Mounting Rate]]+Mon_ILR2[[#This Row],[Unit Rate]]*Mon_ILR2[[#This Row],[New Quantity Required ]]</f>
        <v>10495</v>
      </c>
      <c r="X131" s="8"/>
      <c r="Y131" s="246" t="s">
        <v>988</v>
      </c>
      <c r="Z131" s="6" t="s">
        <v>45</v>
      </c>
      <c r="AA131" s="6" t="s">
        <v>46</v>
      </c>
      <c r="AB131" s="6" t="s">
        <v>47</v>
      </c>
      <c r="AC131" s="6" t="s">
        <v>48</v>
      </c>
      <c r="AD131" s="6" t="s">
        <v>49</v>
      </c>
      <c r="AE131" s="6" t="s">
        <v>50</v>
      </c>
      <c r="AF131" s="6" t="s">
        <v>50</v>
      </c>
      <c r="AG131" s="6" t="s">
        <v>50</v>
      </c>
      <c r="AH131" s="6" t="s">
        <v>50</v>
      </c>
      <c r="AI131" s="6" t="s">
        <v>51</v>
      </c>
      <c r="AJ131" s="6" t="s">
        <v>50</v>
      </c>
      <c r="AK131" s="6" t="s">
        <v>50</v>
      </c>
      <c r="AL131" s="6" t="s">
        <v>52</v>
      </c>
      <c r="AM131" s="6" t="s">
        <v>53</v>
      </c>
      <c r="AN131" s="6" t="s">
        <v>50</v>
      </c>
      <c r="AO131" s="6" t="s">
        <v>54</v>
      </c>
    </row>
    <row r="132" spans="2:41" ht="75" x14ac:dyDescent="0.25">
      <c r="B132" s="207" t="s">
        <v>368</v>
      </c>
      <c r="C132" s="66" t="s">
        <v>382</v>
      </c>
      <c r="D132" s="4" t="s">
        <v>383</v>
      </c>
      <c r="E132" s="4" t="s">
        <v>1027</v>
      </c>
      <c r="F132" s="4" t="s">
        <v>932</v>
      </c>
      <c r="G132" s="4" t="s">
        <v>39</v>
      </c>
      <c r="H132" s="208">
        <v>1</v>
      </c>
      <c r="I132" s="4"/>
      <c r="J132" s="15"/>
      <c r="K132" s="4"/>
      <c r="L132" s="4"/>
      <c r="M132" s="4"/>
      <c r="N132" s="4"/>
      <c r="O132" s="4"/>
      <c r="P132" s="8"/>
      <c r="Q132" s="209">
        <f>Mon_ILR2[[#This Row],[Qty Required]]-Mon_ILR2[[#This Row],[QTY Transfer]]</f>
        <v>1</v>
      </c>
      <c r="R132" s="66" t="s">
        <v>905</v>
      </c>
      <c r="S132" s="66" t="s">
        <v>934</v>
      </c>
      <c r="T132" s="210">
        <f>_xlfn.IFNA(VLOOKUP(Mon_ILR2[[#This Row],[New Model]],PhilipsLibary[],4,FALSE),"0")</f>
        <v>7489</v>
      </c>
      <c r="U132" s="210">
        <f>_xlfn.IFNA(VLOOKUP(Mon_ILR2[[#This Row],[New Model]],PhilipsLibary[],5,FALSE),"0")</f>
        <v>1127</v>
      </c>
      <c r="V132" s="210">
        <v>1879</v>
      </c>
      <c r="W132" s="210">
        <f>Mon_ILR2[[#This Row],[Accessory Rate]]+Mon_ILR2[[#This Row],[Mounting Rate]]+Mon_ILR2[[#This Row],[Unit Rate]]*Mon_ILR2[[#This Row],[New Quantity Required ]]</f>
        <v>10495</v>
      </c>
      <c r="X132" s="8"/>
      <c r="Y132" s="246" t="s">
        <v>988</v>
      </c>
      <c r="Z132" s="6" t="s">
        <v>45</v>
      </c>
      <c r="AA132" s="6" t="s">
        <v>46</v>
      </c>
      <c r="AB132" s="6" t="s">
        <v>47</v>
      </c>
      <c r="AC132" s="6" t="s">
        <v>48</v>
      </c>
      <c r="AD132" s="6" t="s">
        <v>49</v>
      </c>
      <c r="AE132" s="6" t="s">
        <v>50</v>
      </c>
      <c r="AF132" s="6" t="s">
        <v>50</v>
      </c>
      <c r="AG132" s="6" t="s">
        <v>50</v>
      </c>
      <c r="AH132" s="6" t="s">
        <v>50</v>
      </c>
      <c r="AI132" s="6" t="s">
        <v>51</v>
      </c>
      <c r="AJ132" s="6" t="s">
        <v>50</v>
      </c>
      <c r="AK132" s="6" t="s">
        <v>50</v>
      </c>
      <c r="AL132" s="6" t="s">
        <v>52</v>
      </c>
      <c r="AM132" s="6" t="s">
        <v>53</v>
      </c>
      <c r="AN132" s="6" t="s">
        <v>50</v>
      </c>
      <c r="AO132" s="6" t="s">
        <v>54</v>
      </c>
    </row>
    <row r="133" spans="2:41" ht="75" x14ac:dyDescent="0.25">
      <c r="B133" s="207" t="s">
        <v>368</v>
      </c>
      <c r="C133" s="66" t="s">
        <v>382</v>
      </c>
      <c r="D133" s="4" t="s">
        <v>385</v>
      </c>
      <c r="E133" s="4" t="s">
        <v>1027</v>
      </c>
      <c r="F133" s="4" t="s">
        <v>932</v>
      </c>
      <c r="G133" s="4" t="s">
        <v>39</v>
      </c>
      <c r="H133" s="208">
        <v>1</v>
      </c>
      <c r="I133" s="4"/>
      <c r="J133" s="15"/>
      <c r="K133" s="4"/>
      <c r="L133" s="4"/>
      <c r="M133" s="4"/>
      <c r="N133" s="4"/>
      <c r="O133" s="4"/>
      <c r="P133" s="8"/>
      <c r="Q133" s="209">
        <f>Mon_ILR2[[#This Row],[Qty Required]]-Mon_ILR2[[#This Row],[QTY Transfer]]</f>
        <v>1</v>
      </c>
      <c r="R133" s="66" t="s">
        <v>905</v>
      </c>
      <c r="S133" s="66" t="s">
        <v>934</v>
      </c>
      <c r="T133" s="210">
        <f>_xlfn.IFNA(VLOOKUP(Mon_ILR2[[#This Row],[New Model]],PhilipsLibary[],4,FALSE),"0")</f>
        <v>7489</v>
      </c>
      <c r="U133" s="210">
        <f>_xlfn.IFNA(VLOOKUP(Mon_ILR2[[#This Row],[New Model]],PhilipsLibary[],5,FALSE),"0")</f>
        <v>1127</v>
      </c>
      <c r="V133" s="210">
        <v>1879</v>
      </c>
      <c r="W133" s="210">
        <f>Mon_ILR2[[#This Row],[Accessory Rate]]+Mon_ILR2[[#This Row],[Mounting Rate]]+Mon_ILR2[[#This Row],[Unit Rate]]*Mon_ILR2[[#This Row],[New Quantity Required ]]</f>
        <v>10495</v>
      </c>
      <c r="X133" s="8"/>
      <c r="Y133" s="246" t="s">
        <v>988</v>
      </c>
      <c r="Z133" s="6" t="s">
        <v>45</v>
      </c>
      <c r="AA133" s="6" t="s">
        <v>46</v>
      </c>
      <c r="AB133" s="6" t="s">
        <v>47</v>
      </c>
      <c r="AC133" s="6" t="s">
        <v>48</v>
      </c>
      <c r="AD133" s="6" t="s">
        <v>49</v>
      </c>
      <c r="AE133" s="6" t="s">
        <v>50</v>
      </c>
      <c r="AF133" s="6" t="s">
        <v>50</v>
      </c>
      <c r="AG133" s="6" t="s">
        <v>50</v>
      </c>
      <c r="AH133" s="6" t="s">
        <v>50</v>
      </c>
      <c r="AI133" s="6" t="s">
        <v>51</v>
      </c>
      <c r="AJ133" s="6" t="s">
        <v>50</v>
      </c>
      <c r="AK133" s="6" t="s">
        <v>50</v>
      </c>
      <c r="AL133" s="6" t="s">
        <v>52</v>
      </c>
      <c r="AM133" s="6" t="s">
        <v>53</v>
      </c>
      <c r="AN133" s="6" t="s">
        <v>50</v>
      </c>
      <c r="AO133" s="6" t="s">
        <v>54</v>
      </c>
    </row>
    <row r="134" spans="2:41" ht="75" x14ac:dyDescent="0.25">
      <c r="B134" s="207" t="s">
        <v>368</v>
      </c>
      <c r="C134" s="66" t="s">
        <v>387</v>
      </c>
      <c r="D134" s="4" t="s">
        <v>388</v>
      </c>
      <c r="E134" s="4" t="s">
        <v>1027</v>
      </c>
      <c r="F134" s="4" t="s">
        <v>932</v>
      </c>
      <c r="G134" s="4" t="s">
        <v>39</v>
      </c>
      <c r="H134" s="208">
        <v>1</v>
      </c>
      <c r="I134" s="4"/>
      <c r="J134" s="15"/>
      <c r="K134" s="4"/>
      <c r="L134" s="4"/>
      <c r="M134" s="4"/>
      <c r="N134" s="4"/>
      <c r="O134" s="4"/>
      <c r="P134" s="8"/>
      <c r="Q134" s="209">
        <f>Mon_ILR2[[#This Row],[Qty Required]]-Mon_ILR2[[#This Row],[QTY Transfer]]</f>
        <v>1</v>
      </c>
      <c r="R134" s="66" t="s">
        <v>905</v>
      </c>
      <c r="S134" s="66" t="s">
        <v>934</v>
      </c>
      <c r="T134" s="210">
        <f>_xlfn.IFNA(VLOOKUP(Mon_ILR2[[#This Row],[New Model]],PhilipsLibary[],4,FALSE),"0")</f>
        <v>7489</v>
      </c>
      <c r="U134" s="210">
        <f>_xlfn.IFNA(VLOOKUP(Mon_ILR2[[#This Row],[New Model]],PhilipsLibary[],5,FALSE),"0")</f>
        <v>1127</v>
      </c>
      <c r="V134" s="210">
        <v>1879</v>
      </c>
      <c r="W134" s="210">
        <f>Mon_ILR2[[#This Row],[Accessory Rate]]+Mon_ILR2[[#This Row],[Mounting Rate]]+Mon_ILR2[[#This Row],[Unit Rate]]*Mon_ILR2[[#This Row],[New Quantity Required ]]</f>
        <v>10495</v>
      </c>
      <c r="X134" s="8"/>
      <c r="Y134" s="246" t="s">
        <v>988</v>
      </c>
      <c r="Z134" s="6" t="s">
        <v>45</v>
      </c>
      <c r="AA134" s="6" t="s">
        <v>46</v>
      </c>
      <c r="AB134" s="6" t="s">
        <v>47</v>
      </c>
      <c r="AC134" s="6" t="s">
        <v>48</v>
      </c>
      <c r="AD134" s="6" t="s">
        <v>49</v>
      </c>
      <c r="AE134" s="6" t="s">
        <v>50</v>
      </c>
      <c r="AF134" s="6" t="s">
        <v>50</v>
      </c>
      <c r="AG134" s="6" t="s">
        <v>50</v>
      </c>
      <c r="AH134" s="6" t="s">
        <v>50</v>
      </c>
      <c r="AI134" s="6" t="s">
        <v>51</v>
      </c>
      <c r="AJ134" s="6" t="s">
        <v>50</v>
      </c>
      <c r="AK134" s="6" t="s">
        <v>50</v>
      </c>
      <c r="AL134" s="6" t="s">
        <v>52</v>
      </c>
      <c r="AM134" s="6" t="s">
        <v>53</v>
      </c>
      <c r="AN134" s="6" t="s">
        <v>50</v>
      </c>
      <c r="AO134" s="6" t="s">
        <v>54</v>
      </c>
    </row>
    <row r="135" spans="2:41" ht="75" x14ac:dyDescent="0.25">
      <c r="B135" s="207" t="s">
        <v>368</v>
      </c>
      <c r="C135" s="66" t="s">
        <v>390</v>
      </c>
      <c r="D135" s="4" t="s">
        <v>391</v>
      </c>
      <c r="E135" s="4" t="s">
        <v>1027</v>
      </c>
      <c r="F135" s="4" t="s">
        <v>932</v>
      </c>
      <c r="G135" s="4" t="s">
        <v>39</v>
      </c>
      <c r="H135" s="208">
        <v>1</v>
      </c>
      <c r="I135" s="4"/>
      <c r="J135" s="15"/>
      <c r="K135" s="4"/>
      <c r="L135" s="4"/>
      <c r="M135" s="4"/>
      <c r="N135" s="4"/>
      <c r="O135" s="4"/>
      <c r="P135" s="8"/>
      <c r="Q135" s="209">
        <f>Mon_ILR2[[#This Row],[Qty Required]]-Mon_ILR2[[#This Row],[QTY Transfer]]</f>
        <v>1</v>
      </c>
      <c r="R135" s="66" t="s">
        <v>905</v>
      </c>
      <c r="S135" s="66" t="s">
        <v>934</v>
      </c>
      <c r="T135" s="210">
        <f>_xlfn.IFNA(VLOOKUP(Mon_ILR2[[#This Row],[New Model]],PhilipsLibary[],4,FALSE),"0")</f>
        <v>7489</v>
      </c>
      <c r="U135" s="210">
        <f>_xlfn.IFNA(VLOOKUP(Mon_ILR2[[#This Row],[New Model]],PhilipsLibary[],5,FALSE),"0")</f>
        <v>1127</v>
      </c>
      <c r="V135" s="210">
        <v>1879</v>
      </c>
      <c r="W135" s="210">
        <f>Mon_ILR2[[#This Row],[Accessory Rate]]+Mon_ILR2[[#This Row],[Mounting Rate]]+Mon_ILR2[[#This Row],[Unit Rate]]*Mon_ILR2[[#This Row],[New Quantity Required ]]</f>
        <v>10495</v>
      </c>
      <c r="X135" s="8"/>
      <c r="Y135" s="246" t="s">
        <v>988</v>
      </c>
      <c r="Z135" s="6" t="s">
        <v>45</v>
      </c>
      <c r="AA135" s="6" t="s">
        <v>46</v>
      </c>
      <c r="AB135" s="6" t="s">
        <v>47</v>
      </c>
      <c r="AC135" s="6" t="s">
        <v>48</v>
      </c>
      <c r="AD135" s="6" t="s">
        <v>49</v>
      </c>
      <c r="AE135" s="6" t="s">
        <v>50</v>
      </c>
      <c r="AF135" s="6" t="s">
        <v>50</v>
      </c>
      <c r="AG135" s="6" t="s">
        <v>50</v>
      </c>
      <c r="AH135" s="6" t="s">
        <v>50</v>
      </c>
      <c r="AI135" s="6" t="s">
        <v>51</v>
      </c>
      <c r="AJ135" s="6" t="s">
        <v>50</v>
      </c>
      <c r="AK135" s="6" t="s">
        <v>50</v>
      </c>
      <c r="AL135" s="6" t="s">
        <v>52</v>
      </c>
      <c r="AM135" s="6" t="s">
        <v>53</v>
      </c>
      <c r="AN135" s="6" t="s">
        <v>50</v>
      </c>
      <c r="AO135" s="6" t="s">
        <v>54</v>
      </c>
    </row>
    <row r="136" spans="2:41" ht="75" x14ac:dyDescent="0.25">
      <c r="B136" s="207" t="s">
        <v>368</v>
      </c>
      <c r="C136" s="66" t="s">
        <v>393</v>
      </c>
      <c r="D136" s="4" t="s">
        <v>394</v>
      </c>
      <c r="E136" s="4" t="s">
        <v>1027</v>
      </c>
      <c r="F136" s="4" t="s">
        <v>932</v>
      </c>
      <c r="G136" s="4" t="s">
        <v>39</v>
      </c>
      <c r="H136" s="208">
        <v>1</v>
      </c>
      <c r="I136" s="4"/>
      <c r="J136" s="15"/>
      <c r="K136" s="4"/>
      <c r="L136" s="4"/>
      <c r="M136" s="4"/>
      <c r="N136" s="4"/>
      <c r="O136" s="4"/>
      <c r="P136" s="8"/>
      <c r="Q136" s="209">
        <f>Mon_ILR2[[#This Row],[Qty Required]]-Mon_ILR2[[#This Row],[QTY Transfer]]</f>
        <v>1</v>
      </c>
      <c r="R136" s="66" t="s">
        <v>905</v>
      </c>
      <c r="S136" s="66" t="s">
        <v>934</v>
      </c>
      <c r="T136" s="210">
        <f>_xlfn.IFNA(VLOOKUP(Mon_ILR2[[#This Row],[New Model]],PhilipsLibary[],4,FALSE),"0")</f>
        <v>7489</v>
      </c>
      <c r="U136" s="210">
        <f>_xlfn.IFNA(VLOOKUP(Mon_ILR2[[#This Row],[New Model]],PhilipsLibary[],5,FALSE),"0")</f>
        <v>1127</v>
      </c>
      <c r="V136" s="210">
        <v>1879</v>
      </c>
      <c r="W136" s="210">
        <f>Mon_ILR2[[#This Row],[Accessory Rate]]+Mon_ILR2[[#This Row],[Mounting Rate]]+Mon_ILR2[[#This Row],[Unit Rate]]*Mon_ILR2[[#This Row],[New Quantity Required ]]</f>
        <v>10495</v>
      </c>
      <c r="X136" s="8"/>
      <c r="Y136" s="246" t="s">
        <v>988</v>
      </c>
      <c r="Z136" s="6" t="s">
        <v>45</v>
      </c>
      <c r="AA136" s="6" t="s">
        <v>46</v>
      </c>
      <c r="AB136" s="6" t="s">
        <v>47</v>
      </c>
      <c r="AC136" s="6" t="s">
        <v>48</v>
      </c>
      <c r="AD136" s="6" t="s">
        <v>49</v>
      </c>
      <c r="AE136" s="6" t="s">
        <v>50</v>
      </c>
      <c r="AF136" s="6" t="s">
        <v>50</v>
      </c>
      <c r="AG136" s="6" t="s">
        <v>50</v>
      </c>
      <c r="AH136" s="6" t="s">
        <v>50</v>
      </c>
      <c r="AI136" s="6" t="s">
        <v>51</v>
      </c>
      <c r="AJ136" s="6" t="s">
        <v>50</v>
      </c>
      <c r="AK136" s="6" t="s">
        <v>50</v>
      </c>
      <c r="AL136" s="6" t="s">
        <v>52</v>
      </c>
      <c r="AM136" s="6" t="s">
        <v>53</v>
      </c>
      <c r="AN136" s="6" t="s">
        <v>50</v>
      </c>
      <c r="AO136" s="6" t="s">
        <v>54</v>
      </c>
    </row>
    <row r="137" spans="2:41" ht="75" x14ac:dyDescent="0.25">
      <c r="B137" s="207" t="s">
        <v>368</v>
      </c>
      <c r="C137" s="66" t="s">
        <v>397</v>
      </c>
      <c r="D137" s="4" t="s">
        <v>398</v>
      </c>
      <c r="E137" s="4" t="s">
        <v>1027</v>
      </c>
      <c r="F137" s="4" t="s">
        <v>932</v>
      </c>
      <c r="G137" s="4" t="s">
        <v>39</v>
      </c>
      <c r="H137" s="208">
        <v>1</v>
      </c>
      <c r="I137" s="4"/>
      <c r="J137" s="15"/>
      <c r="K137" s="4"/>
      <c r="L137" s="4"/>
      <c r="M137" s="4"/>
      <c r="N137" s="4"/>
      <c r="O137" s="4"/>
      <c r="P137" s="8"/>
      <c r="Q137" s="209">
        <f>Mon_ILR2[[#This Row],[Qty Required]]-Mon_ILR2[[#This Row],[QTY Transfer]]</f>
        <v>1</v>
      </c>
      <c r="R137" s="66" t="s">
        <v>905</v>
      </c>
      <c r="S137" s="66" t="s">
        <v>934</v>
      </c>
      <c r="T137" s="210">
        <f>_xlfn.IFNA(VLOOKUP(Mon_ILR2[[#This Row],[New Model]],PhilipsLibary[],4,FALSE),"0")</f>
        <v>7489</v>
      </c>
      <c r="U137" s="210">
        <f>_xlfn.IFNA(VLOOKUP(Mon_ILR2[[#This Row],[New Model]],PhilipsLibary[],5,FALSE),"0")</f>
        <v>1127</v>
      </c>
      <c r="V137" s="210">
        <v>1879</v>
      </c>
      <c r="W137" s="210">
        <f>Mon_ILR2[[#This Row],[Accessory Rate]]+Mon_ILR2[[#This Row],[Mounting Rate]]+Mon_ILR2[[#This Row],[Unit Rate]]*Mon_ILR2[[#This Row],[New Quantity Required ]]</f>
        <v>10495</v>
      </c>
      <c r="X137" s="8"/>
      <c r="Y137" s="246" t="s">
        <v>988</v>
      </c>
      <c r="Z137" s="6" t="s">
        <v>45</v>
      </c>
      <c r="AA137" s="6" t="s">
        <v>46</v>
      </c>
      <c r="AB137" s="6" t="s">
        <v>47</v>
      </c>
      <c r="AC137" s="6" t="s">
        <v>48</v>
      </c>
      <c r="AD137" s="6" t="s">
        <v>49</v>
      </c>
      <c r="AE137" s="6" t="s">
        <v>50</v>
      </c>
      <c r="AF137" s="6" t="s">
        <v>50</v>
      </c>
      <c r="AG137" s="6" t="s">
        <v>50</v>
      </c>
      <c r="AH137" s="6" t="s">
        <v>50</v>
      </c>
      <c r="AI137" s="6" t="s">
        <v>51</v>
      </c>
      <c r="AJ137" s="6" t="s">
        <v>50</v>
      </c>
      <c r="AK137" s="6" t="s">
        <v>50</v>
      </c>
      <c r="AL137" s="6" t="s">
        <v>52</v>
      </c>
      <c r="AM137" s="6" t="s">
        <v>53</v>
      </c>
      <c r="AN137" s="6" t="s">
        <v>50</v>
      </c>
      <c r="AO137" s="6" t="s">
        <v>54</v>
      </c>
    </row>
    <row r="138" spans="2:41" ht="60" x14ac:dyDescent="0.25">
      <c r="B138" s="207" t="s">
        <v>368</v>
      </c>
      <c r="C138" s="66" t="s">
        <v>401</v>
      </c>
      <c r="D138" s="4" t="s">
        <v>402</v>
      </c>
      <c r="E138" s="4" t="s">
        <v>1027</v>
      </c>
      <c r="F138" s="4" t="s">
        <v>932</v>
      </c>
      <c r="G138" s="4" t="s">
        <v>39</v>
      </c>
      <c r="H138" s="208">
        <v>1</v>
      </c>
      <c r="I138" s="4"/>
      <c r="J138" s="15"/>
      <c r="K138" s="4"/>
      <c r="L138" s="4"/>
      <c r="M138" s="4"/>
      <c r="N138" s="4"/>
      <c r="O138" s="4"/>
      <c r="P138" s="8"/>
      <c r="Q138" s="300">
        <v>0</v>
      </c>
      <c r="R138" s="66" t="s">
        <v>905</v>
      </c>
      <c r="S138" s="304" t="s">
        <v>934</v>
      </c>
      <c r="T138" s="210">
        <f>_xlfn.IFNA(VLOOKUP(Mon_ILR2[[#This Row],[New Model]],PhilipsLibary[],4,FALSE),"0")</f>
        <v>7489</v>
      </c>
      <c r="U138" s="210">
        <f>_xlfn.IFNA(VLOOKUP(Mon_ILR2[[#This Row],[New Model]],PhilipsLibary[],5,FALSE),"0")</f>
        <v>1127</v>
      </c>
      <c r="V138" s="210">
        <v>1879</v>
      </c>
      <c r="W138" s="210">
        <v>0</v>
      </c>
      <c r="X138" s="8"/>
      <c r="Y138" s="302" t="s">
        <v>2159</v>
      </c>
      <c r="Z138" s="6" t="s">
        <v>45</v>
      </c>
      <c r="AA138" s="6" t="s">
        <v>46</v>
      </c>
      <c r="AB138" s="6" t="s">
        <v>47</v>
      </c>
      <c r="AC138" s="6" t="s">
        <v>48</v>
      </c>
      <c r="AD138" s="6" t="s">
        <v>49</v>
      </c>
      <c r="AE138" s="6" t="s">
        <v>50</v>
      </c>
      <c r="AF138" s="6" t="s">
        <v>50</v>
      </c>
      <c r="AG138" s="6" t="s">
        <v>50</v>
      </c>
      <c r="AH138" s="6" t="s">
        <v>50</v>
      </c>
      <c r="AI138" s="6" t="s">
        <v>51</v>
      </c>
      <c r="AJ138" s="6" t="s">
        <v>50</v>
      </c>
      <c r="AK138" s="6" t="s">
        <v>50</v>
      </c>
      <c r="AL138" s="6" t="s">
        <v>52</v>
      </c>
      <c r="AM138" s="6" t="s">
        <v>53</v>
      </c>
      <c r="AN138" s="6" t="s">
        <v>50</v>
      </c>
      <c r="AO138" s="6" t="s">
        <v>54</v>
      </c>
    </row>
    <row r="139" spans="2:41" ht="60" x14ac:dyDescent="0.25">
      <c r="B139" s="207" t="s">
        <v>368</v>
      </c>
      <c r="C139" s="66" t="s">
        <v>405</v>
      </c>
      <c r="D139" s="4" t="s">
        <v>406</v>
      </c>
      <c r="E139" s="4" t="s">
        <v>1027</v>
      </c>
      <c r="F139" s="4" t="s">
        <v>932</v>
      </c>
      <c r="G139" s="4" t="s">
        <v>39</v>
      </c>
      <c r="H139" s="208">
        <v>1</v>
      </c>
      <c r="I139" s="4"/>
      <c r="J139" s="15"/>
      <c r="K139" s="4"/>
      <c r="L139" s="4"/>
      <c r="M139" s="4"/>
      <c r="N139" s="4"/>
      <c r="O139" s="4"/>
      <c r="P139" s="8"/>
      <c r="Q139" s="300">
        <v>0</v>
      </c>
      <c r="R139" s="66" t="s">
        <v>905</v>
      </c>
      <c r="S139" s="304" t="s">
        <v>934</v>
      </c>
      <c r="T139" s="210">
        <f>_xlfn.IFNA(VLOOKUP(Mon_ILR2[[#This Row],[New Model]],PhilipsLibary[],4,FALSE),"0")</f>
        <v>7489</v>
      </c>
      <c r="U139" s="210">
        <f>_xlfn.IFNA(VLOOKUP(Mon_ILR2[[#This Row],[New Model]],PhilipsLibary[],5,FALSE),"0")</f>
        <v>1127</v>
      </c>
      <c r="V139" s="210">
        <v>1879</v>
      </c>
      <c r="W139" s="210">
        <v>0</v>
      </c>
      <c r="X139" s="8"/>
      <c r="Y139" s="302" t="s">
        <v>2159</v>
      </c>
      <c r="Z139" s="6" t="s">
        <v>45</v>
      </c>
      <c r="AA139" s="6" t="s">
        <v>46</v>
      </c>
      <c r="AB139" s="6" t="s">
        <v>47</v>
      </c>
      <c r="AC139" s="6" t="s">
        <v>48</v>
      </c>
      <c r="AD139" s="6" t="s">
        <v>49</v>
      </c>
      <c r="AE139" s="6" t="s">
        <v>50</v>
      </c>
      <c r="AF139" s="6" t="s">
        <v>50</v>
      </c>
      <c r="AG139" s="6" t="s">
        <v>50</v>
      </c>
      <c r="AH139" s="6" t="s">
        <v>50</v>
      </c>
      <c r="AI139" s="6" t="s">
        <v>51</v>
      </c>
      <c r="AJ139" s="6" t="s">
        <v>50</v>
      </c>
      <c r="AK139" s="6" t="s">
        <v>50</v>
      </c>
      <c r="AL139" s="6" t="s">
        <v>52</v>
      </c>
      <c r="AM139" s="6" t="s">
        <v>53</v>
      </c>
      <c r="AN139" s="6" t="s">
        <v>50</v>
      </c>
      <c r="AO139" s="6" t="s">
        <v>54</v>
      </c>
    </row>
    <row r="140" spans="2:41" ht="75" x14ac:dyDescent="0.25">
      <c r="B140" s="207" t="s">
        <v>368</v>
      </c>
      <c r="C140" s="66" t="s">
        <v>410</v>
      </c>
      <c r="D140" s="4" t="s">
        <v>411</v>
      </c>
      <c r="E140" s="4" t="s">
        <v>1027</v>
      </c>
      <c r="F140" s="4" t="s">
        <v>932</v>
      </c>
      <c r="G140" s="4" t="s">
        <v>39</v>
      </c>
      <c r="H140" s="208">
        <v>1</v>
      </c>
      <c r="I140" s="4"/>
      <c r="J140" s="15"/>
      <c r="K140" s="4"/>
      <c r="L140" s="4"/>
      <c r="M140" s="4"/>
      <c r="N140" s="4"/>
      <c r="O140" s="4"/>
      <c r="P140" s="8"/>
      <c r="Q140" s="209">
        <f>Mon_ILR2[[#This Row],[Qty Required]]-Mon_ILR2[[#This Row],[QTY Transfer]]</f>
        <v>1</v>
      </c>
      <c r="R140" s="66" t="s">
        <v>905</v>
      </c>
      <c r="S140" s="66" t="s">
        <v>934</v>
      </c>
      <c r="T140" s="210">
        <f>_xlfn.IFNA(VLOOKUP(Mon_ILR2[[#This Row],[New Model]],PhilipsLibary[],4,FALSE),"0")</f>
        <v>7489</v>
      </c>
      <c r="U140" s="210">
        <f>_xlfn.IFNA(VLOOKUP(Mon_ILR2[[#This Row],[New Model]],PhilipsLibary[],5,FALSE),"0")</f>
        <v>1127</v>
      </c>
      <c r="V140" s="210">
        <v>1879</v>
      </c>
      <c r="W140" s="210">
        <f>Mon_ILR2[[#This Row],[Accessory Rate]]+Mon_ILR2[[#This Row],[Mounting Rate]]+Mon_ILR2[[#This Row],[Unit Rate]]*Mon_ILR2[[#This Row],[New Quantity Required ]]</f>
        <v>10495</v>
      </c>
      <c r="X140" s="8"/>
      <c r="Y140" s="246" t="s">
        <v>988</v>
      </c>
      <c r="Z140" s="6" t="s">
        <v>45</v>
      </c>
      <c r="AA140" s="6" t="s">
        <v>46</v>
      </c>
      <c r="AB140" s="6" t="s">
        <v>47</v>
      </c>
      <c r="AC140" s="6" t="s">
        <v>48</v>
      </c>
      <c r="AD140" s="6" t="s">
        <v>49</v>
      </c>
      <c r="AE140" s="6" t="s">
        <v>50</v>
      </c>
      <c r="AF140" s="6" t="s">
        <v>50</v>
      </c>
      <c r="AG140" s="6" t="s">
        <v>50</v>
      </c>
      <c r="AH140" s="6" t="s">
        <v>50</v>
      </c>
      <c r="AI140" s="6" t="s">
        <v>51</v>
      </c>
      <c r="AJ140" s="6" t="s">
        <v>50</v>
      </c>
      <c r="AK140" s="6" t="s">
        <v>50</v>
      </c>
      <c r="AL140" s="6" t="s">
        <v>52</v>
      </c>
      <c r="AM140" s="6" t="s">
        <v>53</v>
      </c>
      <c r="AN140" s="6" t="s">
        <v>50</v>
      </c>
      <c r="AO140" s="6" t="s">
        <v>54</v>
      </c>
    </row>
    <row r="141" spans="2:41" ht="108.75" customHeight="1" x14ac:dyDescent="0.25">
      <c r="B141" s="207" t="s">
        <v>35</v>
      </c>
      <c r="C141" s="66" t="s">
        <v>796</v>
      </c>
      <c r="D141" s="4" t="s">
        <v>843</v>
      </c>
      <c r="E141" s="4" t="s">
        <v>1025</v>
      </c>
      <c r="F141" s="4" t="s">
        <v>1026</v>
      </c>
      <c r="G141" s="4" t="s">
        <v>39</v>
      </c>
      <c r="H141" s="208">
        <v>2</v>
      </c>
      <c r="I141" s="4"/>
      <c r="J141" s="15"/>
      <c r="K141" s="4" t="str">
        <f>_xlfn.IFNA(VLOOKUP($J141,WH_Data[],6,FALSE),"")</f>
        <v/>
      </c>
      <c r="L141" s="4" t="str">
        <f>_xlfn.IFNA(VLOOKUP($J141,WH_Data[],3,FALSE),"")</f>
        <v/>
      </c>
      <c r="M141" s="4" t="str">
        <f>_xlfn.IFNA(VLOOKUP($J141,WH_Data[],5,FALSE),"")</f>
        <v/>
      </c>
      <c r="N141" s="4" t="str">
        <f>_xlfn.IFNA(VLOOKUP($J141,WH_Data[],7,FALSE),"")</f>
        <v/>
      </c>
      <c r="O141" s="4" t="str">
        <f>_xlfn.IFNA(VLOOKUP($J141,WH_Data[],8,FALSE),"")</f>
        <v/>
      </c>
      <c r="P141" s="8"/>
      <c r="Q141" s="209">
        <f>Mon_ILR2[[#This Row],[Qty Required]]-Mon_ILR2[[#This Row],[QTY Transfer]]</f>
        <v>2</v>
      </c>
      <c r="R141" s="66" t="s">
        <v>905</v>
      </c>
      <c r="S141" s="66" t="s">
        <v>967</v>
      </c>
      <c r="T141" s="210">
        <v>0</v>
      </c>
      <c r="U141" s="210">
        <f>_xlfn.IFNA(VLOOKUP(Mon_ILR2[[#This Row],[New Model]],PhilipsLibary[],5,FALSE),"0")</f>
        <v>0</v>
      </c>
      <c r="V141" s="210">
        <f>_xlfn.IFNA(VLOOKUP(Mon_ILR2[[#This Row],[New Model]],PhilipsLibary[],5,FALSE),"0")</f>
        <v>0</v>
      </c>
      <c r="W141" s="210">
        <f>Mon_ILR2[[#This Row],[Accessory Rate]]+Mon_ILR2[[#This Row],[Mounting Rate]]+Mon_ILR2[[#This Row],[Unit Rate]]*Mon_ILR2[[#This Row],[New Quantity Required ]]</f>
        <v>0</v>
      </c>
      <c r="X141" s="8"/>
      <c r="Y141" s="269" t="s">
        <v>2187</v>
      </c>
      <c r="Z141" s="6" t="s">
        <v>643</v>
      </c>
      <c r="AA141" s="6" t="s">
        <v>50</v>
      </c>
      <c r="AB141" s="6" t="s">
        <v>50</v>
      </c>
      <c r="AC141" s="6" t="s">
        <v>50</v>
      </c>
      <c r="AD141" s="6" t="s">
        <v>50</v>
      </c>
      <c r="AE141" s="6" t="s">
        <v>50</v>
      </c>
      <c r="AF141" s="6" t="s">
        <v>50</v>
      </c>
      <c r="AG141" s="6" t="s">
        <v>50</v>
      </c>
      <c r="AH141" s="6" t="s">
        <v>50</v>
      </c>
      <c r="AI141" s="6" t="s">
        <v>50</v>
      </c>
      <c r="AJ141" s="6" t="s">
        <v>50</v>
      </c>
      <c r="AK141" s="6" t="s">
        <v>50</v>
      </c>
      <c r="AL141" s="6" t="s">
        <v>52</v>
      </c>
      <c r="AM141" s="6" t="s">
        <v>50</v>
      </c>
      <c r="AN141" s="6" t="s">
        <v>50</v>
      </c>
      <c r="AO141" s="6" t="s">
        <v>54</v>
      </c>
    </row>
    <row r="142" spans="2:41" ht="120" x14ac:dyDescent="0.25">
      <c r="B142" s="207" t="s">
        <v>35</v>
      </c>
      <c r="C142" s="66" t="s">
        <v>36</v>
      </c>
      <c r="D142" s="4" t="s">
        <v>37</v>
      </c>
      <c r="E142" s="4" t="s">
        <v>1027</v>
      </c>
      <c r="F142" s="4" t="s">
        <v>920</v>
      </c>
      <c r="G142" s="4" t="s">
        <v>39</v>
      </c>
      <c r="H142" s="208">
        <v>1</v>
      </c>
      <c r="I142" s="4"/>
      <c r="J142" s="15"/>
      <c r="K142" s="4"/>
      <c r="L142" s="4"/>
      <c r="M142" s="4"/>
      <c r="N142" s="4"/>
      <c r="O142" s="4"/>
      <c r="P142" s="8"/>
      <c r="Q142" s="209">
        <f>Mon_ILR2[[#This Row],[Qty Required]]-Mon_ILR2[[#This Row],[QTY Transfer]]</f>
        <v>1</v>
      </c>
      <c r="R142" s="66" t="s">
        <v>905</v>
      </c>
      <c r="S142" s="66" t="s">
        <v>919</v>
      </c>
      <c r="T142" s="210">
        <f>_xlfn.IFNA(VLOOKUP(Mon_ILR2[[#This Row],[New Model]],PhilipsLibary[],4,FALSE),"0")</f>
        <v>745</v>
      </c>
      <c r="U142" s="210">
        <v>868</v>
      </c>
      <c r="V142" s="210">
        <v>1659</v>
      </c>
      <c r="W142" s="210">
        <f>Mon_ILR2[[#This Row],[Accessory Rate]]+Mon_ILR2[[#This Row],[Mounting Rate]]+Mon_ILR2[[#This Row],[Unit Rate]]*Mon_ILR2[[#This Row],[New Quantity Required ]]</f>
        <v>3272</v>
      </c>
      <c r="X142" s="8"/>
      <c r="Y142" s="246" t="s">
        <v>1059</v>
      </c>
      <c r="Z142" s="6" t="s">
        <v>45</v>
      </c>
      <c r="AA142" s="6" t="s">
        <v>46</v>
      </c>
      <c r="AB142" s="6" t="s">
        <v>47</v>
      </c>
      <c r="AC142" s="6" t="s">
        <v>48</v>
      </c>
      <c r="AD142" s="6" t="s">
        <v>49</v>
      </c>
      <c r="AE142" s="6" t="s">
        <v>50</v>
      </c>
      <c r="AF142" s="6" t="s">
        <v>50</v>
      </c>
      <c r="AG142" s="6" t="s">
        <v>50</v>
      </c>
      <c r="AH142" s="6" t="s">
        <v>50</v>
      </c>
      <c r="AI142" s="6" t="s">
        <v>51</v>
      </c>
      <c r="AJ142" s="6" t="s">
        <v>50</v>
      </c>
      <c r="AK142" s="6" t="s">
        <v>50</v>
      </c>
      <c r="AL142" s="6" t="s">
        <v>52</v>
      </c>
      <c r="AM142" s="6" t="s">
        <v>53</v>
      </c>
      <c r="AN142" s="6" t="s">
        <v>50</v>
      </c>
      <c r="AO142" s="6" t="s">
        <v>54</v>
      </c>
    </row>
    <row r="143" spans="2:41" ht="120" x14ac:dyDescent="0.25">
      <c r="B143" s="207" t="s">
        <v>35</v>
      </c>
      <c r="C143" s="66" t="s">
        <v>36</v>
      </c>
      <c r="D143" s="4" t="s">
        <v>55</v>
      </c>
      <c r="E143" s="4" t="s">
        <v>1027</v>
      </c>
      <c r="F143" s="4" t="s">
        <v>920</v>
      </c>
      <c r="G143" s="4" t="s">
        <v>39</v>
      </c>
      <c r="H143" s="208">
        <v>1</v>
      </c>
      <c r="I143" s="4"/>
      <c r="J143" s="15"/>
      <c r="K143" s="4"/>
      <c r="L143" s="4"/>
      <c r="M143" s="4"/>
      <c r="N143" s="4"/>
      <c r="O143" s="4"/>
      <c r="P143" s="8"/>
      <c r="Q143" s="209">
        <f>Mon_ILR2[[#This Row],[Qty Required]]-Mon_ILR2[[#This Row],[QTY Transfer]]</f>
        <v>1</v>
      </c>
      <c r="R143" s="66" t="s">
        <v>905</v>
      </c>
      <c r="S143" s="66" t="s">
        <v>919</v>
      </c>
      <c r="T143" s="210">
        <f>_xlfn.IFNA(VLOOKUP(Mon_ILR2[[#This Row],[New Model]],PhilipsLibary[],4,FALSE),"0")</f>
        <v>745</v>
      </c>
      <c r="U143" s="210">
        <v>868</v>
      </c>
      <c r="V143" s="210">
        <v>1659</v>
      </c>
      <c r="W143" s="210">
        <f>Mon_ILR2[[#This Row],[Accessory Rate]]+Mon_ILR2[[#This Row],[Mounting Rate]]+Mon_ILR2[[#This Row],[Unit Rate]]*Mon_ILR2[[#This Row],[New Quantity Required ]]</f>
        <v>3272</v>
      </c>
      <c r="X143" s="8"/>
      <c r="Y143" s="246" t="s">
        <v>1059</v>
      </c>
      <c r="Z143" s="6" t="s">
        <v>45</v>
      </c>
      <c r="AA143" s="6" t="s">
        <v>46</v>
      </c>
      <c r="AB143" s="6" t="s">
        <v>47</v>
      </c>
      <c r="AC143" s="6" t="s">
        <v>48</v>
      </c>
      <c r="AD143" s="6" t="s">
        <v>49</v>
      </c>
      <c r="AE143" s="6" t="s">
        <v>50</v>
      </c>
      <c r="AF143" s="6" t="s">
        <v>50</v>
      </c>
      <c r="AG143" s="6" t="s">
        <v>50</v>
      </c>
      <c r="AH143" s="6" t="s">
        <v>50</v>
      </c>
      <c r="AI143" s="6" t="s">
        <v>51</v>
      </c>
      <c r="AJ143" s="6" t="s">
        <v>50</v>
      </c>
      <c r="AK143" s="6" t="s">
        <v>50</v>
      </c>
      <c r="AL143" s="6" t="s">
        <v>52</v>
      </c>
      <c r="AM143" s="6" t="s">
        <v>53</v>
      </c>
      <c r="AN143" s="6" t="s">
        <v>50</v>
      </c>
      <c r="AO143" s="6" t="s">
        <v>54</v>
      </c>
    </row>
    <row r="144" spans="2:41" ht="120" x14ac:dyDescent="0.25">
      <c r="B144" s="207" t="s">
        <v>35</v>
      </c>
      <c r="C144" s="66" t="s">
        <v>803</v>
      </c>
      <c r="D144" s="4" t="s">
        <v>804</v>
      </c>
      <c r="E144" s="4" t="s">
        <v>1027</v>
      </c>
      <c r="F144" s="4" t="s">
        <v>920</v>
      </c>
      <c r="G144" s="4" t="s">
        <v>39</v>
      </c>
      <c r="H144" s="208">
        <v>1</v>
      </c>
      <c r="I144" s="4"/>
      <c r="J144" s="15"/>
      <c r="K144" s="4" t="str">
        <f>_xlfn.IFNA(VLOOKUP($J144,WH_Data[],6,FALSE),"")</f>
        <v/>
      </c>
      <c r="L144" s="4" t="str">
        <f>_xlfn.IFNA(VLOOKUP($J144,WH_Data[],3,FALSE),"")</f>
        <v/>
      </c>
      <c r="M144" s="4" t="str">
        <f>_xlfn.IFNA(VLOOKUP($J144,WH_Data[],5,FALSE),"")</f>
        <v/>
      </c>
      <c r="N144" s="4" t="str">
        <f>_xlfn.IFNA(VLOOKUP($J144,WH_Data[],7,FALSE),"")</f>
        <v/>
      </c>
      <c r="O144" s="4" t="str">
        <f>_xlfn.IFNA(VLOOKUP($J144,WH_Data[],8,FALSE),"")</f>
        <v/>
      </c>
      <c r="P144" s="8"/>
      <c r="Q144" s="209">
        <f>Mon_ILR2[[#This Row],[Qty Required]]-Mon_ILR2[[#This Row],[QTY Transfer]]</f>
        <v>1</v>
      </c>
      <c r="R144" s="66" t="s">
        <v>905</v>
      </c>
      <c r="S144" s="66" t="s">
        <v>919</v>
      </c>
      <c r="T144" s="210">
        <f>_xlfn.IFNA(VLOOKUP(Mon_ILR2[[#This Row],[New Model]],PhilipsLibary[],4,FALSE),"0")</f>
        <v>745</v>
      </c>
      <c r="U144" s="210">
        <v>868</v>
      </c>
      <c r="V144" s="210">
        <v>1659</v>
      </c>
      <c r="W144" s="210">
        <f>Mon_ILR2[[#This Row],[Accessory Rate]]+Mon_ILR2[[#This Row],[Mounting Rate]]+Mon_ILR2[[#This Row],[Unit Rate]]*Mon_ILR2[[#This Row],[New Quantity Required ]]</f>
        <v>3272</v>
      </c>
      <c r="X144" s="8"/>
      <c r="Y144" s="246" t="s">
        <v>1059</v>
      </c>
      <c r="Z144" s="6" t="s">
        <v>45</v>
      </c>
      <c r="AA144" s="6" t="s">
        <v>46</v>
      </c>
      <c r="AB144" s="6" t="s">
        <v>47</v>
      </c>
      <c r="AC144" s="6" t="s">
        <v>48</v>
      </c>
      <c r="AD144" s="6" t="s">
        <v>49</v>
      </c>
      <c r="AE144" s="6" t="s">
        <v>50</v>
      </c>
      <c r="AF144" s="6" t="s">
        <v>50</v>
      </c>
      <c r="AG144" s="6" t="s">
        <v>50</v>
      </c>
      <c r="AH144" s="6" t="s">
        <v>50</v>
      </c>
      <c r="AI144" s="6" t="s">
        <v>51</v>
      </c>
      <c r="AJ144" s="6" t="s">
        <v>50</v>
      </c>
      <c r="AK144" s="6" t="s">
        <v>50</v>
      </c>
      <c r="AL144" s="6" t="s">
        <v>52</v>
      </c>
      <c r="AM144" s="6" t="s">
        <v>53</v>
      </c>
      <c r="AN144" s="6" t="s">
        <v>50</v>
      </c>
      <c r="AO144" s="6" t="s">
        <v>54</v>
      </c>
    </row>
    <row r="145" spans="2:41" ht="120" x14ac:dyDescent="0.25">
      <c r="B145" s="207" t="s">
        <v>35</v>
      </c>
      <c r="C145" s="66" t="s">
        <v>803</v>
      </c>
      <c r="D145" s="4" t="s">
        <v>805</v>
      </c>
      <c r="E145" s="4" t="s">
        <v>1027</v>
      </c>
      <c r="F145" s="4" t="s">
        <v>920</v>
      </c>
      <c r="G145" s="4" t="s">
        <v>39</v>
      </c>
      <c r="H145" s="208">
        <v>1</v>
      </c>
      <c r="I145" s="4"/>
      <c r="J145" s="15"/>
      <c r="K145" s="4" t="str">
        <f>_xlfn.IFNA(VLOOKUP($J145,WH_Data[],6,FALSE),"")</f>
        <v/>
      </c>
      <c r="L145" s="4" t="str">
        <f>_xlfn.IFNA(VLOOKUP($J145,WH_Data[],3,FALSE),"")</f>
        <v/>
      </c>
      <c r="M145" s="4" t="str">
        <f>_xlfn.IFNA(VLOOKUP($J145,WH_Data[],5,FALSE),"")</f>
        <v/>
      </c>
      <c r="N145" s="4" t="str">
        <f>_xlfn.IFNA(VLOOKUP($J145,WH_Data[],7,FALSE),"")</f>
        <v/>
      </c>
      <c r="O145" s="4" t="str">
        <f>_xlfn.IFNA(VLOOKUP($J145,WH_Data[],8,FALSE),"")</f>
        <v/>
      </c>
      <c r="P145" s="8"/>
      <c r="Q145" s="209">
        <f>Mon_ILR2[[#This Row],[Qty Required]]-Mon_ILR2[[#This Row],[QTY Transfer]]</f>
        <v>1</v>
      </c>
      <c r="R145" s="66" t="s">
        <v>905</v>
      </c>
      <c r="S145" s="66" t="s">
        <v>919</v>
      </c>
      <c r="T145" s="210">
        <f>_xlfn.IFNA(VLOOKUP(Mon_ILR2[[#This Row],[New Model]],PhilipsLibary[],4,FALSE),"0")</f>
        <v>745</v>
      </c>
      <c r="U145" s="210">
        <v>868</v>
      </c>
      <c r="V145" s="210">
        <v>1659</v>
      </c>
      <c r="W145" s="210">
        <f>Mon_ILR2[[#This Row],[Accessory Rate]]+Mon_ILR2[[#This Row],[Mounting Rate]]+Mon_ILR2[[#This Row],[Unit Rate]]*Mon_ILR2[[#This Row],[New Quantity Required ]]</f>
        <v>3272</v>
      </c>
      <c r="X145" s="8"/>
      <c r="Y145" s="246" t="s">
        <v>1059</v>
      </c>
      <c r="Z145" s="6" t="s">
        <v>45</v>
      </c>
      <c r="AA145" s="6" t="s">
        <v>46</v>
      </c>
      <c r="AB145" s="6" t="s">
        <v>47</v>
      </c>
      <c r="AC145" s="6" t="s">
        <v>48</v>
      </c>
      <c r="AD145" s="6" t="s">
        <v>49</v>
      </c>
      <c r="AE145" s="6" t="s">
        <v>50</v>
      </c>
      <c r="AF145" s="6" t="s">
        <v>50</v>
      </c>
      <c r="AG145" s="6" t="s">
        <v>50</v>
      </c>
      <c r="AH145" s="6" t="s">
        <v>50</v>
      </c>
      <c r="AI145" s="6" t="s">
        <v>51</v>
      </c>
      <c r="AJ145" s="6" t="s">
        <v>50</v>
      </c>
      <c r="AK145" s="6" t="s">
        <v>50</v>
      </c>
      <c r="AL145" s="6" t="s">
        <v>52</v>
      </c>
      <c r="AM145" s="6" t="s">
        <v>53</v>
      </c>
      <c r="AN145" s="6" t="s">
        <v>50</v>
      </c>
      <c r="AO145" s="6" t="s">
        <v>54</v>
      </c>
    </row>
    <row r="146" spans="2:41" ht="120" x14ac:dyDescent="0.25">
      <c r="B146" s="207" t="s">
        <v>35</v>
      </c>
      <c r="C146" s="66" t="s">
        <v>803</v>
      </c>
      <c r="D146" s="4" t="s">
        <v>806</v>
      </c>
      <c r="E146" s="4" t="s">
        <v>1027</v>
      </c>
      <c r="F146" s="4" t="s">
        <v>920</v>
      </c>
      <c r="G146" s="4" t="s">
        <v>39</v>
      </c>
      <c r="H146" s="208">
        <v>1</v>
      </c>
      <c r="I146" s="4"/>
      <c r="J146" s="15"/>
      <c r="K146" s="4" t="str">
        <f>_xlfn.IFNA(VLOOKUP($J146,WH_Data[],6,FALSE),"")</f>
        <v/>
      </c>
      <c r="L146" s="4" t="str">
        <f>_xlfn.IFNA(VLOOKUP($J146,WH_Data[],3,FALSE),"")</f>
        <v/>
      </c>
      <c r="M146" s="4" t="str">
        <f>_xlfn.IFNA(VLOOKUP($J146,WH_Data[],5,FALSE),"")</f>
        <v/>
      </c>
      <c r="N146" s="4" t="str">
        <f>_xlfn.IFNA(VLOOKUP($J146,WH_Data[],7,FALSE),"")</f>
        <v/>
      </c>
      <c r="O146" s="4" t="str">
        <f>_xlfn.IFNA(VLOOKUP($J146,WH_Data[],8,FALSE),"")</f>
        <v/>
      </c>
      <c r="P146" s="8"/>
      <c r="Q146" s="209">
        <f>Mon_ILR2[[#This Row],[Qty Required]]-Mon_ILR2[[#This Row],[QTY Transfer]]</f>
        <v>1</v>
      </c>
      <c r="R146" s="66" t="s">
        <v>905</v>
      </c>
      <c r="S146" s="66" t="s">
        <v>919</v>
      </c>
      <c r="T146" s="210">
        <f>_xlfn.IFNA(VLOOKUP(Mon_ILR2[[#This Row],[New Model]],PhilipsLibary[],4,FALSE),"0")</f>
        <v>745</v>
      </c>
      <c r="U146" s="210">
        <v>868</v>
      </c>
      <c r="V146" s="210">
        <v>1659</v>
      </c>
      <c r="W146" s="210">
        <f>Mon_ILR2[[#This Row],[Accessory Rate]]+Mon_ILR2[[#This Row],[Mounting Rate]]+Mon_ILR2[[#This Row],[Unit Rate]]*Mon_ILR2[[#This Row],[New Quantity Required ]]</f>
        <v>3272</v>
      </c>
      <c r="X146" s="8"/>
      <c r="Y146" s="246" t="s">
        <v>1059</v>
      </c>
      <c r="Z146" s="6" t="s">
        <v>45</v>
      </c>
      <c r="AA146" s="6" t="s">
        <v>46</v>
      </c>
      <c r="AB146" s="6" t="s">
        <v>47</v>
      </c>
      <c r="AC146" s="6" t="s">
        <v>48</v>
      </c>
      <c r="AD146" s="6" t="s">
        <v>49</v>
      </c>
      <c r="AE146" s="6" t="s">
        <v>50</v>
      </c>
      <c r="AF146" s="6" t="s">
        <v>50</v>
      </c>
      <c r="AG146" s="6" t="s">
        <v>50</v>
      </c>
      <c r="AH146" s="6" t="s">
        <v>50</v>
      </c>
      <c r="AI146" s="6" t="s">
        <v>51</v>
      </c>
      <c r="AJ146" s="6" t="s">
        <v>50</v>
      </c>
      <c r="AK146" s="6" t="s">
        <v>50</v>
      </c>
      <c r="AL146" s="6" t="s">
        <v>52</v>
      </c>
      <c r="AM146" s="6" t="s">
        <v>53</v>
      </c>
      <c r="AN146" s="6" t="s">
        <v>50</v>
      </c>
      <c r="AO146" s="6" t="s">
        <v>54</v>
      </c>
    </row>
    <row r="147" spans="2:41" ht="120" x14ac:dyDescent="0.25">
      <c r="B147" s="207" t="s">
        <v>35</v>
      </c>
      <c r="C147" s="66" t="s">
        <v>803</v>
      </c>
      <c r="D147" s="4" t="s">
        <v>810</v>
      </c>
      <c r="E147" s="4" t="s">
        <v>1027</v>
      </c>
      <c r="F147" s="4" t="s">
        <v>920</v>
      </c>
      <c r="G147" s="4" t="s">
        <v>39</v>
      </c>
      <c r="H147" s="208">
        <v>1</v>
      </c>
      <c r="I147" s="4"/>
      <c r="J147" s="15"/>
      <c r="K147" s="4" t="str">
        <f>_xlfn.IFNA(VLOOKUP($J147,WH_Data[],6,FALSE),"")</f>
        <v/>
      </c>
      <c r="L147" s="4" t="str">
        <f>_xlfn.IFNA(VLOOKUP($J147,WH_Data[],3,FALSE),"")</f>
        <v/>
      </c>
      <c r="M147" s="4" t="str">
        <f>_xlfn.IFNA(VLOOKUP($J147,WH_Data[],5,FALSE),"")</f>
        <v/>
      </c>
      <c r="N147" s="4" t="str">
        <f>_xlfn.IFNA(VLOOKUP($J147,WH_Data[],7,FALSE),"")</f>
        <v/>
      </c>
      <c r="O147" s="4" t="str">
        <f>_xlfn.IFNA(VLOOKUP($J147,WH_Data[],8,FALSE),"")</f>
        <v/>
      </c>
      <c r="P147" s="8"/>
      <c r="Q147" s="209">
        <f>Mon_ILR2[[#This Row],[Qty Required]]-Mon_ILR2[[#This Row],[QTY Transfer]]</f>
        <v>1</v>
      </c>
      <c r="R147" s="66" t="s">
        <v>905</v>
      </c>
      <c r="S147" s="66" t="s">
        <v>919</v>
      </c>
      <c r="T147" s="210">
        <f>_xlfn.IFNA(VLOOKUP(Mon_ILR2[[#This Row],[New Model]],PhilipsLibary[],4,FALSE),"0")</f>
        <v>745</v>
      </c>
      <c r="U147" s="210">
        <v>868</v>
      </c>
      <c r="V147" s="210">
        <v>1659</v>
      </c>
      <c r="W147" s="210">
        <f>Mon_ILR2[[#This Row],[Accessory Rate]]+Mon_ILR2[[#This Row],[Mounting Rate]]+Mon_ILR2[[#This Row],[Unit Rate]]*Mon_ILR2[[#This Row],[New Quantity Required ]]</f>
        <v>3272</v>
      </c>
      <c r="X147" s="8"/>
      <c r="Y147" s="246" t="s">
        <v>1059</v>
      </c>
      <c r="Z147" s="6" t="s">
        <v>45</v>
      </c>
      <c r="AA147" s="6" t="s">
        <v>46</v>
      </c>
      <c r="AB147" s="6" t="s">
        <v>47</v>
      </c>
      <c r="AC147" s="6" t="s">
        <v>48</v>
      </c>
      <c r="AD147" s="6" t="s">
        <v>49</v>
      </c>
      <c r="AE147" s="6" t="s">
        <v>50</v>
      </c>
      <c r="AF147" s="6" t="s">
        <v>50</v>
      </c>
      <c r="AG147" s="6" t="s">
        <v>50</v>
      </c>
      <c r="AH147" s="6" t="s">
        <v>50</v>
      </c>
      <c r="AI147" s="6" t="s">
        <v>51</v>
      </c>
      <c r="AJ147" s="6" t="s">
        <v>50</v>
      </c>
      <c r="AK147" s="6" t="s">
        <v>50</v>
      </c>
      <c r="AL147" s="6" t="s">
        <v>52</v>
      </c>
      <c r="AM147" s="6" t="s">
        <v>53</v>
      </c>
      <c r="AN147" s="6" t="s">
        <v>50</v>
      </c>
      <c r="AO147" s="6" t="s">
        <v>54</v>
      </c>
    </row>
    <row r="148" spans="2:41" ht="120" x14ac:dyDescent="0.25">
      <c r="B148" s="207" t="s">
        <v>35</v>
      </c>
      <c r="C148" s="66" t="s">
        <v>803</v>
      </c>
      <c r="D148" s="4" t="s">
        <v>811</v>
      </c>
      <c r="E148" s="4" t="s">
        <v>1027</v>
      </c>
      <c r="F148" s="4" t="s">
        <v>920</v>
      </c>
      <c r="G148" s="4" t="s">
        <v>39</v>
      </c>
      <c r="H148" s="208">
        <v>1</v>
      </c>
      <c r="I148" s="4"/>
      <c r="J148" s="15"/>
      <c r="K148" s="4" t="str">
        <f>_xlfn.IFNA(VLOOKUP($J148,WH_Data[],6,FALSE),"")</f>
        <v/>
      </c>
      <c r="L148" s="4" t="str">
        <f>_xlfn.IFNA(VLOOKUP($J148,WH_Data[],3,FALSE),"")</f>
        <v/>
      </c>
      <c r="M148" s="4" t="str">
        <f>_xlfn.IFNA(VLOOKUP($J148,WH_Data[],5,FALSE),"")</f>
        <v/>
      </c>
      <c r="N148" s="4" t="str">
        <f>_xlfn.IFNA(VLOOKUP($J148,WH_Data[],7,FALSE),"")</f>
        <v/>
      </c>
      <c r="O148" s="4" t="str">
        <f>_xlfn.IFNA(VLOOKUP($J148,WH_Data[],8,FALSE),"")</f>
        <v/>
      </c>
      <c r="P148" s="8"/>
      <c r="Q148" s="209">
        <f>Mon_ILR2[[#This Row],[Qty Required]]-Mon_ILR2[[#This Row],[QTY Transfer]]</f>
        <v>1</v>
      </c>
      <c r="R148" s="66" t="s">
        <v>905</v>
      </c>
      <c r="S148" s="66" t="s">
        <v>919</v>
      </c>
      <c r="T148" s="210">
        <f>_xlfn.IFNA(VLOOKUP(Mon_ILR2[[#This Row],[New Model]],PhilipsLibary[],4,FALSE),"0")</f>
        <v>745</v>
      </c>
      <c r="U148" s="210">
        <v>868</v>
      </c>
      <c r="V148" s="210">
        <v>1659</v>
      </c>
      <c r="W148" s="210">
        <f>Mon_ILR2[[#This Row],[Accessory Rate]]+Mon_ILR2[[#This Row],[Mounting Rate]]+Mon_ILR2[[#This Row],[Unit Rate]]*Mon_ILR2[[#This Row],[New Quantity Required ]]</f>
        <v>3272</v>
      </c>
      <c r="X148" s="8"/>
      <c r="Y148" s="246" t="s">
        <v>1059</v>
      </c>
      <c r="Z148" s="6" t="s">
        <v>45</v>
      </c>
      <c r="AA148" s="6" t="s">
        <v>46</v>
      </c>
      <c r="AB148" s="6" t="s">
        <v>47</v>
      </c>
      <c r="AC148" s="6" t="s">
        <v>48</v>
      </c>
      <c r="AD148" s="6" t="s">
        <v>49</v>
      </c>
      <c r="AE148" s="6" t="s">
        <v>50</v>
      </c>
      <c r="AF148" s="6" t="s">
        <v>50</v>
      </c>
      <c r="AG148" s="6" t="s">
        <v>50</v>
      </c>
      <c r="AH148" s="6" t="s">
        <v>50</v>
      </c>
      <c r="AI148" s="6" t="s">
        <v>51</v>
      </c>
      <c r="AJ148" s="6" t="s">
        <v>50</v>
      </c>
      <c r="AK148" s="6" t="s">
        <v>50</v>
      </c>
      <c r="AL148" s="6" t="s">
        <v>52</v>
      </c>
      <c r="AM148" s="6" t="s">
        <v>53</v>
      </c>
      <c r="AN148" s="6" t="s">
        <v>50</v>
      </c>
      <c r="AO148" s="6" t="s">
        <v>54</v>
      </c>
    </row>
    <row r="149" spans="2:41" ht="60" customHeight="1" x14ac:dyDescent="0.25">
      <c r="B149" s="207" t="s">
        <v>35</v>
      </c>
      <c r="C149" s="66" t="s">
        <v>803</v>
      </c>
      <c r="D149" s="4" t="s">
        <v>812</v>
      </c>
      <c r="E149" s="4" t="s">
        <v>1027</v>
      </c>
      <c r="F149" s="4" t="s">
        <v>920</v>
      </c>
      <c r="G149" s="4" t="s">
        <v>39</v>
      </c>
      <c r="H149" s="208">
        <v>1</v>
      </c>
      <c r="I149" s="4"/>
      <c r="J149" s="15"/>
      <c r="K149" s="4" t="str">
        <f>_xlfn.IFNA(VLOOKUP($J149,WH_Data[],6,FALSE),"")</f>
        <v/>
      </c>
      <c r="L149" s="4" t="str">
        <f>_xlfn.IFNA(VLOOKUP($J149,WH_Data[],3,FALSE),"")</f>
        <v/>
      </c>
      <c r="M149" s="4" t="str">
        <f>_xlfn.IFNA(VLOOKUP($J149,WH_Data[],5,FALSE),"")</f>
        <v/>
      </c>
      <c r="N149" s="4" t="str">
        <f>_xlfn.IFNA(VLOOKUP($J149,WH_Data[],7,FALSE),"")</f>
        <v/>
      </c>
      <c r="O149" s="4" t="str">
        <f>_xlfn.IFNA(VLOOKUP($J149,WH_Data[],8,FALSE),"")</f>
        <v/>
      </c>
      <c r="P149" s="8"/>
      <c r="Q149" s="209">
        <f>Mon_ILR2[[#This Row],[Qty Required]]-Mon_ILR2[[#This Row],[QTY Transfer]]</f>
        <v>1</v>
      </c>
      <c r="R149" s="66" t="s">
        <v>905</v>
      </c>
      <c r="S149" s="66" t="s">
        <v>919</v>
      </c>
      <c r="T149" s="210">
        <f>_xlfn.IFNA(VLOOKUP(Mon_ILR2[[#This Row],[New Model]],PhilipsLibary[],4,FALSE),"0")</f>
        <v>745</v>
      </c>
      <c r="U149" s="210">
        <v>868</v>
      </c>
      <c r="V149" s="210">
        <v>1659</v>
      </c>
      <c r="W149" s="210">
        <f>Mon_ILR2[[#This Row],[Accessory Rate]]+Mon_ILR2[[#This Row],[Mounting Rate]]+Mon_ILR2[[#This Row],[Unit Rate]]*Mon_ILR2[[#This Row],[New Quantity Required ]]</f>
        <v>3272</v>
      </c>
      <c r="X149" s="8"/>
      <c r="Y149" s="246" t="s">
        <v>1059</v>
      </c>
      <c r="Z149" s="6" t="s">
        <v>45</v>
      </c>
      <c r="AA149" s="6" t="s">
        <v>46</v>
      </c>
      <c r="AB149" s="6" t="s">
        <v>47</v>
      </c>
      <c r="AC149" s="6" t="s">
        <v>48</v>
      </c>
      <c r="AD149" s="6" t="s">
        <v>49</v>
      </c>
      <c r="AE149" s="6" t="s">
        <v>50</v>
      </c>
      <c r="AF149" s="6" t="s">
        <v>50</v>
      </c>
      <c r="AG149" s="6" t="s">
        <v>50</v>
      </c>
      <c r="AH149" s="6" t="s">
        <v>50</v>
      </c>
      <c r="AI149" s="6" t="s">
        <v>51</v>
      </c>
      <c r="AJ149" s="6" t="s">
        <v>50</v>
      </c>
      <c r="AK149" s="6" t="s">
        <v>50</v>
      </c>
      <c r="AL149" s="6" t="s">
        <v>52</v>
      </c>
      <c r="AM149" s="6" t="s">
        <v>53</v>
      </c>
      <c r="AN149" s="6" t="s">
        <v>50</v>
      </c>
      <c r="AO149" s="6" t="s">
        <v>54</v>
      </c>
    </row>
    <row r="150" spans="2:41" ht="60" customHeight="1" x14ac:dyDescent="0.25">
      <c r="B150" s="207" t="s">
        <v>35</v>
      </c>
      <c r="C150" s="66" t="s">
        <v>803</v>
      </c>
      <c r="D150" s="4" t="s">
        <v>813</v>
      </c>
      <c r="E150" s="4" t="s">
        <v>1027</v>
      </c>
      <c r="F150" s="4" t="s">
        <v>920</v>
      </c>
      <c r="G150" s="4" t="s">
        <v>39</v>
      </c>
      <c r="H150" s="208">
        <v>1</v>
      </c>
      <c r="I150" s="4"/>
      <c r="J150" s="15"/>
      <c r="K150" s="4" t="str">
        <f>_xlfn.IFNA(VLOOKUP($J150,WH_Data[],6,FALSE),"")</f>
        <v/>
      </c>
      <c r="L150" s="4" t="str">
        <f>_xlfn.IFNA(VLOOKUP($J150,WH_Data[],3,FALSE),"")</f>
        <v/>
      </c>
      <c r="M150" s="4" t="str">
        <f>_xlfn.IFNA(VLOOKUP($J150,WH_Data[],5,FALSE),"")</f>
        <v/>
      </c>
      <c r="N150" s="4" t="str">
        <f>_xlfn.IFNA(VLOOKUP($J150,WH_Data[],7,FALSE),"")</f>
        <v/>
      </c>
      <c r="O150" s="4" t="str">
        <f>_xlfn.IFNA(VLOOKUP($J150,WH_Data[],8,FALSE),"")</f>
        <v/>
      </c>
      <c r="P150" s="8"/>
      <c r="Q150" s="209">
        <f>Mon_ILR2[[#This Row],[Qty Required]]-Mon_ILR2[[#This Row],[QTY Transfer]]</f>
        <v>1</v>
      </c>
      <c r="R150" s="66" t="s">
        <v>905</v>
      </c>
      <c r="S150" s="66" t="s">
        <v>919</v>
      </c>
      <c r="T150" s="210">
        <f>_xlfn.IFNA(VLOOKUP(Mon_ILR2[[#This Row],[New Model]],PhilipsLibary[],4,FALSE),"0")</f>
        <v>745</v>
      </c>
      <c r="U150" s="210">
        <v>868</v>
      </c>
      <c r="V150" s="210">
        <v>1659</v>
      </c>
      <c r="W150" s="210">
        <f>Mon_ILR2[[#This Row],[Accessory Rate]]+Mon_ILR2[[#This Row],[Mounting Rate]]+Mon_ILR2[[#This Row],[Unit Rate]]*Mon_ILR2[[#This Row],[New Quantity Required ]]</f>
        <v>3272</v>
      </c>
      <c r="X150" s="8"/>
      <c r="Y150" s="246" t="s">
        <v>1059</v>
      </c>
      <c r="Z150" s="6" t="s">
        <v>45</v>
      </c>
      <c r="AA150" s="6" t="s">
        <v>46</v>
      </c>
      <c r="AB150" s="6" t="s">
        <v>47</v>
      </c>
      <c r="AC150" s="6" t="s">
        <v>48</v>
      </c>
      <c r="AD150" s="6" t="s">
        <v>49</v>
      </c>
      <c r="AE150" s="6" t="s">
        <v>50</v>
      </c>
      <c r="AF150" s="6" t="s">
        <v>50</v>
      </c>
      <c r="AG150" s="6" t="s">
        <v>50</v>
      </c>
      <c r="AH150" s="6" t="s">
        <v>50</v>
      </c>
      <c r="AI150" s="6" t="s">
        <v>51</v>
      </c>
      <c r="AJ150" s="6" t="s">
        <v>50</v>
      </c>
      <c r="AK150" s="6" t="s">
        <v>50</v>
      </c>
      <c r="AL150" s="6" t="s">
        <v>52</v>
      </c>
      <c r="AM150" s="6" t="s">
        <v>53</v>
      </c>
      <c r="AN150" s="6" t="s">
        <v>50</v>
      </c>
      <c r="AO150" s="6" t="s">
        <v>54</v>
      </c>
    </row>
    <row r="151" spans="2:41" ht="60" customHeight="1" x14ac:dyDescent="0.25">
      <c r="B151" s="207" t="s">
        <v>35</v>
      </c>
      <c r="C151" s="66" t="s">
        <v>803</v>
      </c>
      <c r="D151" s="4" t="s">
        <v>814</v>
      </c>
      <c r="E151" s="4" t="s">
        <v>1027</v>
      </c>
      <c r="F151" s="4" t="s">
        <v>920</v>
      </c>
      <c r="G151" s="4" t="s">
        <v>39</v>
      </c>
      <c r="H151" s="208">
        <v>1</v>
      </c>
      <c r="I151" s="4"/>
      <c r="J151" s="15"/>
      <c r="K151" s="4" t="str">
        <f>_xlfn.IFNA(VLOOKUP($J151,WH_Data[],6,FALSE),"")</f>
        <v/>
      </c>
      <c r="L151" s="4" t="str">
        <f>_xlfn.IFNA(VLOOKUP($J151,WH_Data[],3,FALSE),"")</f>
        <v/>
      </c>
      <c r="M151" s="4" t="str">
        <f>_xlfn.IFNA(VLOOKUP($J151,WH_Data[],5,FALSE),"")</f>
        <v/>
      </c>
      <c r="N151" s="4" t="str">
        <f>_xlfn.IFNA(VLOOKUP($J151,WH_Data[],7,FALSE),"")</f>
        <v/>
      </c>
      <c r="O151" s="4" t="str">
        <f>_xlfn.IFNA(VLOOKUP($J151,WH_Data[],8,FALSE),"")</f>
        <v/>
      </c>
      <c r="P151" s="8"/>
      <c r="Q151" s="209">
        <f>Mon_ILR2[[#This Row],[Qty Required]]-Mon_ILR2[[#This Row],[QTY Transfer]]</f>
        <v>1</v>
      </c>
      <c r="R151" s="66" t="s">
        <v>905</v>
      </c>
      <c r="S151" s="66" t="s">
        <v>919</v>
      </c>
      <c r="T151" s="210">
        <f>_xlfn.IFNA(VLOOKUP(Mon_ILR2[[#This Row],[New Model]],PhilipsLibary[],4,FALSE),"0")</f>
        <v>745</v>
      </c>
      <c r="U151" s="210">
        <v>868</v>
      </c>
      <c r="V151" s="210">
        <v>1659</v>
      </c>
      <c r="W151" s="210">
        <f>Mon_ILR2[[#This Row],[Accessory Rate]]+Mon_ILR2[[#This Row],[Mounting Rate]]+Mon_ILR2[[#This Row],[Unit Rate]]*Mon_ILR2[[#This Row],[New Quantity Required ]]</f>
        <v>3272</v>
      </c>
      <c r="X151" s="8"/>
      <c r="Y151" s="246" t="s">
        <v>1059</v>
      </c>
      <c r="Z151" s="6" t="s">
        <v>45</v>
      </c>
      <c r="AA151" s="6" t="s">
        <v>46</v>
      </c>
      <c r="AB151" s="6" t="s">
        <v>47</v>
      </c>
      <c r="AC151" s="6" t="s">
        <v>48</v>
      </c>
      <c r="AD151" s="6" t="s">
        <v>49</v>
      </c>
      <c r="AE151" s="6" t="s">
        <v>50</v>
      </c>
      <c r="AF151" s="6" t="s">
        <v>50</v>
      </c>
      <c r="AG151" s="6" t="s">
        <v>50</v>
      </c>
      <c r="AH151" s="6" t="s">
        <v>50</v>
      </c>
      <c r="AI151" s="6" t="s">
        <v>51</v>
      </c>
      <c r="AJ151" s="6" t="s">
        <v>50</v>
      </c>
      <c r="AK151" s="6" t="s">
        <v>50</v>
      </c>
      <c r="AL151" s="6" t="s">
        <v>52</v>
      </c>
      <c r="AM151" s="6" t="s">
        <v>53</v>
      </c>
      <c r="AN151" s="6" t="s">
        <v>50</v>
      </c>
      <c r="AO151" s="6" t="s">
        <v>54</v>
      </c>
    </row>
    <row r="152" spans="2:41" ht="60" customHeight="1" x14ac:dyDescent="0.25">
      <c r="B152" s="207" t="s">
        <v>35</v>
      </c>
      <c r="C152" s="66" t="s">
        <v>796</v>
      </c>
      <c r="D152" s="4" t="s">
        <v>842</v>
      </c>
      <c r="E152" s="4" t="s">
        <v>1025</v>
      </c>
      <c r="F152" s="4" t="s">
        <v>654</v>
      </c>
      <c r="G152" s="304" t="s">
        <v>39</v>
      </c>
      <c r="H152" s="208">
        <v>2</v>
      </c>
      <c r="I152" s="4"/>
      <c r="J152" s="15"/>
      <c r="K152" s="4" t="str">
        <f>_xlfn.IFNA(VLOOKUP($J152,WH_Data[],6,FALSE),"")</f>
        <v/>
      </c>
      <c r="L152" s="4" t="str">
        <f>_xlfn.IFNA(VLOOKUP($J152,WH_Data[],3,FALSE),"")</f>
        <v/>
      </c>
      <c r="M152" s="4" t="str">
        <f>_xlfn.IFNA(VLOOKUP($J152,WH_Data[],5,FALSE),"")</f>
        <v/>
      </c>
      <c r="N152" s="4" t="str">
        <f>_xlfn.IFNA(VLOOKUP($J152,WH_Data[],7,FALSE),"")</f>
        <v/>
      </c>
      <c r="O152" s="4" t="str">
        <f>_xlfn.IFNA(VLOOKUP($J152,WH_Data[],8,FALSE),"")</f>
        <v/>
      </c>
      <c r="P152" s="8"/>
      <c r="Q152" s="209">
        <f>Mon_ILR2[[#This Row],[Qty Required]]-Mon_ILR2[[#This Row],[QTY Transfer]]</f>
        <v>2</v>
      </c>
      <c r="R152" s="66" t="s">
        <v>905</v>
      </c>
      <c r="S152" s="66" t="s">
        <v>903</v>
      </c>
      <c r="T152" s="210">
        <f>_xlfn.IFNA(VLOOKUP(Mon_ILR2[[#This Row],[New Model]],PhilipsLibary[],4,FALSE),"0")</f>
        <v>2362</v>
      </c>
      <c r="U152" s="303">
        <v>398</v>
      </c>
      <c r="V152" s="210">
        <f>_xlfn.IFNA(VLOOKUP(Mon_ILR2[[#This Row],[New Model]],PhilipsLibary[],5,FALSE),"0")</f>
        <v>0</v>
      </c>
      <c r="W152" s="210">
        <f>Mon_ILR2[[#This Row],[Accessory Rate]]+Mon_ILR2[[#This Row],[Mounting Rate]]+Mon_ILR2[[#This Row],[Unit Rate]]*Mon_ILR2[[#This Row],[New Quantity Required ]]</f>
        <v>5122</v>
      </c>
      <c r="X152" s="8"/>
      <c r="Y152" s="302" t="s">
        <v>2189</v>
      </c>
    </row>
    <row r="153" spans="2:41" ht="60" customHeight="1" x14ac:dyDescent="0.25">
      <c r="B153" s="207" t="s">
        <v>35</v>
      </c>
      <c r="C153" s="66" t="s">
        <v>58</v>
      </c>
      <c r="D153" s="4" t="s">
        <v>59</v>
      </c>
      <c r="E153" s="4" t="s">
        <v>1027</v>
      </c>
      <c r="F153" s="4" t="s">
        <v>932</v>
      </c>
      <c r="G153" s="4" t="s">
        <v>39</v>
      </c>
      <c r="H153" s="208">
        <v>1</v>
      </c>
      <c r="I153" s="4"/>
      <c r="J153" s="15" t="s">
        <v>60</v>
      </c>
      <c r="K153" s="4" t="s">
        <v>38</v>
      </c>
      <c r="L153" s="4" t="s">
        <v>41</v>
      </c>
      <c r="M153" s="4" t="s">
        <v>42</v>
      </c>
      <c r="N153" s="4" t="s">
        <v>61</v>
      </c>
      <c r="O153" s="4" t="s">
        <v>44</v>
      </c>
      <c r="P153" s="8">
        <v>0</v>
      </c>
      <c r="Q153" s="209">
        <f>Mon_ILR2[[#This Row],[Qty Required]]-Mon_ILR2[[#This Row],[QTY Transfer]]</f>
        <v>1</v>
      </c>
      <c r="R153" s="66" t="s">
        <v>905</v>
      </c>
      <c r="S153" s="66" t="s">
        <v>934</v>
      </c>
      <c r="T153" s="210">
        <v>7489</v>
      </c>
      <c r="U153" s="210">
        <f>_xlfn.IFNA(VLOOKUP(Mon_ILR2[[#This Row],[New Model]],PhilipsLibary[],5,FALSE),"0")</f>
        <v>1127</v>
      </c>
      <c r="V153" s="210">
        <v>1879</v>
      </c>
      <c r="W153" s="210">
        <f>Mon_ILR2[[#This Row],[Accessory Rate]]+Mon_ILR2[[#This Row],[Mounting Rate]]+Mon_ILR2[[#This Row],[Unit Rate]]*Mon_ILR2[[#This Row],[New Quantity Required ]]</f>
        <v>10495</v>
      </c>
      <c r="X153" s="8"/>
      <c r="Y153" s="246" t="s">
        <v>1060</v>
      </c>
      <c r="Z153" s="6" t="s">
        <v>45</v>
      </c>
      <c r="AA153" s="6" t="s">
        <v>46</v>
      </c>
      <c r="AB153" s="6" t="s">
        <v>47</v>
      </c>
      <c r="AC153" s="6" t="s">
        <v>48</v>
      </c>
      <c r="AD153" s="6" t="s">
        <v>49</v>
      </c>
      <c r="AE153" s="6" t="s">
        <v>50</v>
      </c>
      <c r="AF153" s="6" t="s">
        <v>50</v>
      </c>
      <c r="AG153" s="6" t="s">
        <v>50</v>
      </c>
      <c r="AH153" s="6" t="s">
        <v>50</v>
      </c>
      <c r="AI153" s="6" t="s">
        <v>51</v>
      </c>
      <c r="AJ153" s="6" t="s">
        <v>50</v>
      </c>
      <c r="AK153" s="6" t="s">
        <v>50</v>
      </c>
      <c r="AL153" s="6" t="s">
        <v>52</v>
      </c>
      <c r="AM153" s="6" t="s">
        <v>53</v>
      </c>
      <c r="AN153" s="6" t="s">
        <v>50</v>
      </c>
      <c r="AO153" s="6" t="s">
        <v>54</v>
      </c>
    </row>
    <row r="154" spans="2:41" ht="60" customHeight="1" x14ac:dyDescent="0.25">
      <c r="B154" s="207" t="s">
        <v>35</v>
      </c>
      <c r="C154" s="66" t="s">
        <v>58</v>
      </c>
      <c r="D154" s="4" t="s">
        <v>62</v>
      </c>
      <c r="E154" s="4" t="s">
        <v>1027</v>
      </c>
      <c r="F154" s="4" t="s">
        <v>932</v>
      </c>
      <c r="G154" s="4" t="s">
        <v>39</v>
      </c>
      <c r="H154" s="208">
        <v>1</v>
      </c>
      <c r="I154" s="4"/>
      <c r="J154" s="15" t="s">
        <v>63</v>
      </c>
      <c r="K154" s="4" t="s">
        <v>38</v>
      </c>
      <c r="L154" s="4" t="s">
        <v>41</v>
      </c>
      <c r="M154" s="4" t="s">
        <v>64</v>
      </c>
      <c r="N154" s="4" t="s">
        <v>65</v>
      </c>
      <c r="O154" s="4" t="s">
        <v>66</v>
      </c>
      <c r="P154" s="8">
        <v>0</v>
      </c>
      <c r="Q154" s="209">
        <f>Mon_ILR2[[#This Row],[Qty Required]]-Mon_ILR2[[#This Row],[QTY Transfer]]</f>
        <v>1</v>
      </c>
      <c r="R154" s="66" t="s">
        <v>905</v>
      </c>
      <c r="S154" s="66" t="s">
        <v>934</v>
      </c>
      <c r="T154" s="210">
        <v>7489</v>
      </c>
      <c r="U154" s="210">
        <f>_xlfn.IFNA(VLOOKUP(Mon_ILR2[[#This Row],[New Model]],PhilipsLibary[],5,FALSE),"0")</f>
        <v>1127</v>
      </c>
      <c r="V154" s="210">
        <v>1879</v>
      </c>
      <c r="W154" s="210">
        <f>Mon_ILR2[[#This Row],[Accessory Rate]]+Mon_ILR2[[#This Row],[Mounting Rate]]+Mon_ILR2[[#This Row],[Unit Rate]]*Mon_ILR2[[#This Row],[New Quantity Required ]]</f>
        <v>10495</v>
      </c>
      <c r="X154" s="8"/>
      <c r="Y154" s="246" t="s">
        <v>1060</v>
      </c>
      <c r="Z154" s="6" t="s">
        <v>45</v>
      </c>
      <c r="AA154" s="6" t="s">
        <v>46</v>
      </c>
      <c r="AB154" s="6" t="s">
        <v>47</v>
      </c>
      <c r="AC154" s="6" t="s">
        <v>48</v>
      </c>
      <c r="AD154" s="6" t="s">
        <v>49</v>
      </c>
      <c r="AE154" s="6" t="s">
        <v>50</v>
      </c>
      <c r="AF154" s="6" t="s">
        <v>50</v>
      </c>
      <c r="AG154" s="6" t="s">
        <v>50</v>
      </c>
      <c r="AH154" s="6" t="s">
        <v>50</v>
      </c>
      <c r="AI154" s="6" t="s">
        <v>51</v>
      </c>
      <c r="AJ154" s="6" t="s">
        <v>50</v>
      </c>
      <c r="AK154" s="6" t="s">
        <v>50</v>
      </c>
      <c r="AL154" s="6" t="s">
        <v>52</v>
      </c>
      <c r="AM154" s="6" t="s">
        <v>53</v>
      </c>
      <c r="AN154" s="6" t="s">
        <v>50</v>
      </c>
      <c r="AO154" s="6" t="s">
        <v>54</v>
      </c>
    </row>
    <row r="155" spans="2:41" ht="60" customHeight="1" x14ac:dyDescent="0.25">
      <c r="B155" s="207" t="s">
        <v>35</v>
      </c>
      <c r="C155" s="66" t="s">
        <v>58</v>
      </c>
      <c r="D155" s="4" t="s">
        <v>67</v>
      </c>
      <c r="E155" s="4" t="s">
        <v>1027</v>
      </c>
      <c r="F155" s="4" t="s">
        <v>932</v>
      </c>
      <c r="G155" s="4" t="s">
        <v>39</v>
      </c>
      <c r="H155" s="208">
        <v>1</v>
      </c>
      <c r="I155" s="4"/>
      <c r="J155" s="15" t="s">
        <v>68</v>
      </c>
      <c r="K155" s="4" t="s">
        <v>38</v>
      </c>
      <c r="L155" s="4" t="s">
        <v>41</v>
      </c>
      <c r="M155" s="4" t="s">
        <v>64</v>
      </c>
      <c r="N155" s="4" t="s">
        <v>69</v>
      </c>
      <c r="O155" s="4" t="s">
        <v>66</v>
      </c>
      <c r="P155" s="8">
        <v>0</v>
      </c>
      <c r="Q155" s="209">
        <f>Mon_ILR2[[#This Row],[Qty Required]]-Mon_ILR2[[#This Row],[QTY Transfer]]</f>
        <v>1</v>
      </c>
      <c r="R155" s="66" t="s">
        <v>905</v>
      </c>
      <c r="S155" s="66" t="s">
        <v>934</v>
      </c>
      <c r="T155" s="210">
        <v>7489</v>
      </c>
      <c r="U155" s="210">
        <f>_xlfn.IFNA(VLOOKUP(Mon_ILR2[[#This Row],[New Model]],PhilipsLibary[],5,FALSE),"0")</f>
        <v>1127</v>
      </c>
      <c r="V155" s="210">
        <v>1879</v>
      </c>
      <c r="W155" s="210">
        <f>Mon_ILR2[[#This Row],[Accessory Rate]]+Mon_ILR2[[#This Row],[Mounting Rate]]+Mon_ILR2[[#This Row],[Unit Rate]]*Mon_ILR2[[#This Row],[New Quantity Required ]]</f>
        <v>10495</v>
      </c>
      <c r="X155" s="8"/>
      <c r="Y155" s="246" t="s">
        <v>1060</v>
      </c>
      <c r="Z155" s="6" t="s">
        <v>45</v>
      </c>
      <c r="AA155" s="6" t="s">
        <v>46</v>
      </c>
      <c r="AB155" s="6" t="s">
        <v>47</v>
      </c>
      <c r="AC155" s="6" t="s">
        <v>48</v>
      </c>
      <c r="AD155" s="6" t="s">
        <v>49</v>
      </c>
      <c r="AE155" s="6" t="s">
        <v>50</v>
      </c>
      <c r="AF155" s="6" t="s">
        <v>50</v>
      </c>
      <c r="AG155" s="6" t="s">
        <v>50</v>
      </c>
      <c r="AH155" s="6" t="s">
        <v>50</v>
      </c>
      <c r="AI155" s="6" t="s">
        <v>51</v>
      </c>
      <c r="AJ155" s="6" t="s">
        <v>50</v>
      </c>
      <c r="AK155" s="6" t="s">
        <v>50</v>
      </c>
      <c r="AL155" s="6" t="s">
        <v>52</v>
      </c>
      <c r="AM155" s="6" t="s">
        <v>53</v>
      </c>
      <c r="AN155" s="6" t="s">
        <v>50</v>
      </c>
      <c r="AO155" s="6" t="s">
        <v>54</v>
      </c>
    </row>
    <row r="156" spans="2:41" ht="90" customHeight="1" x14ac:dyDescent="0.25">
      <c r="B156" s="207" t="s">
        <v>35</v>
      </c>
      <c r="C156" s="66" t="s">
        <v>58</v>
      </c>
      <c r="D156" s="4" t="s">
        <v>70</v>
      </c>
      <c r="E156" s="4" t="s">
        <v>1027</v>
      </c>
      <c r="F156" s="4" t="s">
        <v>932</v>
      </c>
      <c r="G156" s="4" t="s">
        <v>39</v>
      </c>
      <c r="H156" s="208">
        <v>1</v>
      </c>
      <c r="I156" s="4"/>
      <c r="J156" s="15" t="s">
        <v>71</v>
      </c>
      <c r="K156" s="4" t="s">
        <v>38</v>
      </c>
      <c r="L156" s="4" t="s">
        <v>41</v>
      </c>
      <c r="M156" s="4" t="s">
        <v>64</v>
      </c>
      <c r="N156" s="4" t="s">
        <v>72</v>
      </c>
      <c r="O156" s="4" t="s">
        <v>66</v>
      </c>
      <c r="P156" s="8">
        <v>0</v>
      </c>
      <c r="Q156" s="209">
        <f>Mon_ILR2[[#This Row],[Qty Required]]-Mon_ILR2[[#This Row],[QTY Transfer]]</f>
        <v>1</v>
      </c>
      <c r="R156" s="66" t="s">
        <v>905</v>
      </c>
      <c r="S156" s="66" t="s">
        <v>934</v>
      </c>
      <c r="T156" s="210">
        <v>7489</v>
      </c>
      <c r="U156" s="210">
        <f>_xlfn.IFNA(VLOOKUP(Mon_ILR2[[#This Row],[New Model]],PhilipsLibary[],5,FALSE),"0")</f>
        <v>1127</v>
      </c>
      <c r="V156" s="210">
        <v>1879</v>
      </c>
      <c r="W156" s="210">
        <f>Mon_ILR2[[#This Row],[Accessory Rate]]+Mon_ILR2[[#This Row],[Mounting Rate]]+Mon_ILR2[[#This Row],[Unit Rate]]*Mon_ILR2[[#This Row],[New Quantity Required ]]</f>
        <v>10495</v>
      </c>
      <c r="X156" s="8"/>
      <c r="Y156" s="246" t="s">
        <v>1060</v>
      </c>
      <c r="Z156" s="6" t="s">
        <v>45</v>
      </c>
      <c r="AA156" s="6" t="s">
        <v>46</v>
      </c>
      <c r="AB156" s="6" t="s">
        <v>47</v>
      </c>
      <c r="AC156" s="6" t="s">
        <v>48</v>
      </c>
      <c r="AD156" s="6" t="s">
        <v>49</v>
      </c>
      <c r="AE156" s="6" t="s">
        <v>50</v>
      </c>
      <c r="AF156" s="6" t="s">
        <v>50</v>
      </c>
      <c r="AG156" s="6" t="s">
        <v>50</v>
      </c>
      <c r="AH156" s="6" t="s">
        <v>50</v>
      </c>
      <c r="AI156" s="6" t="s">
        <v>51</v>
      </c>
      <c r="AJ156" s="6" t="s">
        <v>50</v>
      </c>
      <c r="AK156" s="6" t="s">
        <v>50</v>
      </c>
      <c r="AL156" s="6" t="s">
        <v>52</v>
      </c>
      <c r="AM156" s="6" t="s">
        <v>53</v>
      </c>
      <c r="AN156" s="6" t="s">
        <v>50</v>
      </c>
      <c r="AO156" s="6" t="s">
        <v>54</v>
      </c>
    </row>
    <row r="157" spans="2:41" ht="90" customHeight="1" x14ac:dyDescent="0.25">
      <c r="B157" s="207" t="s">
        <v>35</v>
      </c>
      <c r="C157" s="66" t="s">
        <v>58</v>
      </c>
      <c r="D157" s="4" t="s">
        <v>73</v>
      </c>
      <c r="E157" s="4" t="s">
        <v>1027</v>
      </c>
      <c r="F157" s="4" t="s">
        <v>932</v>
      </c>
      <c r="G157" s="4" t="s">
        <v>39</v>
      </c>
      <c r="H157" s="208">
        <v>1</v>
      </c>
      <c r="I157" s="4"/>
      <c r="J157" s="15" t="s">
        <v>74</v>
      </c>
      <c r="K157" s="4" t="s">
        <v>38</v>
      </c>
      <c r="L157" s="4" t="s">
        <v>41</v>
      </c>
      <c r="M157" s="4" t="s">
        <v>64</v>
      </c>
      <c r="N157" s="4" t="s">
        <v>75</v>
      </c>
      <c r="O157" s="4" t="s">
        <v>66</v>
      </c>
      <c r="P157" s="8">
        <v>0</v>
      </c>
      <c r="Q157" s="209">
        <f>Mon_ILR2[[#This Row],[Qty Required]]-Mon_ILR2[[#This Row],[QTY Transfer]]</f>
        <v>1</v>
      </c>
      <c r="R157" s="66" t="s">
        <v>905</v>
      </c>
      <c r="S157" s="66" t="s">
        <v>934</v>
      </c>
      <c r="T157" s="210">
        <v>7489</v>
      </c>
      <c r="U157" s="210">
        <f>_xlfn.IFNA(VLOOKUP(Mon_ILR2[[#This Row],[New Model]],PhilipsLibary[],5,FALSE),"0")</f>
        <v>1127</v>
      </c>
      <c r="V157" s="210">
        <v>1879</v>
      </c>
      <c r="W157" s="210">
        <f>Mon_ILR2[[#This Row],[Accessory Rate]]+Mon_ILR2[[#This Row],[Mounting Rate]]+Mon_ILR2[[#This Row],[Unit Rate]]*Mon_ILR2[[#This Row],[New Quantity Required ]]</f>
        <v>10495</v>
      </c>
      <c r="X157" s="8"/>
      <c r="Y157" s="246" t="s">
        <v>1060</v>
      </c>
      <c r="Z157" s="6" t="s">
        <v>45</v>
      </c>
      <c r="AA157" s="6" t="s">
        <v>46</v>
      </c>
      <c r="AB157" s="6" t="s">
        <v>47</v>
      </c>
      <c r="AC157" s="6" t="s">
        <v>48</v>
      </c>
      <c r="AD157" s="6" t="s">
        <v>49</v>
      </c>
      <c r="AE157" s="6" t="s">
        <v>50</v>
      </c>
      <c r="AF157" s="6" t="s">
        <v>50</v>
      </c>
      <c r="AG157" s="6" t="s">
        <v>50</v>
      </c>
      <c r="AH157" s="6" t="s">
        <v>50</v>
      </c>
      <c r="AI157" s="6" t="s">
        <v>51</v>
      </c>
      <c r="AJ157" s="6" t="s">
        <v>50</v>
      </c>
      <c r="AK157" s="6" t="s">
        <v>50</v>
      </c>
      <c r="AL157" s="6" t="s">
        <v>52</v>
      </c>
      <c r="AM157" s="6" t="s">
        <v>53</v>
      </c>
      <c r="AN157" s="6" t="s">
        <v>50</v>
      </c>
      <c r="AO157" s="6" t="s">
        <v>54</v>
      </c>
    </row>
    <row r="158" spans="2:41" ht="90" customHeight="1" x14ac:dyDescent="0.25">
      <c r="B158" s="207" t="s">
        <v>35</v>
      </c>
      <c r="C158" s="66" t="s">
        <v>58</v>
      </c>
      <c r="D158" s="4" t="s">
        <v>76</v>
      </c>
      <c r="E158" s="4" t="s">
        <v>1027</v>
      </c>
      <c r="F158" s="4" t="s">
        <v>932</v>
      </c>
      <c r="G158" s="4" t="s">
        <v>39</v>
      </c>
      <c r="H158" s="208">
        <v>1</v>
      </c>
      <c r="I158" s="4"/>
      <c r="J158" s="15" t="s">
        <v>77</v>
      </c>
      <c r="K158" s="4" t="s">
        <v>38</v>
      </c>
      <c r="L158" s="4" t="s">
        <v>41</v>
      </c>
      <c r="M158" s="4" t="s">
        <v>42</v>
      </c>
      <c r="N158" s="4" t="s">
        <v>78</v>
      </c>
      <c r="O158" s="4" t="s">
        <v>66</v>
      </c>
      <c r="P158" s="8">
        <v>0</v>
      </c>
      <c r="Q158" s="209">
        <f>Mon_ILR2[[#This Row],[Qty Required]]-Mon_ILR2[[#This Row],[QTY Transfer]]</f>
        <v>1</v>
      </c>
      <c r="R158" s="66" t="s">
        <v>905</v>
      </c>
      <c r="S158" s="66" t="s">
        <v>934</v>
      </c>
      <c r="T158" s="210">
        <v>7489</v>
      </c>
      <c r="U158" s="210">
        <f>_xlfn.IFNA(VLOOKUP(Mon_ILR2[[#This Row],[New Model]],PhilipsLibary[],5,FALSE),"0")</f>
        <v>1127</v>
      </c>
      <c r="V158" s="210">
        <v>1879</v>
      </c>
      <c r="W158" s="210">
        <f>Mon_ILR2[[#This Row],[Accessory Rate]]+Mon_ILR2[[#This Row],[Mounting Rate]]+Mon_ILR2[[#This Row],[Unit Rate]]*Mon_ILR2[[#This Row],[New Quantity Required ]]</f>
        <v>10495</v>
      </c>
      <c r="X158" s="8"/>
      <c r="Y158" s="246" t="s">
        <v>1060</v>
      </c>
      <c r="Z158" s="6" t="s">
        <v>45</v>
      </c>
      <c r="AA158" s="6" t="s">
        <v>46</v>
      </c>
      <c r="AB158" s="6" t="s">
        <v>47</v>
      </c>
      <c r="AC158" s="6" t="s">
        <v>48</v>
      </c>
      <c r="AD158" s="6" t="s">
        <v>49</v>
      </c>
      <c r="AE158" s="6" t="s">
        <v>50</v>
      </c>
      <c r="AF158" s="6" t="s">
        <v>50</v>
      </c>
      <c r="AG158" s="6" t="s">
        <v>50</v>
      </c>
      <c r="AH158" s="6" t="s">
        <v>50</v>
      </c>
      <c r="AI158" s="6" t="s">
        <v>51</v>
      </c>
      <c r="AJ158" s="6" t="s">
        <v>50</v>
      </c>
      <c r="AK158" s="6" t="s">
        <v>50</v>
      </c>
      <c r="AL158" s="6" t="s">
        <v>52</v>
      </c>
      <c r="AM158" s="6" t="s">
        <v>53</v>
      </c>
      <c r="AN158" s="6" t="s">
        <v>50</v>
      </c>
      <c r="AO158" s="6" t="s">
        <v>54</v>
      </c>
    </row>
    <row r="159" spans="2:41" ht="90" customHeight="1" x14ac:dyDescent="0.25">
      <c r="B159" s="207" t="s">
        <v>35</v>
      </c>
      <c r="C159" s="66" t="s">
        <v>58</v>
      </c>
      <c r="D159" s="4" t="s">
        <v>79</v>
      </c>
      <c r="E159" s="4" t="s">
        <v>1027</v>
      </c>
      <c r="F159" s="4" t="s">
        <v>932</v>
      </c>
      <c r="G159" s="4" t="s">
        <v>39</v>
      </c>
      <c r="H159" s="208">
        <v>1</v>
      </c>
      <c r="I159" s="4"/>
      <c r="J159" s="15" t="s">
        <v>80</v>
      </c>
      <c r="K159" s="4" t="s">
        <v>38</v>
      </c>
      <c r="L159" s="4" t="s">
        <v>41</v>
      </c>
      <c r="M159" s="4" t="s">
        <v>42</v>
      </c>
      <c r="N159" s="4" t="s">
        <v>81</v>
      </c>
      <c r="O159" s="4" t="s">
        <v>66</v>
      </c>
      <c r="P159" s="8">
        <v>0</v>
      </c>
      <c r="Q159" s="209">
        <f>Mon_ILR2[[#This Row],[Qty Required]]-Mon_ILR2[[#This Row],[QTY Transfer]]</f>
        <v>1</v>
      </c>
      <c r="R159" s="66" t="s">
        <v>905</v>
      </c>
      <c r="S159" s="66" t="s">
        <v>934</v>
      </c>
      <c r="T159" s="210">
        <v>7489</v>
      </c>
      <c r="U159" s="210">
        <f>_xlfn.IFNA(VLOOKUP(Mon_ILR2[[#This Row],[New Model]],PhilipsLibary[],5,FALSE),"0")</f>
        <v>1127</v>
      </c>
      <c r="V159" s="210">
        <v>1879</v>
      </c>
      <c r="W159" s="210">
        <f>Mon_ILR2[[#This Row],[Accessory Rate]]+Mon_ILR2[[#This Row],[Mounting Rate]]+Mon_ILR2[[#This Row],[Unit Rate]]*Mon_ILR2[[#This Row],[New Quantity Required ]]</f>
        <v>10495</v>
      </c>
      <c r="X159" s="8"/>
      <c r="Y159" s="246" t="s">
        <v>1060</v>
      </c>
      <c r="Z159" s="6" t="s">
        <v>45</v>
      </c>
      <c r="AA159" s="6" t="s">
        <v>46</v>
      </c>
      <c r="AB159" s="6" t="s">
        <v>47</v>
      </c>
      <c r="AC159" s="6" t="s">
        <v>48</v>
      </c>
      <c r="AD159" s="6" t="s">
        <v>49</v>
      </c>
      <c r="AE159" s="6" t="s">
        <v>50</v>
      </c>
      <c r="AF159" s="6" t="s">
        <v>50</v>
      </c>
      <c r="AG159" s="6" t="s">
        <v>50</v>
      </c>
      <c r="AH159" s="6" t="s">
        <v>50</v>
      </c>
      <c r="AI159" s="6" t="s">
        <v>51</v>
      </c>
      <c r="AJ159" s="6" t="s">
        <v>50</v>
      </c>
      <c r="AK159" s="6" t="s">
        <v>50</v>
      </c>
      <c r="AL159" s="6" t="s">
        <v>52</v>
      </c>
      <c r="AM159" s="6" t="s">
        <v>53</v>
      </c>
      <c r="AN159" s="6" t="s">
        <v>50</v>
      </c>
      <c r="AO159" s="6" t="s">
        <v>54</v>
      </c>
    </row>
    <row r="160" spans="2:41" ht="90" customHeight="1" x14ac:dyDescent="0.25">
      <c r="B160" s="207" t="s">
        <v>35</v>
      </c>
      <c r="C160" s="66" t="s">
        <v>58</v>
      </c>
      <c r="D160" s="4" t="s">
        <v>82</v>
      </c>
      <c r="E160" s="4" t="s">
        <v>1027</v>
      </c>
      <c r="F160" s="4" t="s">
        <v>932</v>
      </c>
      <c r="G160" s="4" t="s">
        <v>39</v>
      </c>
      <c r="H160" s="208">
        <v>1</v>
      </c>
      <c r="I160" s="4"/>
      <c r="J160" s="15" t="s">
        <v>83</v>
      </c>
      <c r="K160" s="4" t="s">
        <v>38</v>
      </c>
      <c r="L160" s="4" t="s">
        <v>41</v>
      </c>
      <c r="M160" s="4" t="s">
        <v>42</v>
      </c>
      <c r="N160" s="4" t="s">
        <v>84</v>
      </c>
      <c r="O160" s="4" t="s">
        <v>66</v>
      </c>
      <c r="P160" s="8">
        <v>0</v>
      </c>
      <c r="Q160" s="209">
        <f>Mon_ILR2[[#This Row],[Qty Required]]-Mon_ILR2[[#This Row],[QTY Transfer]]</f>
        <v>1</v>
      </c>
      <c r="R160" s="66" t="s">
        <v>905</v>
      </c>
      <c r="S160" s="66" t="s">
        <v>934</v>
      </c>
      <c r="T160" s="210">
        <v>7489</v>
      </c>
      <c r="U160" s="210">
        <f>_xlfn.IFNA(VLOOKUP(Mon_ILR2[[#This Row],[New Model]],PhilipsLibary[],5,FALSE),"0")</f>
        <v>1127</v>
      </c>
      <c r="V160" s="210">
        <v>1879</v>
      </c>
      <c r="W160" s="210">
        <f>Mon_ILR2[[#This Row],[Accessory Rate]]+Mon_ILR2[[#This Row],[Mounting Rate]]+Mon_ILR2[[#This Row],[Unit Rate]]*Mon_ILR2[[#This Row],[New Quantity Required ]]</f>
        <v>10495</v>
      </c>
      <c r="X160" s="8"/>
      <c r="Y160" s="246" t="s">
        <v>1060</v>
      </c>
      <c r="Z160" s="6" t="s">
        <v>45</v>
      </c>
      <c r="AA160" s="6" t="s">
        <v>46</v>
      </c>
      <c r="AB160" s="6" t="s">
        <v>47</v>
      </c>
      <c r="AC160" s="6" t="s">
        <v>48</v>
      </c>
      <c r="AD160" s="6" t="s">
        <v>49</v>
      </c>
      <c r="AE160" s="6" t="s">
        <v>50</v>
      </c>
      <c r="AF160" s="6" t="s">
        <v>50</v>
      </c>
      <c r="AG160" s="6" t="s">
        <v>50</v>
      </c>
      <c r="AH160" s="6" t="s">
        <v>50</v>
      </c>
      <c r="AI160" s="6" t="s">
        <v>51</v>
      </c>
      <c r="AJ160" s="6" t="s">
        <v>50</v>
      </c>
      <c r="AK160" s="6" t="s">
        <v>50</v>
      </c>
      <c r="AL160" s="6" t="s">
        <v>52</v>
      </c>
      <c r="AM160" s="6" t="s">
        <v>53</v>
      </c>
      <c r="AN160" s="6" t="s">
        <v>50</v>
      </c>
      <c r="AO160" s="6" t="s">
        <v>54</v>
      </c>
    </row>
    <row r="161" spans="2:41" ht="90" customHeight="1" x14ac:dyDescent="0.25">
      <c r="B161" s="207" t="s">
        <v>35</v>
      </c>
      <c r="C161" s="66" t="s">
        <v>58</v>
      </c>
      <c r="D161" s="4" t="s">
        <v>85</v>
      </c>
      <c r="E161" s="4" t="s">
        <v>1027</v>
      </c>
      <c r="F161" s="4" t="s">
        <v>932</v>
      </c>
      <c r="G161" s="4" t="s">
        <v>39</v>
      </c>
      <c r="H161" s="208">
        <v>1</v>
      </c>
      <c r="I161" s="4"/>
      <c r="J161" s="15" t="s">
        <v>86</v>
      </c>
      <c r="K161" s="4" t="s">
        <v>38</v>
      </c>
      <c r="L161" s="4" t="s">
        <v>41</v>
      </c>
      <c r="M161" s="4" t="s">
        <v>42</v>
      </c>
      <c r="N161" s="4" t="s">
        <v>87</v>
      </c>
      <c r="O161" s="4" t="s">
        <v>66</v>
      </c>
      <c r="P161" s="8">
        <v>0</v>
      </c>
      <c r="Q161" s="209">
        <f>Mon_ILR2[[#This Row],[Qty Required]]-Mon_ILR2[[#This Row],[QTY Transfer]]</f>
        <v>1</v>
      </c>
      <c r="R161" s="66" t="s">
        <v>905</v>
      </c>
      <c r="S161" s="66" t="s">
        <v>934</v>
      </c>
      <c r="T161" s="210">
        <v>7489</v>
      </c>
      <c r="U161" s="210">
        <f>_xlfn.IFNA(VLOOKUP(Mon_ILR2[[#This Row],[New Model]],PhilipsLibary[],5,FALSE),"0")</f>
        <v>1127</v>
      </c>
      <c r="V161" s="210">
        <v>1879</v>
      </c>
      <c r="W161" s="210">
        <f>Mon_ILR2[[#This Row],[Accessory Rate]]+Mon_ILR2[[#This Row],[Mounting Rate]]+Mon_ILR2[[#This Row],[Unit Rate]]*Mon_ILR2[[#This Row],[New Quantity Required ]]</f>
        <v>10495</v>
      </c>
      <c r="X161" s="8"/>
      <c r="Y161" s="246" t="s">
        <v>1060</v>
      </c>
      <c r="Z161" s="6" t="s">
        <v>45</v>
      </c>
      <c r="AA161" s="6" t="s">
        <v>46</v>
      </c>
      <c r="AB161" s="6" t="s">
        <v>47</v>
      </c>
      <c r="AC161" s="6" t="s">
        <v>48</v>
      </c>
      <c r="AD161" s="6" t="s">
        <v>49</v>
      </c>
      <c r="AE161" s="6" t="s">
        <v>50</v>
      </c>
      <c r="AF161" s="6" t="s">
        <v>50</v>
      </c>
      <c r="AG161" s="6" t="s">
        <v>50</v>
      </c>
      <c r="AH161" s="6" t="s">
        <v>50</v>
      </c>
      <c r="AI161" s="6" t="s">
        <v>51</v>
      </c>
      <c r="AJ161" s="6" t="s">
        <v>50</v>
      </c>
      <c r="AK161" s="6" t="s">
        <v>50</v>
      </c>
      <c r="AL161" s="6" t="s">
        <v>52</v>
      </c>
      <c r="AM161" s="6" t="s">
        <v>53</v>
      </c>
      <c r="AN161" s="6" t="s">
        <v>50</v>
      </c>
      <c r="AO161" s="6" t="s">
        <v>54</v>
      </c>
    </row>
    <row r="162" spans="2:41" ht="60" customHeight="1" x14ac:dyDescent="0.25">
      <c r="B162" s="207" t="s">
        <v>35</v>
      </c>
      <c r="C162" s="66" t="s">
        <v>58</v>
      </c>
      <c r="D162" s="4" t="s">
        <v>88</v>
      </c>
      <c r="E162" s="4" t="s">
        <v>1027</v>
      </c>
      <c r="F162" s="4" t="s">
        <v>932</v>
      </c>
      <c r="G162" s="4" t="s">
        <v>39</v>
      </c>
      <c r="H162" s="208">
        <v>1</v>
      </c>
      <c r="I162" s="4"/>
      <c r="J162" s="15" t="s">
        <v>89</v>
      </c>
      <c r="K162" s="4" t="s">
        <v>38</v>
      </c>
      <c r="L162" s="4" t="s">
        <v>41</v>
      </c>
      <c r="M162" s="4" t="s">
        <v>42</v>
      </c>
      <c r="N162" s="4" t="s">
        <v>90</v>
      </c>
      <c r="O162" s="4" t="s">
        <v>66</v>
      </c>
      <c r="P162" s="8">
        <v>0</v>
      </c>
      <c r="Q162" s="209">
        <f>Mon_ILR2[[#This Row],[Qty Required]]-Mon_ILR2[[#This Row],[QTY Transfer]]</f>
        <v>1</v>
      </c>
      <c r="R162" s="66" t="s">
        <v>905</v>
      </c>
      <c r="S162" s="66" t="s">
        <v>934</v>
      </c>
      <c r="T162" s="210">
        <v>7489</v>
      </c>
      <c r="U162" s="210">
        <f>_xlfn.IFNA(VLOOKUP(Mon_ILR2[[#This Row],[New Model]],PhilipsLibary[],5,FALSE),"0")</f>
        <v>1127</v>
      </c>
      <c r="V162" s="210">
        <v>1879</v>
      </c>
      <c r="W162" s="210">
        <f>Mon_ILR2[[#This Row],[Accessory Rate]]+Mon_ILR2[[#This Row],[Mounting Rate]]+Mon_ILR2[[#This Row],[Unit Rate]]*Mon_ILR2[[#This Row],[New Quantity Required ]]</f>
        <v>10495</v>
      </c>
      <c r="X162" s="8"/>
      <c r="Y162" s="246" t="s">
        <v>1060</v>
      </c>
      <c r="Z162" s="6" t="s">
        <v>45</v>
      </c>
      <c r="AA162" s="6" t="s">
        <v>46</v>
      </c>
      <c r="AB162" s="6" t="s">
        <v>47</v>
      </c>
      <c r="AC162" s="6" t="s">
        <v>48</v>
      </c>
      <c r="AD162" s="6" t="s">
        <v>49</v>
      </c>
      <c r="AE162" s="6" t="s">
        <v>50</v>
      </c>
      <c r="AF162" s="6" t="s">
        <v>50</v>
      </c>
      <c r="AG162" s="6" t="s">
        <v>50</v>
      </c>
      <c r="AH162" s="6" t="s">
        <v>50</v>
      </c>
      <c r="AI162" s="6" t="s">
        <v>51</v>
      </c>
      <c r="AJ162" s="6" t="s">
        <v>50</v>
      </c>
      <c r="AK162" s="6" t="s">
        <v>50</v>
      </c>
      <c r="AL162" s="6" t="s">
        <v>52</v>
      </c>
      <c r="AM162" s="6" t="s">
        <v>53</v>
      </c>
      <c r="AN162" s="6" t="s">
        <v>50</v>
      </c>
      <c r="AO162" s="6" t="s">
        <v>54</v>
      </c>
    </row>
    <row r="163" spans="2:41" ht="60" customHeight="1" x14ac:dyDescent="0.25">
      <c r="B163" s="207" t="s">
        <v>35</v>
      </c>
      <c r="C163" s="66" t="s">
        <v>58</v>
      </c>
      <c r="D163" s="4" t="s">
        <v>91</v>
      </c>
      <c r="E163" s="4" t="s">
        <v>1027</v>
      </c>
      <c r="F163" s="4" t="s">
        <v>932</v>
      </c>
      <c r="G163" s="4" t="s">
        <v>39</v>
      </c>
      <c r="H163" s="208">
        <v>1</v>
      </c>
      <c r="I163" s="4"/>
      <c r="J163" s="15" t="s">
        <v>92</v>
      </c>
      <c r="K163" s="4" t="s">
        <v>38</v>
      </c>
      <c r="L163" s="4" t="s">
        <v>41</v>
      </c>
      <c r="M163" s="4" t="s">
        <v>42</v>
      </c>
      <c r="N163" s="4" t="s">
        <v>93</v>
      </c>
      <c r="O163" s="4" t="s">
        <v>66</v>
      </c>
      <c r="P163" s="8">
        <v>0</v>
      </c>
      <c r="Q163" s="209">
        <f>Mon_ILR2[[#This Row],[Qty Required]]-Mon_ILR2[[#This Row],[QTY Transfer]]</f>
        <v>1</v>
      </c>
      <c r="R163" s="66" t="s">
        <v>905</v>
      </c>
      <c r="S163" s="66" t="s">
        <v>934</v>
      </c>
      <c r="T163" s="210">
        <v>7489</v>
      </c>
      <c r="U163" s="210">
        <f>_xlfn.IFNA(VLOOKUP(Mon_ILR2[[#This Row],[New Model]],PhilipsLibary[],5,FALSE),"0")</f>
        <v>1127</v>
      </c>
      <c r="V163" s="210">
        <v>1879</v>
      </c>
      <c r="W163" s="210">
        <f>Mon_ILR2[[#This Row],[Accessory Rate]]+Mon_ILR2[[#This Row],[Mounting Rate]]+Mon_ILR2[[#This Row],[Unit Rate]]*Mon_ILR2[[#This Row],[New Quantity Required ]]</f>
        <v>10495</v>
      </c>
      <c r="X163" s="8"/>
      <c r="Y163" s="246" t="s">
        <v>1060</v>
      </c>
      <c r="Z163" s="6" t="s">
        <v>45</v>
      </c>
      <c r="AA163" s="6" t="s">
        <v>46</v>
      </c>
      <c r="AB163" s="6" t="s">
        <v>47</v>
      </c>
      <c r="AC163" s="6" t="s">
        <v>48</v>
      </c>
      <c r="AD163" s="6" t="s">
        <v>49</v>
      </c>
      <c r="AE163" s="6" t="s">
        <v>50</v>
      </c>
      <c r="AF163" s="6" t="s">
        <v>50</v>
      </c>
      <c r="AG163" s="6" t="s">
        <v>50</v>
      </c>
      <c r="AH163" s="6" t="s">
        <v>50</v>
      </c>
      <c r="AI163" s="6" t="s">
        <v>51</v>
      </c>
      <c r="AJ163" s="6" t="s">
        <v>50</v>
      </c>
      <c r="AK163" s="6" t="s">
        <v>50</v>
      </c>
      <c r="AL163" s="6" t="s">
        <v>52</v>
      </c>
      <c r="AM163" s="6" t="s">
        <v>53</v>
      </c>
      <c r="AN163" s="6" t="s">
        <v>50</v>
      </c>
      <c r="AO163" s="6" t="s">
        <v>54</v>
      </c>
    </row>
    <row r="164" spans="2:41" ht="60" customHeight="1" x14ac:dyDescent="0.25">
      <c r="B164" s="207" t="s">
        <v>35</v>
      </c>
      <c r="C164" s="66" t="s">
        <v>58</v>
      </c>
      <c r="D164" s="4" t="s">
        <v>94</v>
      </c>
      <c r="E164" s="4" t="s">
        <v>1027</v>
      </c>
      <c r="F164" s="4" t="s">
        <v>932</v>
      </c>
      <c r="G164" s="4" t="s">
        <v>39</v>
      </c>
      <c r="H164" s="208">
        <v>1</v>
      </c>
      <c r="I164" s="4"/>
      <c r="J164" s="15" t="s">
        <v>95</v>
      </c>
      <c r="K164" s="4" t="s">
        <v>38</v>
      </c>
      <c r="L164" s="4" t="s">
        <v>41</v>
      </c>
      <c r="M164" s="4" t="s">
        <v>42</v>
      </c>
      <c r="N164" s="4" t="s">
        <v>96</v>
      </c>
      <c r="O164" s="4" t="s">
        <v>66</v>
      </c>
      <c r="P164" s="8">
        <v>0</v>
      </c>
      <c r="Q164" s="209">
        <f>Mon_ILR2[[#This Row],[Qty Required]]-Mon_ILR2[[#This Row],[QTY Transfer]]</f>
        <v>1</v>
      </c>
      <c r="R164" s="66" t="s">
        <v>905</v>
      </c>
      <c r="S164" s="66" t="s">
        <v>934</v>
      </c>
      <c r="T164" s="210">
        <v>7489</v>
      </c>
      <c r="U164" s="210">
        <f>_xlfn.IFNA(VLOOKUP(Mon_ILR2[[#This Row],[New Model]],PhilipsLibary[],5,FALSE),"0")</f>
        <v>1127</v>
      </c>
      <c r="V164" s="210">
        <v>1879</v>
      </c>
      <c r="W164" s="210">
        <f>Mon_ILR2[[#This Row],[Accessory Rate]]+Mon_ILR2[[#This Row],[Mounting Rate]]+Mon_ILR2[[#This Row],[Unit Rate]]*Mon_ILR2[[#This Row],[New Quantity Required ]]</f>
        <v>10495</v>
      </c>
      <c r="X164" s="8"/>
      <c r="Y164" s="246" t="s">
        <v>1060</v>
      </c>
      <c r="Z164" s="6" t="s">
        <v>45</v>
      </c>
      <c r="AA164" s="6" t="s">
        <v>46</v>
      </c>
      <c r="AB164" s="6" t="s">
        <v>47</v>
      </c>
      <c r="AC164" s="6" t="s">
        <v>48</v>
      </c>
      <c r="AD164" s="6" t="s">
        <v>49</v>
      </c>
      <c r="AE164" s="6" t="s">
        <v>50</v>
      </c>
      <c r="AF164" s="6" t="s">
        <v>50</v>
      </c>
      <c r="AG164" s="6" t="s">
        <v>50</v>
      </c>
      <c r="AH164" s="6" t="s">
        <v>50</v>
      </c>
      <c r="AI164" s="6" t="s">
        <v>51</v>
      </c>
      <c r="AJ164" s="6" t="s">
        <v>50</v>
      </c>
      <c r="AK164" s="6" t="s">
        <v>50</v>
      </c>
      <c r="AL164" s="6" t="s">
        <v>52</v>
      </c>
      <c r="AM164" s="6" t="s">
        <v>53</v>
      </c>
      <c r="AN164" s="6" t="s">
        <v>50</v>
      </c>
      <c r="AO164" s="6" t="s">
        <v>54</v>
      </c>
    </row>
    <row r="165" spans="2:41" ht="60" customHeight="1" x14ac:dyDescent="0.25">
      <c r="B165" s="207" t="s">
        <v>35</v>
      </c>
      <c r="C165" s="66" t="s">
        <v>58</v>
      </c>
      <c r="D165" s="4" t="s">
        <v>97</v>
      </c>
      <c r="E165" s="4" t="s">
        <v>1027</v>
      </c>
      <c r="F165" s="4" t="s">
        <v>932</v>
      </c>
      <c r="G165" s="4" t="s">
        <v>39</v>
      </c>
      <c r="H165" s="208">
        <v>1</v>
      </c>
      <c r="I165" s="4"/>
      <c r="J165" s="15" t="s">
        <v>98</v>
      </c>
      <c r="K165" s="4" t="s">
        <v>38</v>
      </c>
      <c r="L165" s="4" t="s">
        <v>41</v>
      </c>
      <c r="M165" s="4" t="s">
        <v>42</v>
      </c>
      <c r="N165" s="4" t="s">
        <v>99</v>
      </c>
      <c r="O165" s="4" t="s">
        <v>66</v>
      </c>
      <c r="P165" s="8">
        <v>0</v>
      </c>
      <c r="Q165" s="209">
        <f>Mon_ILR2[[#This Row],[Qty Required]]-Mon_ILR2[[#This Row],[QTY Transfer]]</f>
        <v>1</v>
      </c>
      <c r="R165" s="66" t="s">
        <v>905</v>
      </c>
      <c r="S165" s="66" t="s">
        <v>934</v>
      </c>
      <c r="T165" s="210">
        <v>7489</v>
      </c>
      <c r="U165" s="210">
        <f>_xlfn.IFNA(VLOOKUP(Mon_ILR2[[#This Row],[New Model]],PhilipsLibary[],5,FALSE),"0")</f>
        <v>1127</v>
      </c>
      <c r="V165" s="210">
        <v>1879</v>
      </c>
      <c r="W165" s="210">
        <f>Mon_ILR2[[#This Row],[Accessory Rate]]+Mon_ILR2[[#This Row],[Mounting Rate]]+Mon_ILR2[[#This Row],[Unit Rate]]*Mon_ILR2[[#This Row],[New Quantity Required ]]</f>
        <v>10495</v>
      </c>
      <c r="X165" s="8"/>
      <c r="Y165" s="246" t="s">
        <v>1060</v>
      </c>
      <c r="Z165" s="6" t="s">
        <v>45</v>
      </c>
      <c r="AA165" s="6" t="s">
        <v>46</v>
      </c>
      <c r="AB165" s="6" t="s">
        <v>47</v>
      </c>
      <c r="AC165" s="6" t="s">
        <v>48</v>
      </c>
      <c r="AD165" s="6" t="s">
        <v>49</v>
      </c>
      <c r="AE165" s="6" t="s">
        <v>50</v>
      </c>
      <c r="AF165" s="6" t="s">
        <v>50</v>
      </c>
      <c r="AG165" s="6" t="s">
        <v>50</v>
      </c>
      <c r="AH165" s="6" t="s">
        <v>50</v>
      </c>
      <c r="AI165" s="6" t="s">
        <v>51</v>
      </c>
      <c r="AJ165" s="6" t="s">
        <v>50</v>
      </c>
      <c r="AK165" s="6" t="s">
        <v>50</v>
      </c>
      <c r="AL165" s="6" t="s">
        <v>52</v>
      </c>
      <c r="AM165" s="6" t="s">
        <v>53</v>
      </c>
      <c r="AN165" s="6" t="s">
        <v>50</v>
      </c>
      <c r="AO165" s="6" t="s">
        <v>54</v>
      </c>
    </row>
    <row r="166" spans="2:41" ht="60" customHeight="1" x14ac:dyDescent="0.25">
      <c r="B166" s="207" t="s">
        <v>35</v>
      </c>
      <c r="C166" s="66" t="s">
        <v>58</v>
      </c>
      <c r="D166" s="4" t="s">
        <v>100</v>
      </c>
      <c r="E166" s="4" t="s">
        <v>1027</v>
      </c>
      <c r="F166" s="4" t="s">
        <v>932</v>
      </c>
      <c r="G166" s="4" t="s">
        <v>39</v>
      </c>
      <c r="H166" s="208">
        <v>1</v>
      </c>
      <c r="I166" s="4"/>
      <c r="J166" s="15" t="s">
        <v>101</v>
      </c>
      <c r="K166" s="4" t="s">
        <v>38</v>
      </c>
      <c r="L166" s="4" t="s">
        <v>41</v>
      </c>
      <c r="M166" s="4" t="s">
        <v>42</v>
      </c>
      <c r="N166" s="4" t="s">
        <v>102</v>
      </c>
      <c r="O166" s="4" t="s">
        <v>66</v>
      </c>
      <c r="P166" s="8">
        <v>0</v>
      </c>
      <c r="Q166" s="209">
        <f>Mon_ILR2[[#This Row],[Qty Required]]-Mon_ILR2[[#This Row],[QTY Transfer]]</f>
        <v>1</v>
      </c>
      <c r="R166" s="66" t="s">
        <v>905</v>
      </c>
      <c r="S166" s="66" t="s">
        <v>934</v>
      </c>
      <c r="T166" s="210">
        <v>7489</v>
      </c>
      <c r="U166" s="210">
        <f>_xlfn.IFNA(VLOOKUP(Mon_ILR2[[#This Row],[New Model]],PhilipsLibary[],5,FALSE),"0")</f>
        <v>1127</v>
      </c>
      <c r="V166" s="210">
        <v>1879</v>
      </c>
      <c r="W166" s="210">
        <f>Mon_ILR2[[#This Row],[Accessory Rate]]+Mon_ILR2[[#This Row],[Mounting Rate]]+Mon_ILR2[[#This Row],[Unit Rate]]*Mon_ILR2[[#This Row],[New Quantity Required ]]</f>
        <v>10495</v>
      </c>
      <c r="X166" s="8"/>
      <c r="Y166" s="246" t="s">
        <v>1060</v>
      </c>
      <c r="Z166" s="6" t="s">
        <v>45</v>
      </c>
      <c r="AA166" s="6" t="s">
        <v>46</v>
      </c>
      <c r="AB166" s="6" t="s">
        <v>47</v>
      </c>
      <c r="AC166" s="6" t="s">
        <v>48</v>
      </c>
      <c r="AD166" s="6" t="s">
        <v>49</v>
      </c>
      <c r="AE166" s="6" t="s">
        <v>50</v>
      </c>
      <c r="AF166" s="6" t="s">
        <v>50</v>
      </c>
      <c r="AG166" s="6" t="s">
        <v>50</v>
      </c>
      <c r="AH166" s="6" t="s">
        <v>50</v>
      </c>
      <c r="AI166" s="6" t="s">
        <v>51</v>
      </c>
      <c r="AJ166" s="6" t="s">
        <v>50</v>
      </c>
      <c r="AK166" s="6" t="s">
        <v>50</v>
      </c>
      <c r="AL166" s="6" t="s">
        <v>52</v>
      </c>
      <c r="AM166" s="6" t="s">
        <v>53</v>
      </c>
      <c r="AN166" s="6" t="s">
        <v>50</v>
      </c>
      <c r="AO166" s="6" t="s">
        <v>54</v>
      </c>
    </row>
    <row r="167" spans="2:41" ht="60" customHeight="1" x14ac:dyDescent="0.25">
      <c r="B167" s="207" t="s">
        <v>35</v>
      </c>
      <c r="C167" s="66" t="s">
        <v>58</v>
      </c>
      <c r="D167" s="4" t="s">
        <v>103</v>
      </c>
      <c r="E167" s="4" t="s">
        <v>1027</v>
      </c>
      <c r="F167" s="4" t="s">
        <v>932</v>
      </c>
      <c r="G167" s="4" t="s">
        <v>39</v>
      </c>
      <c r="H167" s="208">
        <v>1</v>
      </c>
      <c r="I167" s="4"/>
      <c r="J167" s="15" t="s">
        <v>104</v>
      </c>
      <c r="K167" s="4" t="s">
        <v>38</v>
      </c>
      <c r="L167" s="4" t="s">
        <v>41</v>
      </c>
      <c r="M167" s="4" t="s">
        <v>64</v>
      </c>
      <c r="N167" s="4" t="s">
        <v>105</v>
      </c>
      <c r="O167" s="4" t="s">
        <v>66</v>
      </c>
      <c r="P167" s="8">
        <v>0</v>
      </c>
      <c r="Q167" s="209">
        <f>Mon_ILR2[[#This Row],[Qty Required]]-Mon_ILR2[[#This Row],[QTY Transfer]]</f>
        <v>1</v>
      </c>
      <c r="R167" s="66" t="s">
        <v>905</v>
      </c>
      <c r="S167" s="66" t="s">
        <v>934</v>
      </c>
      <c r="T167" s="210">
        <v>7489</v>
      </c>
      <c r="U167" s="210">
        <f>_xlfn.IFNA(VLOOKUP(Mon_ILR2[[#This Row],[New Model]],PhilipsLibary[],5,FALSE),"0")</f>
        <v>1127</v>
      </c>
      <c r="V167" s="210">
        <v>1879</v>
      </c>
      <c r="W167" s="210">
        <f>Mon_ILR2[[#This Row],[Accessory Rate]]+Mon_ILR2[[#This Row],[Mounting Rate]]+Mon_ILR2[[#This Row],[Unit Rate]]*Mon_ILR2[[#This Row],[New Quantity Required ]]</f>
        <v>10495</v>
      </c>
      <c r="X167" s="8"/>
      <c r="Y167" s="246" t="s">
        <v>1060</v>
      </c>
      <c r="Z167" s="6" t="s">
        <v>45</v>
      </c>
      <c r="AA167" s="6" t="s">
        <v>46</v>
      </c>
      <c r="AB167" s="6" t="s">
        <v>47</v>
      </c>
      <c r="AC167" s="6" t="s">
        <v>48</v>
      </c>
      <c r="AD167" s="6" t="s">
        <v>49</v>
      </c>
      <c r="AE167" s="6" t="s">
        <v>50</v>
      </c>
      <c r="AF167" s="6" t="s">
        <v>50</v>
      </c>
      <c r="AG167" s="6" t="s">
        <v>50</v>
      </c>
      <c r="AH167" s="6" t="s">
        <v>50</v>
      </c>
      <c r="AI167" s="6" t="s">
        <v>51</v>
      </c>
      <c r="AJ167" s="6" t="s">
        <v>50</v>
      </c>
      <c r="AK167" s="6" t="s">
        <v>50</v>
      </c>
      <c r="AL167" s="6" t="s">
        <v>52</v>
      </c>
      <c r="AM167" s="6" t="s">
        <v>53</v>
      </c>
      <c r="AN167" s="6" t="s">
        <v>50</v>
      </c>
      <c r="AO167" s="6" t="s">
        <v>54</v>
      </c>
    </row>
    <row r="168" spans="2:41" ht="60" customHeight="1" x14ac:dyDescent="0.25">
      <c r="B168" s="207" t="s">
        <v>35</v>
      </c>
      <c r="C168" s="66" t="s">
        <v>58</v>
      </c>
      <c r="D168" s="4" t="s">
        <v>106</v>
      </c>
      <c r="E168" s="4" t="s">
        <v>1027</v>
      </c>
      <c r="F168" s="4" t="s">
        <v>932</v>
      </c>
      <c r="G168" s="4" t="s">
        <v>39</v>
      </c>
      <c r="H168" s="208">
        <v>1</v>
      </c>
      <c r="I168" s="4"/>
      <c r="J168" s="15" t="s">
        <v>107</v>
      </c>
      <c r="K168" s="4" t="s">
        <v>38</v>
      </c>
      <c r="L168" s="4" t="s">
        <v>41</v>
      </c>
      <c r="M168" s="4" t="s">
        <v>108</v>
      </c>
      <c r="N168" s="4" t="s">
        <v>109</v>
      </c>
      <c r="O168" s="4" t="s">
        <v>66</v>
      </c>
      <c r="P168" s="8">
        <v>0</v>
      </c>
      <c r="Q168" s="209">
        <f>Mon_ILR2[[#This Row],[Qty Required]]-Mon_ILR2[[#This Row],[QTY Transfer]]</f>
        <v>1</v>
      </c>
      <c r="R168" s="66" t="s">
        <v>905</v>
      </c>
      <c r="S168" s="66" t="s">
        <v>934</v>
      </c>
      <c r="T168" s="210">
        <v>7489</v>
      </c>
      <c r="U168" s="210">
        <f>_xlfn.IFNA(VLOOKUP(Mon_ILR2[[#This Row],[New Model]],PhilipsLibary[],5,FALSE),"0")</f>
        <v>1127</v>
      </c>
      <c r="V168" s="210">
        <v>1879</v>
      </c>
      <c r="W168" s="210">
        <f>Mon_ILR2[[#This Row],[Accessory Rate]]+Mon_ILR2[[#This Row],[Mounting Rate]]+Mon_ILR2[[#This Row],[Unit Rate]]*Mon_ILR2[[#This Row],[New Quantity Required ]]</f>
        <v>10495</v>
      </c>
      <c r="X168" s="8"/>
      <c r="Y168" s="246" t="s">
        <v>1060</v>
      </c>
      <c r="Z168" s="6" t="s">
        <v>45</v>
      </c>
      <c r="AA168" s="6" t="s">
        <v>46</v>
      </c>
      <c r="AB168" s="6" t="s">
        <v>47</v>
      </c>
      <c r="AC168" s="6" t="s">
        <v>48</v>
      </c>
      <c r="AD168" s="6" t="s">
        <v>49</v>
      </c>
      <c r="AE168" s="6" t="s">
        <v>50</v>
      </c>
      <c r="AF168" s="6" t="s">
        <v>50</v>
      </c>
      <c r="AG168" s="6" t="s">
        <v>50</v>
      </c>
      <c r="AH168" s="6" t="s">
        <v>50</v>
      </c>
      <c r="AI168" s="6" t="s">
        <v>51</v>
      </c>
      <c r="AJ168" s="6" t="s">
        <v>50</v>
      </c>
      <c r="AK168" s="6" t="s">
        <v>50</v>
      </c>
      <c r="AL168" s="6" t="s">
        <v>52</v>
      </c>
      <c r="AM168" s="6" t="s">
        <v>53</v>
      </c>
      <c r="AN168" s="6" t="s">
        <v>50</v>
      </c>
      <c r="AO168" s="6" t="s">
        <v>54</v>
      </c>
    </row>
    <row r="169" spans="2:41" ht="60" customHeight="1" x14ac:dyDescent="0.25">
      <c r="B169" s="207" t="s">
        <v>35</v>
      </c>
      <c r="C169" s="66" t="s">
        <v>58</v>
      </c>
      <c r="D169" s="4" t="s">
        <v>110</v>
      </c>
      <c r="E169" s="4" t="s">
        <v>1027</v>
      </c>
      <c r="F169" s="4" t="s">
        <v>932</v>
      </c>
      <c r="G169" s="4" t="s">
        <v>39</v>
      </c>
      <c r="H169" s="208">
        <v>1</v>
      </c>
      <c r="I169" s="4"/>
      <c r="J169" s="15" t="s">
        <v>111</v>
      </c>
      <c r="K169" s="4" t="s">
        <v>38</v>
      </c>
      <c r="L169" s="4" t="s">
        <v>41</v>
      </c>
      <c r="M169" s="4" t="s">
        <v>42</v>
      </c>
      <c r="N169" s="4" t="s">
        <v>112</v>
      </c>
      <c r="O169" s="4" t="s">
        <v>113</v>
      </c>
      <c r="P169" s="8">
        <v>0</v>
      </c>
      <c r="Q169" s="209">
        <f>Mon_ILR2[[#This Row],[Qty Required]]-Mon_ILR2[[#This Row],[QTY Transfer]]</f>
        <v>1</v>
      </c>
      <c r="R169" s="66" t="s">
        <v>905</v>
      </c>
      <c r="S169" s="66" t="s">
        <v>934</v>
      </c>
      <c r="T169" s="210">
        <v>7489</v>
      </c>
      <c r="U169" s="210">
        <f>_xlfn.IFNA(VLOOKUP(Mon_ILR2[[#This Row],[New Model]],PhilipsLibary[],5,FALSE),"0")</f>
        <v>1127</v>
      </c>
      <c r="V169" s="210">
        <v>1879</v>
      </c>
      <c r="W169" s="210">
        <f>Mon_ILR2[[#This Row],[Accessory Rate]]+Mon_ILR2[[#This Row],[Mounting Rate]]+Mon_ILR2[[#This Row],[Unit Rate]]*Mon_ILR2[[#This Row],[New Quantity Required ]]</f>
        <v>10495</v>
      </c>
      <c r="X169" s="8"/>
      <c r="Y169" s="246" t="s">
        <v>1060</v>
      </c>
      <c r="Z169" s="6" t="s">
        <v>45</v>
      </c>
      <c r="AA169" s="6" t="s">
        <v>46</v>
      </c>
      <c r="AB169" s="6" t="s">
        <v>47</v>
      </c>
      <c r="AC169" s="6" t="s">
        <v>48</v>
      </c>
      <c r="AD169" s="6" t="s">
        <v>49</v>
      </c>
      <c r="AE169" s="6" t="s">
        <v>50</v>
      </c>
      <c r="AF169" s="6" t="s">
        <v>50</v>
      </c>
      <c r="AG169" s="6" t="s">
        <v>50</v>
      </c>
      <c r="AH169" s="6" t="s">
        <v>50</v>
      </c>
      <c r="AI169" s="6" t="s">
        <v>51</v>
      </c>
      <c r="AJ169" s="6" t="s">
        <v>50</v>
      </c>
      <c r="AK169" s="6" t="s">
        <v>50</v>
      </c>
      <c r="AL169" s="6" t="s">
        <v>52</v>
      </c>
      <c r="AM169" s="6" t="s">
        <v>53</v>
      </c>
      <c r="AN169" s="6" t="s">
        <v>50</v>
      </c>
      <c r="AO169" s="6" t="s">
        <v>54</v>
      </c>
    </row>
    <row r="170" spans="2:41" ht="60" customHeight="1" x14ac:dyDescent="0.25">
      <c r="B170" s="207" t="s">
        <v>35</v>
      </c>
      <c r="C170" s="66" t="s">
        <v>58</v>
      </c>
      <c r="D170" s="4" t="s">
        <v>114</v>
      </c>
      <c r="E170" s="4" t="s">
        <v>1027</v>
      </c>
      <c r="F170" s="4" t="s">
        <v>932</v>
      </c>
      <c r="G170" s="4" t="s">
        <v>39</v>
      </c>
      <c r="H170" s="208">
        <v>1</v>
      </c>
      <c r="I170" s="4"/>
      <c r="J170" s="15" t="s">
        <v>115</v>
      </c>
      <c r="K170" s="4" t="s">
        <v>38</v>
      </c>
      <c r="L170" s="4" t="s">
        <v>41</v>
      </c>
      <c r="M170" s="4" t="s">
        <v>42</v>
      </c>
      <c r="N170" s="4" t="s">
        <v>116</v>
      </c>
      <c r="O170" s="4" t="s">
        <v>117</v>
      </c>
      <c r="P170" s="8">
        <v>0</v>
      </c>
      <c r="Q170" s="209">
        <f>Mon_ILR2[[#This Row],[Qty Required]]-Mon_ILR2[[#This Row],[QTY Transfer]]</f>
        <v>1</v>
      </c>
      <c r="R170" s="66" t="s">
        <v>905</v>
      </c>
      <c r="S170" s="66" t="s">
        <v>934</v>
      </c>
      <c r="T170" s="210">
        <v>7489</v>
      </c>
      <c r="U170" s="210">
        <f>_xlfn.IFNA(VLOOKUP(Mon_ILR2[[#This Row],[New Model]],PhilipsLibary[],5,FALSE),"0")</f>
        <v>1127</v>
      </c>
      <c r="V170" s="210">
        <v>1879</v>
      </c>
      <c r="W170" s="210">
        <f>Mon_ILR2[[#This Row],[Accessory Rate]]+Mon_ILR2[[#This Row],[Mounting Rate]]+Mon_ILR2[[#This Row],[Unit Rate]]*Mon_ILR2[[#This Row],[New Quantity Required ]]</f>
        <v>10495</v>
      </c>
      <c r="X170" s="8"/>
      <c r="Y170" s="246" t="s">
        <v>1060</v>
      </c>
      <c r="Z170" s="6" t="s">
        <v>45</v>
      </c>
      <c r="AA170" s="6" t="s">
        <v>46</v>
      </c>
      <c r="AB170" s="6" t="s">
        <v>47</v>
      </c>
      <c r="AC170" s="6" t="s">
        <v>48</v>
      </c>
      <c r="AD170" s="6" t="s">
        <v>49</v>
      </c>
      <c r="AE170" s="6" t="s">
        <v>50</v>
      </c>
      <c r="AF170" s="6" t="s">
        <v>50</v>
      </c>
      <c r="AG170" s="6" t="s">
        <v>50</v>
      </c>
      <c r="AH170" s="6" t="s">
        <v>50</v>
      </c>
      <c r="AI170" s="6" t="s">
        <v>51</v>
      </c>
      <c r="AJ170" s="6" t="s">
        <v>50</v>
      </c>
      <c r="AK170" s="6" t="s">
        <v>50</v>
      </c>
      <c r="AL170" s="6" t="s">
        <v>52</v>
      </c>
      <c r="AM170" s="6" t="s">
        <v>53</v>
      </c>
      <c r="AN170" s="6" t="s">
        <v>50</v>
      </c>
      <c r="AO170" s="6" t="s">
        <v>54</v>
      </c>
    </row>
    <row r="171" spans="2:41" ht="60" customHeight="1" x14ac:dyDescent="0.25">
      <c r="B171" s="207" t="s">
        <v>35</v>
      </c>
      <c r="C171" s="66" t="s">
        <v>58</v>
      </c>
      <c r="D171" s="4" t="s">
        <v>118</v>
      </c>
      <c r="E171" s="4" t="s">
        <v>1027</v>
      </c>
      <c r="F171" s="4" t="s">
        <v>932</v>
      </c>
      <c r="G171" s="4" t="s">
        <v>39</v>
      </c>
      <c r="H171" s="208">
        <v>1</v>
      </c>
      <c r="I171" s="4"/>
      <c r="J171" s="15" t="s">
        <v>119</v>
      </c>
      <c r="K171" s="4" t="s">
        <v>38</v>
      </c>
      <c r="L171" s="4" t="s">
        <v>41</v>
      </c>
      <c r="M171" s="4" t="s">
        <v>42</v>
      </c>
      <c r="N171" s="4" t="s">
        <v>116</v>
      </c>
      <c r="O171" s="4" t="s">
        <v>117</v>
      </c>
      <c r="P171" s="8">
        <v>0</v>
      </c>
      <c r="Q171" s="209">
        <f>Mon_ILR2[[#This Row],[Qty Required]]-Mon_ILR2[[#This Row],[QTY Transfer]]</f>
        <v>1</v>
      </c>
      <c r="R171" s="66" t="s">
        <v>905</v>
      </c>
      <c r="S171" s="66" t="s">
        <v>934</v>
      </c>
      <c r="T171" s="210">
        <v>7489</v>
      </c>
      <c r="U171" s="210">
        <f>_xlfn.IFNA(VLOOKUP(Mon_ILR2[[#This Row],[New Model]],PhilipsLibary[],5,FALSE),"0")</f>
        <v>1127</v>
      </c>
      <c r="V171" s="210">
        <v>1879</v>
      </c>
      <c r="W171" s="210">
        <f>Mon_ILR2[[#This Row],[Accessory Rate]]+Mon_ILR2[[#This Row],[Mounting Rate]]+Mon_ILR2[[#This Row],[Unit Rate]]*Mon_ILR2[[#This Row],[New Quantity Required ]]</f>
        <v>10495</v>
      </c>
      <c r="X171" s="8"/>
      <c r="Y171" s="246" t="s">
        <v>1060</v>
      </c>
      <c r="Z171" s="6" t="s">
        <v>45</v>
      </c>
      <c r="AA171" s="6" t="s">
        <v>46</v>
      </c>
      <c r="AB171" s="6" t="s">
        <v>47</v>
      </c>
      <c r="AC171" s="6" t="s">
        <v>48</v>
      </c>
      <c r="AD171" s="6" t="s">
        <v>49</v>
      </c>
      <c r="AE171" s="6" t="s">
        <v>50</v>
      </c>
      <c r="AF171" s="6" t="s">
        <v>50</v>
      </c>
      <c r="AG171" s="6" t="s">
        <v>50</v>
      </c>
      <c r="AH171" s="6" t="s">
        <v>50</v>
      </c>
      <c r="AI171" s="6" t="s">
        <v>51</v>
      </c>
      <c r="AJ171" s="6" t="s">
        <v>50</v>
      </c>
      <c r="AK171" s="6" t="s">
        <v>50</v>
      </c>
      <c r="AL171" s="6" t="s">
        <v>52</v>
      </c>
      <c r="AM171" s="6" t="s">
        <v>53</v>
      </c>
      <c r="AN171" s="6" t="s">
        <v>50</v>
      </c>
      <c r="AO171" s="6" t="s">
        <v>54</v>
      </c>
    </row>
    <row r="172" spans="2:41" ht="60" customHeight="1" x14ac:dyDescent="0.25">
      <c r="B172" s="207" t="s">
        <v>35</v>
      </c>
      <c r="C172" s="66" t="s">
        <v>609</v>
      </c>
      <c r="D172" s="4" t="s">
        <v>798</v>
      </c>
      <c r="E172" s="4" t="s">
        <v>1027</v>
      </c>
      <c r="F172" s="4" t="s">
        <v>932</v>
      </c>
      <c r="G172" s="4" t="s">
        <v>39</v>
      </c>
      <c r="H172" s="208">
        <v>1</v>
      </c>
      <c r="I172" s="4"/>
      <c r="J172" s="15"/>
      <c r="K172" s="4" t="str">
        <f>_xlfn.IFNA(VLOOKUP($J172,WH_Data[],6,FALSE),"")</f>
        <v/>
      </c>
      <c r="L172" s="4" t="str">
        <f>_xlfn.IFNA(VLOOKUP($J172,WH_Data[],3,FALSE),"")</f>
        <v/>
      </c>
      <c r="M172" s="4" t="str">
        <f>_xlfn.IFNA(VLOOKUP($J172,WH_Data[],5,FALSE),"")</f>
        <v/>
      </c>
      <c r="N172" s="4" t="str">
        <f>_xlfn.IFNA(VLOOKUP($J172,WH_Data[],7,FALSE),"")</f>
        <v/>
      </c>
      <c r="O172" s="4" t="str">
        <f>_xlfn.IFNA(VLOOKUP($J172,WH_Data[],8,FALSE),"")</f>
        <v/>
      </c>
      <c r="P172" s="8"/>
      <c r="Q172" s="209">
        <f>Mon_ILR2[[#This Row],[Qty Required]]-Mon_ILR2[[#This Row],[QTY Transfer]]</f>
        <v>1</v>
      </c>
      <c r="R172" s="66" t="s">
        <v>905</v>
      </c>
      <c r="S172" s="66" t="s">
        <v>934</v>
      </c>
      <c r="T172" s="210">
        <v>7489</v>
      </c>
      <c r="U172" s="210">
        <f>_xlfn.IFNA(VLOOKUP(Mon_ILR2[[#This Row],[New Model]],PhilipsLibary[],5,FALSE),"0")</f>
        <v>1127</v>
      </c>
      <c r="V172" s="210">
        <v>1879</v>
      </c>
      <c r="W172" s="210">
        <f>Mon_ILR2[[#This Row],[Accessory Rate]]+Mon_ILR2[[#This Row],[Mounting Rate]]+Mon_ILR2[[#This Row],[Unit Rate]]*Mon_ILR2[[#This Row],[New Quantity Required ]]</f>
        <v>10495</v>
      </c>
      <c r="X172" s="8"/>
      <c r="Y172" s="246" t="s">
        <v>1060</v>
      </c>
      <c r="Z172" s="6" t="s">
        <v>45</v>
      </c>
      <c r="AA172" s="6" t="s">
        <v>46</v>
      </c>
      <c r="AB172" s="6" t="s">
        <v>47</v>
      </c>
      <c r="AC172" s="6" t="s">
        <v>48</v>
      </c>
      <c r="AD172" s="6" t="s">
        <v>49</v>
      </c>
      <c r="AE172" s="6" t="s">
        <v>50</v>
      </c>
      <c r="AF172" s="6" t="s">
        <v>50</v>
      </c>
      <c r="AG172" s="6" t="s">
        <v>50</v>
      </c>
      <c r="AH172" s="6" t="s">
        <v>50</v>
      </c>
      <c r="AI172" s="6" t="s">
        <v>51</v>
      </c>
      <c r="AJ172" s="6" t="s">
        <v>50</v>
      </c>
      <c r="AK172" s="6" t="s">
        <v>50</v>
      </c>
      <c r="AL172" s="6" t="s">
        <v>52</v>
      </c>
      <c r="AM172" s="6" t="s">
        <v>53</v>
      </c>
      <c r="AN172" s="6" t="s">
        <v>50</v>
      </c>
      <c r="AO172" s="6" t="s">
        <v>54</v>
      </c>
    </row>
    <row r="173" spans="2:41" ht="60" customHeight="1" x14ac:dyDescent="0.25">
      <c r="B173" s="207" t="s">
        <v>35</v>
      </c>
      <c r="C173" s="66" t="s">
        <v>609</v>
      </c>
      <c r="D173" s="4" t="s">
        <v>799</v>
      </c>
      <c r="E173" s="4" t="s">
        <v>1027</v>
      </c>
      <c r="F173" s="4" t="s">
        <v>932</v>
      </c>
      <c r="G173" s="4" t="s">
        <v>39</v>
      </c>
      <c r="H173" s="208">
        <v>1</v>
      </c>
      <c r="I173" s="4"/>
      <c r="J173" s="15"/>
      <c r="K173" s="4" t="str">
        <f>_xlfn.IFNA(VLOOKUP($J173,WH_Data[],6,FALSE),"")</f>
        <v/>
      </c>
      <c r="L173" s="4" t="str">
        <f>_xlfn.IFNA(VLOOKUP($J173,WH_Data[],3,FALSE),"")</f>
        <v/>
      </c>
      <c r="M173" s="4" t="str">
        <f>_xlfn.IFNA(VLOOKUP($J173,WH_Data[],5,FALSE),"")</f>
        <v/>
      </c>
      <c r="N173" s="4" t="str">
        <f>_xlfn.IFNA(VLOOKUP($J173,WH_Data[],7,FALSE),"")</f>
        <v/>
      </c>
      <c r="O173" s="4" t="str">
        <f>_xlfn.IFNA(VLOOKUP($J173,WH_Data[],8,FALSE),"")</f>
        <v/>
      </c>
      <c r="P173" s="8"/>
      <c r="Q173" s="209">
        <f>Mon_ILR2[[#This Row],[Qty Required]]-Mon_ILR2[[#This Row],[QTY Transfer]]</f>
        <v>1</v>
      </c>
      <c r="R173" s="66" t="s">
        <v>905</v>
      </c>
      <c r="S173" s="66" t="s">
        <v>934</v>
      </c>
      <c r="T173" s="210">
        <v>7489</v>
      </c>
      <c r="U173" s="210">
        <f>_xlfn.IFNA(VLOOKUP(Mon_ILR2[[#This Row],[New Model]],PhilipsLibary[],5,FALSE),"0")</f>
        <v>1127</v>
      </c>
      <c r="V173" s="210">
        <v>1879</v>
      </c>
      <c r="W173" s="210">
        <f>Mon_ILR2[[#This Row],[Accessory Rate]]+Mon_ILR2[[#This Row],[Mounting Rate]]+Mon_ILR2[[#This Row],[Unit Rate]]*Mon_ILR2[[#This Row],[New Quantity Required ]]</f>
        <v>10495</v>
      </c>
      <c r="X173" s="8"/>
      <c r="Y173" s="246" t="s">
        <v>1060</v>
      </c>
      <c r="Z173" s="6" t="s">
        <v>45</v>
      </c>
      <c r="AA173" s="6" t="s">
        <v>46</v>
      </c>
      <c r="AB173" s="6" t="s">
        <v>47</v>
      </c>
      <c r="AC173" s="6" t="s">
        <v>48</v>
      </c>
      <c r="AD173" s="6" t="s">
        <v>49</v>
      </c>
      <c r="AE173" s="6" t="s">
        <v>50</v>
      </c>
      <c r="AF173" s="6" t="s">
        <v>50</v>
      </c>
      <c r="AG173" s="6" t="s">
        <v>50</v>
      </c>
      <c r="AH173" s="6" t="s">
        <v>50</v>
      </c>
      <c r="AI173" s="6" t="s">
        <v>51</v>
      </c>
      <c r="AJ173" s="6" t="s">
        <v>50</v>
      </c>
      <c r="AK173" s="6" t="s">
        <v>50</v>
      </c>
      <c r="AL173" s="6" t="s">
        <v>52</v>
      </c>
      <c r="AM173" s="6" t="s">
        <v>53</v>
      </c>
      <c r="AN173" s="6" t="s">
        <v>50</v>
      </c>
      <c r="AO173" s="6" t="s">
        <v>54</v>
      </c>
    </row>
    <row r="174" spans="2:41" ht="60" customHeight="1" x14ac:dyDescent="0.25">
      <c r="B174" s="207" t="s">
        <v>35</v>
      </c>
      <c r="C174" s="66" t="s">
        <v>58</v>
      </c>
      <c r="D174" s="4" t="s">
        <v>800</v>
      </c>
      <c r="E174" s="4" t="s">
        <v>1027</v>
      </c>
      <c r="F174" s="4" t="s">
        <v>932</v>
      </c>
      <c r="G174" s="4" t="s">
        <v>39</v>
      </c>
      <c r="H174" s="208">
        <v>1</v>
      </c>
      <c r="I174" s="4"/>
      <c r="J174" s="15"/>
      <c r="K174" s="4" t="str">
        <f>_xlfn.IFNA(VLOOKUP($J174,WH_Data[],6,FALSE),"")</f>
        <v/>
      </c>
      <c r="L174" s="4" t="str">
        <f>_xlfn.IFNA(VLOOKUP($J174,WH_Data[],3,FALSE),"")</f>
        <v/>
      </c>
      <c r="M174" s="4" t="str">
        <f>_xlfn.IFNA(VLOOKUP($J174,WH_Data[],5,FALSE),"")</f>
        <v/>
      </c>
      <c r="N174" s="4" t="str">
        <f>_xlfn.IFNA(VLOOKUP($J174,WH_Data[],7,FALSE),"")</f>
        <v/>
      </c>
      <c r="O174" s="4" t="str">
        <f>_xlfn.IFNA(VLOOKUP($J174,WH_Data[],8,FALSE),"")</f>
        <v/>
      </c>
      <c r="P174" s="8"/>
      <c r="Q174" s="209">
        <f>Mon_ILR2[[#This Row],[Qty Required]]-Mon_ILR2[[#This Row],[QTY Transfer]]</f>
        <v>1</v>
      </c>
      <c r="R174" s="66" t="s">
        <v>905</v>
      </c>
      <c r="S174" s="66" t="s">
        <v>934</v>
      </c>
      <c r="T174" s="210">
        <v>7489</v>
      </c>
      <c r="U174" s="210">
        <f>_xlfn.IFNA(VLOOKUP(Mon_ILR2[[#This Row],[New Model]],PhilipsLibary[],5,FALSE),"0")</f>
        <v>1127</v>
      </c>
      <c r="V174" s="210">
        <v>1879</v>
      </c>
      <c r="W174" s="210">
        <f>Mon_ILR2[[#This Row],[Accessory Rate]]+Mon_ILR2[[#This Row],[Mounting Rate]]+Mon_ILR2[[#This Row],[Unit Rate]]*Mon_ILR2[[#This Row],[New Quantity Required ]]</f>
        <v>10495</v>
      </c>
      <c r="X174" s="8"/>
      <c r="Y174" s="246" t="s">
        <v>1060</v>
      </c>
      <c r="Z174" s="6" t="s">
        <v>45</v>
      </c>
      <c r="AA174" s="6" t="s">
        <v>46</v>
      </c>
      <c r="AB174" s="6" t="s">
        <v>47</v>
      </c>
      <c r="AC174" s="6" t="s">
        <v>48</v>
      </c>
      <c r="AD174" s="6" t="s">
        <v>49</v>
      </c>
      <c r="AE174" s="6" t="s">
        <v>50</v>
      </c>
      <c r="AF174" s="6" t="s">
        <v>50</v>
      </c>
      <c r="AG174" s="6" t="s">
        <v>50</v>
      </c>
      <c r="AH174" s="6" t="s">
        <v>50</v>
      </c>
      <c r="AI174" s="6" t="s">
        <v>51</v>
      </c>
      <c r="AJ174" s="6" t="s">
        <v>50</v>
      </c>
      <c r="AK174" s="6" t="s">
        <v>50</v>
      </c>
      <c r="AL174" s="6" t="s">
        <v>52</v>
      </c>
      <c r="AM174" s="6" t="s">
        <v>53</v>
      </c>
      <c r="AN174" s="6" t="s">
        <v>50</v>
      </c>
      <c r="AO174" s="6" t="s">
        <v>54</v>
      </c>
    </row>
    <row r="175" spans="2:41" ht="60" customHeight="1" x14ac:dyDescent="0.25">
      <c r="B175" s="207" t="s">
        <v>35</v>
      </c>
      <c r="C175" s="66" t="s">
        <v>58</v>
      </c>
      <c r="D175" s="4" t="s">
        <v>801</v>
      </c>
      <c r="E175" s="4" t="s">
        <v>1027</v>
      </c>
      <c r="F175" s="4" t="s">
        <v>932</v>
      </c>
      <c r="G175" s="4" t="s">
        <v>39</v>
      </c>
      <c r="H175" s="208">
        <v>1</v>
      </c>
      <c r="I175" s="4"/>
      <c r="J175" s="15"/>
      <c r="K175" s="4" t="str">
        <f>_xlfn.IFNA(VLOOKUP($J175,WH_Data[],6,FALSE),"")</f>
        <v/>
      </c>
      <c r="L175" s="4" t="str">
        <f>_xlfn.IFNA(VLOOKUP($J175,WH_Data[],3,FALSE),"")</f>
        <v/>
      </c>
      <c r="M175" s="4" t="str">
        <f>_xlfn.IFNA(VLOOKUP($J175,WH_Data[],5,FALSE),"")</f>
        <v/>
      </c>
      <c r="N175" s="4" t="str">
        <f>_xlfn.IFNA(VLOOKUP($J175,WH_Data[],7,FALSE),"")</f>
        <v/>
      </c>
      <c r="O175" s="4" t="str">
        <f>_xlfn.IFNA(VLOOKUP($J175,WH_Data[],8,FALSE),"")</f>
        <v/>
      </c>
      <c r="P175" s="8"/>
      <c r="Q175" s="209">
        <f>Mon_ILR2[[#This Row],[Qty Required]]-Mon_ILR2[[#This Row],[QTY Transfer]]</f>
        <v>1</v>
      </c>
      <c r="R175" s="66" t="s">
        <v>905</v>
      </c>
      <c r="S175" s="66" t="s">
        <v>934</v>
      </c>
      <c r="T175" s="210">
        <v>7489</v>
      </c>
      <c r="U175" s="210">
        <f>_xlfn.IFNA(VLOOKUP(Mon_ILR2[[#This Row],[New Model]],PhilipsLibary[],5,FALSE),"0")</f>
        <v>1127</v>
      </c>
      <c r="V175" s="210">
        <v>1879</v>
      </c>
      <c r="W175" s="210">
        <f>Mon_ILR2[[#This Row],[Accessory Rate]]+Mon_ILR2[[#This Row],[Mounting Rate]]+Mon_ILR2[[#This Row],[Unit Rate]]*Mon_ILR2[[#This Row],[New Quantity Required ]]</f>
        <v>10495</v>
      </c>
      <c r="X175" s="8"/>
      <c r="Y175" s="246" t="s">
        <v>1060</v>
      </c>
      <c r="Z175" s="6" t="s">
        <v>45</v>
      </c>
      <c r="AA175" s="6" t="s">
        <v>46</v>
      </c>
      <c r="AB175" s="6" t="s">
        <v>47</v>
      </c>
      <c r="AC175" s="6" t="s">
        <v>48</v>
      </c>
      <c r="AD175" s="6" t="s">
        <v>49</v>
      </c>
      <c r="AE175" s="6" t="s">
        <v>50</v>
      </c>
      <c r="AF175" s="6" t="s">
        <v>50</v>
      </c>
      <c r="AG175" s="6" t="s">
        <v>50</v>
      </c>
      <c r="AH175" s="6" t="s">
        <v>50</v>
      </c>
      <c r="AI175" s="6" t="s">
        <v>51</v>
      </c>
      <c r="AJ175" s="6" t="s">
        <v>50</v>
      </c>
      <c r="AK175" s="6" t="s">
        <v>50</v>
      </c>
      <c r="AL175" s="6" t="s">
        <v>52</v>
      </c>
      <c r="AM175" s="6" t="s">
        <v>53</v>
      </c>
      <c r="AN175" s="6" t="s">
        <v>50</v>
      </c>
      <c r="AO175" s="6" t="s">
        <v>54</v>
      </c>
    </row>
    <row r="176" spans="2:41" ht="60" customHeight="1" x14ac:dyDescent="0.25">
      <c r="B176" s="207" t="s">
        <v>35</v>
      </c>
      <c r="C176" s="66" t="s">
        <v>58</v>
      </c>
      <c r="D176" s="4" t="s">
        <v>802</v>
      </c>
      <c r="E176" s="4" t="s">
        <v>1027</v>
      </c>
      <c r="F176" s="4" t="s">
        <v>932</v>
      </c>
      <c r="G176" s="4" t="s">
        <v>39</v>
      </c>
      <c r="H176" s="208">
        <v>1</v>
      </c>
      <c r="I176" s="4"/>
      <c r="J176" s="15"/>
      <c r="K176" s="4" t="str">
        <f>_xlfn.IFNA(VLOOKUP($J176,WH_Data[],6,FALSE),"")</f>
        <v/>
      </c>
      <c r="L176" s="4" t="str">
        <f>_xlfn.IFNA(VLOOKUP($J176,WH_Data[],3,FALSE),"")</f>
        <v/>
      </c>
      <c r="M176" s="4" t="str">
        <f>_xlfn.IFNA(VLOOKUP($J176,WH_Data[],5,FALSE),"")</f>
        <v/>
      </c>
      <c r="N176" s="4" t="str">
        <f>_xlfn.IFNA(VLOOKUP($J176,WH_Data[],7,FALSE),"")</f>
        <v/>
      </c>
      <c r="O176" s="4" t="str">
        <f>_xlfn.IFNA(VLOOKUP($J176,WH_Data[],8,FALSE),"")</f>
        <v/>
      </c>
      <c r="P176" s="8"/>
      <c r="Q176" s="209">
        <f>Mon_ILR2[[#This Row],[Qty Required]]-Mon_ILR2[[#This Row],[QTY Transfer]]</f>
        <v>1</v>
      </c>
      <c r="R176" s="66" t="s">
        <v>905</v>
      </c>
      <c r="S176" s="66" t="s">
        <v>934</v>
      </c>
      <c r="T176" s="210">
        <v>7489</v>
      </c>
      <c r="U176" s="210">
        <f>_xlfn.IFNA(VLOOKUP(Mon_ILR2[[#This Row],[New Model]],PhilipsLibary[],5,FALSE),"0")</f>
        <v>1127</v>
      </c>
      <c r="V176" s="210">
        <v>1879</v>
      </c>
      <c r="W176" s="210">
        <f>Mon_ILR2[[#This Row],[Accessory Rate]]+Mon_ILR2[[#This Row],[Mounting Rate]]+Mon_ILR2[[#This Row],[Unit Rate]]*Mon_ILR2[[#This Row],[New Quantity Required ]]</f>
        <v>10495</v>
      </c>
      <c r="X176" s="8"/>
      <c r="Y176" s="246" t="s">
        <v>1060</v>
      </c>
      <c r="Z176" s="6" t="s">
        <v>45</v>
      </c>
      <c r="AA176" s="6" t="s">
        <v>46</v>
      </c>
      <c r="AB176" s="6" t="s">
        <v>47</v>
      </c>
      <c r="AC176" s="6" t="s">
        <v>48</v>
      </c>
      <c r="AD176" s="6" t="s">
        <v>49</v>
      </c>
      <c r="AE176" s="6" t="s">
        <v>50</v>
      </c>
      <c r="AF176" s="6" t="s">
        <v>50</v>
      </c>
      <c r="AG176" s="6" t="s">
        <v>50</v>
      </c>
      <c r="AH176" s="6" t="s">
        <v>50</v>
      </c>
      <c r="AI176" s="6" t="s">
        <v>51</v>
      </c>
      <c r="AJ176" s="6" t="s">
        <v>50</v>
      </c>
      <c r="AK176" s="6" t="s">
        <v>50</v>
      </c>
      <c r="AL176" s="6" t="s">
        <v>52</v>
      </c>
      <c r="AM176" s="6" t="s">
        <v>53</v>
      </c>
      <c r="AN176" s="6" t="s">
        <v>50</v>
      </c>
      <c r="AO176" s="6" t="s">
        <v>54</v>
      </c>
    </row>
    <row r="177" spans="2:42" ht="60" customHeight="1" x14ac:dyDescent="0.25">
      <c r="B177" s="207" t="s">
        <v>35</v>
      </c>
      <c r="C177" s="66" t="s">
        <v>807</v>
      </c>
      <c r="D177" s="4" t="s">
        <v>808</v>
      </c>
      <c r="E177" s="4" t="s">
        <v>1027</v>
      </c>
      <c r="F177" s="4" t="s">
        <v>932</v>
      </c>
      <c r="G177" s="4" t="s">
        <v>39</v>
      </c>
      <c r="H177" s="208">
        <v>1</v>
      </c>
      <c r="I177" s="4"/>
      <c r="J177" s="15"/>
      <c r="K177" s="4" t="str">
        <f>_xlfn.IFNA(VLOOKUP($J177,WH_Data[],6,FALSE),"")</f>
        <v/>
      </c>
      <c r="L177" s="4" t="str">
        <f>_xlfn.IFNA(VLOOKUP($J177,WH_Data[],3,FALSE),"")</f>
        <v/>
      </c>
      <c r="M177" s="4" t="str">
        <f>_xlfn.IFNA(VLOOKUP($J177,WH_Data[],5,FALSE),"")</f>
        <v/>
      </c>
      <c r="N177" s="4" t="str">
        <f>_xlfn.IFNA(VLOOKUP($J177,WH_Data[],7,FALSE),"")</f>
        <v/>
      </c>
      <c r="O177" s="4" t="str">
        <f>_xlfn.IFNA(VLOOKUP($J177,WH_Data[],8,FALSE),"")</f>
        <v/>
      </c>
      <c r="P177" s="8"/>
      <c r="Q177" s="209">
        <f>Mon_ILR2[[#This Row],[Qty Required]]-Mon_ILR2[[#This Row],[QTY Transfer]]</f>
        <v>1</v>
      </c>
      <c r="R177" s="66" t="s">
        <v>905</v>
      </c>
      <c r="S177" s="66" t="s">
        <v>934</v>
      </c>
      <c r="T177" s="210">
        <v>7489</v>
      </c>
      <c r="U177" s="210">
        <f>_xlfn.IFNA(VLOOKUP(Mon_ILR2[[#This Row],[New Model]],PhilipsLibary[],5,FALSE),"0")</f>
        <v>1127</v>
      </c>
      <c r="V177" s="210">
        <v>1879</v>
      </c>
      <c r="W177" s="210">
        <f>Mon_ILR2[[#This Row],[Accessory Rate]]+Mon_ILR2[[#This Row],[Mounting Rate]]+Mon_ILR2[[#This Row],[Unit Rate]]*Mon_ILR2[[#This Row],[New Quantity Required ]]</f>
        <v>10495</v>
      </c>
      <c r="X177" s="8"/>
      <c r="Y177" s="246" t="s">
        <v>1060</v>
      </c>
      <c r="Z177" s="6" t="s">
        <v>45</v>
      </c>
      <c r="AA177" s="6" t="s">
        <v>46</v>
      </c>
      <c r="AB177" s="6" t="s">
        <v>47</v>
      </c>
      <c r="AC177" s="6" t="s">
        <v>48</v>
      </c>
      <c r="AD177" s="6" t="s">
        <v>49</v>
      </c>
      <c r="AE177" s="6" t="s">
        <v>50</v>
      </c>
      <c r="AF177" s="6" t="s">
        <v>50</v>
      </c>
      <c r="AG177" s="6" t="s">
        <v>50</v>
      </c>
      <c r="AH177" s="6" t="s">
        <v>50</v>
      </c>
      <c r="AI177" s="6" t="s">
        <v>51</v>
      </c>
      <c r="AJ177" s="6" t="s">
        <v>50</v>
      </c>
      <c r="AK177" s="6" t="s">
        <v>50</v>
      </c>
      <c r="AL177" s="6" t="s">
        <v>52</v>
      </c>
      <c r="AM177" s="6" t="s">
        <v>53</v>
      </c>
      <c r="AN177" s="6" t="s">
        <v>50</v>
      </c>
      <c r="AO177" s="6" t="s">
        <v>54</v>
      </c>
    </row>
    <row r="178" spans="2:42" ht="60" customHeight="1" x14ac:dyDescent="0.25">
      <c r="B178" s="207" t="s">
        <v>35</v>
      </c>
      <c r="C178" s="66" t="s">
        <v>807</v>
      </c>
      <c r="D178" s="4" t="s">
        <v>809</v>
      </c>
      <c r="E178" s="4" t="s">
        <v>1027</v>
      </c>
      <c r="F178" s="4" t="s">
        <v>932</v>
      </c>
      <c r="G178" s="4" t="s">
        <v>39</v>
      </c>
      <c r="H178" s="208">
        <v>1</v>
      </c>
      <c r="I178" s="4"/>
      <c r="J178" s="15"/>
      <c r="K178" s="4" t="str">
        <f>_xlfn.IFNA(VLOOKUP($J178,WH_Data[],6,FALSE),"")</f>
        <v/>
      </c>
      <c r="L178" s="4" t="str">
        <f>_xlfn.IFNA(VLOOKUP($J178,WH_Data[],3,FALSE),"")</f>
        <v/>
      </c>
      <c r="M178" s="4" t="str">
        <f>_xlfn.IFNA(VLOOKUP($J178,WH_Data[],5,FALSE),"")</f>
        <v/>
      </c>
      <c r="N178" s="4" t="str">
        <f>_xlfn.IFNA(VLOOKUP($J178,WH_Data[],7,FALSE),"")</f>
        <v/>
      </c>
      <c r="O178" s="4" t="str">
        <f>_xlfn.IFNA(VLOOKUP($J178,WH_Data[],8,FALSE),"")</f>
        <v/>
      </c>
      <c r="P178" s="8"/>
      <c r="Q178" s="209">
        <f>Mon_ILR2[[#This Row],[Qty Required]]-Mon_ILR2[[#This Row],[QTY Transfer]]</f>
        <v>1</v>
      </c>
      <c r="R178" s="66" t="s">
        <v>905</v>
      </c>
      <c r="S178" s="66" t="s">
        <v>934</v>
      </c>
      <c r="T178" s="210">
        <v>7489</v>
      </c>
      <c r="U178" s="210">
        <f>_xlfn.IFNA(VLOOKUP(Mon_ILR2[[#This Row],[New Model]],PhilipsLibary[],5,FALSE),"0")</f>
        <v>1127</v>
      </c>
      <c r="V178" s="210">
        <v>1879</v>
      </c>
      <c r="W178" s="210">
        <f>Mon_ILR2[[#This Row],[Accessory Rate]]+Mon_ILR2[[#This Row],[Mounting Rate]]+Mon_ILR2[[#This Row],[Unit Rate]]*Mon_ILR2[[#This Row],[New Quantity Required ]]</f>
        <v>10495</v>
      </c>
      <c r="X178" s="8"/>
      <c r="Y178" s="246" t="s">
        <v>1060</v>
      </c>
      <c r="Z178" s="6" t="s">
        <v>45</v>
      </c>
      <c r="AA178" s="6" t="s">
        <v>46</v>
      </c>
      <c r="AB178" s="6" t="s">
        <v>47</v>
      </c>
      <c r="AC178" s="6" t="s">
        <v>48</v>
      </c>
      <c r="AD178" s="6" t="s">
        <v>49</v>
      </c>
      <c r="AE178" s="6" t="s">
        <v>50</v>
      </c>
      <c r="AF178" s="6" t="s">
        <v>50</v>
      </c>
      <c r="AG178" s="6" t="s">
        <v>50</v>
      </c>
      <c r="AH178" s="6" t="s">
        <v>50</v>
      </c>
      <c r="AI178" s="6" t="s">
        <v>51</v>
      </c>
      <c r="AJ178" s="6" t="s">
        <v>50</v>
      </c>
      <c r="AK178" s="6" t="s">
        <v>50</v>
      </c>
      <c r="AL178" s="6" t="s">
        <v>52</v>
      </c>
      <c r="AM178" s="6" t="s">
        <v>53</v>
      </c>
      <c r="AN178" s="6" t="s">
        <v>50</v>
      </c>
      <c r="AO178" s="6" t="s">
        <v>54</v>
      </c>
    </row>
    <row r="179" spans="2:42" ht="195" x14ac:dyDescent="0.25">
      <c r="B179" s="207" t="s">
        <v>35</v>
      </c>
      <c r="C179" s="66" t="s">
        <v>410</v>
      </c>
      <c r="D179" s="4" t="s">
        <v>815</v>
      </c>
      <c r="E179" s="4" t="s">
        <v>1027</v>
      </c>
      <c r="F179" s="4" t="s">
        <v>932</v>
      </c>
      <c r="G179" s="4" t="s">
        <v>39</v>
      </c>
      <c r="H179" s="208">
        <v>1</v>
      </c>
      <c r="I179" s="4"/>
      <c r="J179" s="15"/>
      <c r="K179" s="4" t="str">
        <f>_xlfn.IFNA(VLOOKUP($J179,WH_Data[],6,FALSE),"")</f>
        <v/>
      </c>
      <c r="L179" s="4" t="str">
        <f>_xlfn.IFNA(VLOOKUP($J179,WH_Data[],3,FALSE),"")</f>
        <v/>
      </c>
      <c r="M179" s="4" t="str">
        <f>_xlfn.IFNA(VLOOKUP($J179,WH_Data[],5,FALSE),"")</f>
        <v/>
      </c>
      <c r="N179" s="4" t="str">
        <f>_xlfn.IFNA(VLOOKUP($J179,WH_Data[],7,FALSE),"")</f>
        <v/>
      </c>
      <c r="O179" s="4" t="str">
        <f>_xlfn.IFNA(VLOOKUP($J179,WH_Data[],8,FALSE),"")</f>
        <v/>
      </c>
      <c r="P179" s="8"/>
      <c r="Q179" s="209">
        <f>Mon_ILR2[[#This Row],[Qty Required]]-Mon_ILR2[[#This Row],[QTY Transfer]]</f>
        <v>1</v>
      </c>
      <c r="R179" s="66" t="s">
        <v>905</v>
      </c>
      <c r="S179" s="66" t="s">
        <v>934</v>
      </c>
      <c r="T179" s="210">
        <v>7489</v>
      </c>
      <c r="U179" s="303">
        <v>876</v>
      </c>
      <c r="V179" s="210">
        <v>1879</v>
      </c>
      <c r="W179" s="210">
        <f>Mon_ILR2[[#This Row],[Accessory Rate]]+Mon_ILR2[[#This Row],[Mounting Rate]]+Mon_ILR2[[#This Row],[Unit Rate]]*Mon_ILR2[[#This Row],[New Quantity Required ]]</f>
        <v>10244</v>
      </c>
      <c r="X179" s="8"/>
      <c r="Y179" s="289" t="s">
        <v>2197</v>
      </c>
      <c r="Z179" s="6" t="s">
        <v>45</v>
      </c>
      <c r="AA179" s="6" t="s">
        <v>46</v>
      </c>
      <c r="AB179" s="6" t="s">
        <v>47</v>
      </c>
      <c r="AC179" s="6" t="s">
        <v>48</v>
      </c>
      <c r="AD179" s="6" t="s">
        <v>49</v>
      </c>
      <c r="AE179" s="6" t="s">
        <v>50</v>
      </c>
      <c r="AF179" s="6" t="s">
        <v>50</v>
      </c>
      <c r="AG179" s="6" t="s">
        <v>50</v>
      </c>
      <c r="AH179" s="6" t="s">
        <v>50</v>
      </c>
      <c r="AI179" s="6" t="s">
        <v>51</v>
      </c>
      <c r="AJ179" s="6" t="s">
        <v>50</v>
      </c>
      <c r="AK179" s="6" t="s">
        <v>50</v>
      </c>
      <c r="AL179" s="6" t="s">
        <v>52</v>
      </c>
      <c r="AM179" s="6" t="s">
        <v>53</v>
      </c>
      <c r="AN179" s="6" t="s">
        <v>50</v>
      </c>
      <c r="AO179" s="6" t="s">
        <v>54</v>
      </c>
    </row>
    <row r="180" spans="2:42" ht="195" x14ac:dyDescent="0.25">
      <c r="B180" s="207" t="s">
        <v>35</v>
      </c>
      <c r="C180" s="66" t="s">
        <v>410</v>
      </c>
      <c r="D180" s="4" t="s">
        <v>817</v>
      </c>
      <c r="E180" s="4" t="s">
        <v>1027</v>
      </c>
      <c r="F180" s="4" t="s">
        <v>932</v>
      </c>
      <c r="G180" s="4" t="s">
        <v>39</v>
      </c>
      <c r="H180" s="208">
        <v>1</v>
      </c>
      <c r="I180" s="4"/>
      <c r="J180" s="15"/>
      <c r="K180" s="4" t="str">
        <f>_xlfn.IFNA(VLOOKUP($J180,WH_Data[],6,FALSE),"")</f>
        <v/>
      </c>
      <c r="L180" s="4" t="str">
        <f>_xlfn.IFNA(VLOOKUP($J180,WH_Data[],3,FALSE),"")</f>
        <v/>
      </c>
      <c r="M180" s="4" t="str">
        <f>_xlfn.IFNA(VLOOKUP($J180,WH_Data[],5,FALSE),"")</f>
        <v/>
      </c>
      <c r="N180" s="4" t="str">
        <f>_xlfn.IFNA(VLOOKUP($J180,WH_Data[],7,FALSE),"")</f>
        <v/>
      </c>
      <c r="O180" s="4" t="str">
        <f>_xlfn.IFNA(VLOOKUP($J180,WH_Data[],8,FALSE),"")</f>
        <v/>
      </c>
      <c r="P180" s="8"/>
      <c r="Q180" s="209">
        <f>Mon_ILR2[[#This Row],[Qty Required]]-Mon_ILR2[[#This Row],[QTY Transfer]]</f>
        <v>1</v>
      </c>
      <c r="R180" s="66" t="s">
        <v>905</v>
      </c>
      <c r="S180" s="66" t="s">
        <v>934</v>
      </c>
      <c r="T180" s="210">
        <v>7489</v>
      </c>
      <c r="U180" s="303">
        <v>876</v>
      </c>
      <c r="V180" s="210">
        <v>1879</v>
      </c>
      <c r="W180" s="210">
        <f>Mon_ILR2[[#This Row],[Accessory Rate]]+Mon_ILR2[[#This Row],[Mounting Rate]]+Mon_ILR2[[#This Row],[Unit Rate]]*Mon_ILR2[[#This Row],[New Quantity Required ]]</f>
        <v>10244</v>
      </c>
      <c r="X180" s="8"/>
      <c r="Y180" s="289" t="s">
        <v>2197</v>
      </c>
      <c r="Z180" s="6" t="s">
        <v>45</v>
      </c>
      <c r="AA180" s="6" t="s">
        <v>46</v>
      </c>
      <c r="AB180" s="6" t="s">
        <v>47</v>
      </c>
      <c r="AC180" s="6" t="s">
        <v>48</v>
      </c>
      <c r="AD180" s="6" t="s">
        <v>49</v>
      </c>
      <c r="AE180" s="6" t="s">
        <v>50</v>
      </c>
      <c r="AF180" s="6" t="s">
        <v>50</v>
      </c>
      <c r="AG180" s="6" t="s">
        <v>50</v>
      </c>
      <c r="AH180" s="6" t="s">
        <v>50</v>
      </c>
      <c r="AI180" s="6" t="s">
        <v>51</v>
      </c>
      <c r="AJ180" s="6" t="s">
        <v>50</v>
      </c>
      <c r="AK180" s="6" t="s">
        <v>50</v>
      </c>
      <c r="AL180" s="6" t="s">
        <v>52</v>
      </c>
      <c r="AM180" s="6" t="s">
        <v>53</v>
      </c>
      <c r="AN180" s="6" t="s">
        <v>50</v>
      </c>
      <c r="AO180" s="6" t="s">
        <v>54</v>
      </c>
    </row>
    <row r="181" spans="2:42" ht="60" customHeight="1" x14ac:dyDescent="0.25">
      <c r="B181" s="207" t="s">
        <v>35</v>
      </c>
      <c r="C181" s="66" t="s">
        <v>820</v>
      </c>
      <c r="D181" s="4" t="s">
        <v>821</v>
      </c>
      <c r="E181" s="4" t="s">
        <v>1027</v>
      </c>
      <c r="F181" s="4" t="s">
        <v>932</v>
      </c>
      <c r="G181" s="4" t="s">
        <v>39</v>
      </c>
      <c r="H181" s="208">
        <v>1</v>
      </c>
      <c r="I181" s="4"/>
      <c r="J181" s="15"/>
      <c r="K181" s="4" t="str">
        <f>_xlfn.IFNA(VLOOKUP($J181,WH_Data[],6,FALSE),"")</f>
        <v/>
      </c>
      <c r="L181" s="4" t="str">
        <f>_xlfn.IFNA(VLOOKUP($J181,WH_Data[],3,FALSE),"")</f>
        <v/>
      </c>
      <c r="M181" s="4" t="str">
        <f>_xlfn.IFNA(VLOOKUP($J181,WH_Data[],5,FALSE),"")</f>
        <v/>
      </c>
      <c r="N181" s="4" t="str">
        <f>_xlfn.IFNA(VLOOKUP($J181,WH_Data[],7,FALSE),"")</f>
        <v/>
      </c>
      <c r="O181" s="4" t="str">
        <f>_xlfn.IFNA(VLOOKUP($J181,WH_Data[],8,FALSE),"")</f>
        <v/>
      </c>
      <c r="P181" s="8"/>
      <c r="Q181" s="209">
        <f>Mon_ILR2[[#This Row],[Qty Required]]-Mon_ILR2[[#This Row],[QTY Transfer]]</f>
        <v>1</v>
      </c>
      <c r="R181" s="66" t="s">
        <v>905</v>
      </c>
      <c r="S181" s="66" t="s">
        <v>934</v>
      </c>
      <c r="T181" s="210">
        <v>7489</v>
      </c>
      <c r="U181" s="210">
        <f>_xlfn.IFNA(VLOOKUP(Mon_ILR2[[#This Row],[New Model]],PhilipsLibary[],5,FALSE),"0")</f>
        <v>1127</v>
      </c>
      <c r="V181" s="210">
        <v>1879</v>
      </c>
      <c r="W181" s="210">
        <f>Mon_ILR2[[#This Row],[Accessory Rate]]+Mon_ILR2[[#This Row],[Mounting Rate]]+Mon_ILR2[[#This Row],[Unit Rate]]*Mon_ILR2[[#This Row],[New Quantity Required ]]</f>
        <v>10495</v>
      </c>
      <c r="X181" s="8"/>
      <c r="Y181" s="246" t="s">
        <v>1060</v>
      </c>
      <c r="Z181" s="6" t="s">
        <v>45</v>
      </c>
      <c r="AA181" s="6" t="s">
        <v>46</v>
      </c>
      <c r="AB181" s="6" t="s">
        <v>47</v>
      </c>
      <c r="AC181" s="6" t="s">
        <v>48</v>
      </c>
      <c r="AD181" s="6" t="s">
        <v>49</v>
      </c>
      <c r="AE181" s="6" t="s">
        <v>50</v>
      </c>
      <c r="AF181" s="6" t="s">
        <v>50</v>
      </c>
      <c r="AG181" s="6" t="s">
        <v>50</v>
      </c>
      <c r="AH181" s="6" t="s">
        <v>50</v>
      </c>
      <c r="AI181" s="6" t="s">
        <v>51</v>
      </c>
      <c r="AJ181" s="6" t="s">
        <v>50</v>
      </c>
      <c r="AK181" s="6" t="s">
        <v>50</v>
      </c>
      <c r="AL181" s="6" t="s">
        <v>52</v>
      </c>
      <c r="AM181" s="6" t="s">
        <v>53</v>
      </c>
      <c r="AN181" s="6" t="s">
        <v>50</v>
      </c>
      <c r="AO181" s="6" t="s">
        <v>54</v>
      </c>
    </row>
    <row r="182" spans="2:42" ht="60" customHeight="1" x14ac:dyDescent="0.25">
      <c r="B182" s="207" t="s">
        <v>35</v>
      </c>
      <c r="C182" s="66" t="s">
        <v>820</v>
      </c>
      <c r="D182" s="4" t="s">
        <v>822</v>
      </c>
      <c r="E182" s="4" t="s">
        <v>1027</v>
      </c>
      <c r="F182" s="4" t="s">
        <v>932</v>
      </c>
      <c r="G182" s="4" t="s">
        <v>39</v>
      </c>
      <c r="H182" s="208">
        <v>1</v>
      </c>
      <c r="I182" s="4"/>
      <c r="J182" s="15"/>
      <c r="K182" s="4" t="str">
        <f>_xlfn.IFNA(VLOOKUP($J182,WH_Data[],6,FALSE),"")</f>
        <v/>
      </c>
      <c r="L182" s="4" t="str">
        <f>_xlfn.IFNA(VLOOKUP($J182,WH_Data[],3,FALSE),"")</f>
        <v/>
      </c>
      <c r="M182" s="4" t="str">
        <f>_xlfn.IFNA(VLOOKUP($J182,WH_Data[],5,FALSE),"")</f>
        <v/>
      </c>
      <c r="N182" s="4" t="str">
        <f>_xlfn.IFNA(VLOOKUP($J182,WH_Data[],7,FALSE),"")</f>
        <v/>
      </c>
      <c r="O182" s="4" t="str">
        <f>_xlfn.IFNA(VLOOKUP($J182,WH_Data[],8,FALSE),"")</f>
        <v/>
      </c>
      <c r="P182" s="8"/>
      <c r="Q182" s="209">
        <f>Mon_ILR2[[#This Row],[Qty Required]]-Mon_ILR2[[#This Row],[QTY Transfer]]</f>
        <v>1</v>
      </c>
      <c r="R182" s="66" t="s">
        <v>905</v>
      </c>
      <c r="S182" s="66" t="s">
        <v>934</v>
      </c>
      <c r="T182" s="210">
        <v>7489</v>
      </c>
      <c r="U182" s="210">
        <f>_xlfn.IFNA(VLOOKUP(Mon_ILR2[[#This Row],[New Model]],PhilipsLibary[],5,FALSE),"0")</f>
        <v>1127</v>
      </c>
      <c r="V182" s="210">
        <v>1879</v>
      </c>
      <c r="W182" s="210">
        <f>Mon_ILR2[[#This Row],[Accessory Rate]]+Mon_ILR2[[#This Row],[Mounting Rate]]+Mon_ILR2[[#This Row],[Unit Rate]]*Mon_ILR2[[#This Row],[New Quantity Required ]]</f>
        <v>10495</v>
      </c>
      <c r="X182" s="8"/>
      <c r="Y182" s="246" t="s">
        <v>1060</v>
      </c>
      <c r="Z182" s="6" t="s">
        <v>45</v>
      </c>
      <c r="AA182" s="6" t="s">
        <v>46</v>
      </c>
      <c r="AB182" s="6" t="s">
        <v>47</v>
      </c>
      <c r="AC182" s="6" t="s">
        <v>48</v>
      </c>
      <c r="AD182" s="6" t="s">
        <v>49</v>
      </c>
      <c r="AE182" s="6" t="s">
        <v>50</v>
      </c>
      <c r="AF182" s="6" t="s">
        <v>50</v>
      </c>
      <c r="AG182" s="6" t="s">
        <v>50</v>
      </c>
      <c r="AH182" s="6" t="s">
        <v>50</v>
      </c>
      <c r="AI182" s="6" t="s">
        <v>51</v>
      </c>
      <c r="AJ182" s="6" t="s">
        <v>50</v>
      </c>
      <c r="AK182" s="6" t="s">
        <v>50</v>
      </c>
      <c r="AL182" s="6" t="s">
        <v>52</v>
      </c>
      <c r="AM182" s="6" t="s">
        <v>53</v>
      </c>
      <c r="AN182" s="6" t="s">
        <v>50</v>
      </c>
      <c r="AO182" s="6" t="s">
        <v>54</v>
      </c>
      <c r="AP182"/>
    </row>
    <row r="183" spans="2:42" ht="60" customHeight="1" x14ac:dyDescent="0.25">
      <c r="B183" s="207" t="s">
        <v>35</v>
      </c>
      <c r="C183" s="66" t="s">
        <v>820</v>
      </c>
      <c r="D183" s="4" t="s">
        <v>823</v>
      </c>
      <c r="E183" s="4" t="s">
        <v>1027</v>
      </c>
      <c r="F183" s="4" t="s">
        <v>932</v>
      </c>
      <c r="G183" s="4" t="s">
        <v>39</v>
      </c>
      <c r="H183" s="208">
        <v>1</v>
      </c>
      <c r="I183" s="4"/>
      <c r="J183" s="15"/>
      <c r="K183" s="4" t="str">
        <f>_xlfn.IFNA(VLOOKUP($J183,WH_Data[],6,FALSE),"")</f>
        <v/>
      </c>
      <c r="L183" s="4" t="str">
        <f>_xlfn.IFNA(VLOOKUP($J183,WH_Data[],3,FALSE),"")</f>
        <v/>
      </c>
      <c r="M183" s="4" t="str">
        <f>_xlfn.IFNA(VLOOKUP($J183,WH_Data[],5,FALSE),"")</f>
        <v/>
      </c>
      <c r="N183" s="4" t="str">
        <f>_xlfn.IFNA(VLOOKUP($J183,WH_Data[],7,FALSE),"")</f>
        <v/>
      </c>
      <c r="O183" s="4" t="str">
        <f>_xlfn.IFNA(VLOOKUP($J183,WH_Data[],8,FALSE),"")</f>
        <v/>
      </c>
      <c r="P183" s="8"/>
      <c r="Q183" s="209">
        <f>Mon_ILR2[[#This Row],[Qty Required]]-Mon_ILR2[[#This Row],[QTY Transfer]]</f>
        <v>1</v>
      </c>
      <c r="R183" s="66" t="s">
        <v>905</v>
      </c>
      <c r="S183" s="66" t="s">
        <v>934</v>
      </c>
      <c r="T183" s="210">
        <v>7489</v>
      </c>
      <c r="U183" s="210">
        <f>_xlfn.IFNA(VLOOKUP(Mon_ILR2[[#This Row],[New Model]],PhilipsLibary[],5,FALSE),"0")</f>
        <v>1127</v>
      </c>
      <c r="V183" s="210">
        <v>1879</v>
      </c>
      <c r="W183" s="210">
        <f>Mon_ILR2[[#This Row],[Accessory Rate]]+Mon_ILR2[[#This Row],[Mounting Rate]]+Mon_ILR2[[#This Row],[Unit Rate]]*Mon_ILR2[[#This Row],[New Quantity Required ]]</f>
        <v>10495</v>
      </c>
      <c r="X183" s="8"/>
      <c r="Y183" s="246" t="s">
        <v>1060</v>
      </c>
      <c r="Z183" s="6" t="s">
        <v>45</v>
      </c>
      <c r="AA183" s="6" t="s">
        <v>46</v>
      </c>
      <c r="AB183" s="6" t="s">
        <v>47</v>
      </c>
      <c r="AC183" s="6" t="s">
        <v>48</v>
      </c>
      <c r="AD183" s="6" t="s">
        <v>49</v>
      </c>
      <c r="AE183" s="6" t="s">
        <v>50</v>
      </c>
      <c r="AF183" s="6" t="s">
        <v>50</v>
      </c>
      <c r="AG183" s="6" t="s">
        <v>50</v>
      </c>
      <c r="AH183" s="6" t="s">
        <v>50</v>
      </c>
      <c r="AI183" s="6" t="s">
        <v>51</v>
      </c>
      <c r="AJ183" s="6" t="s">
        <v>50</v>
      </c>
      <c r="AK183" s="6" t="s">
        <v>50</v>
      </c>
      <c r="AL183" s="6" t="s">
        <v>52</v>
      </c>
      <c r="AM183" s="6" t="s">
        <v>53</v>
      </c>
      <c r="AN183" s="6" t="s">
        <v>50</v>
      </c>
      <c r="AO183" s="6" t="s">
        <v>54</v>
      </c>
    </row>
    <row r="184" spans="2:42" ht="60" customHeight="1" x14ac:dyDescent="0.25">
      <c r="B184" s="207" t="s">
        <v>35</v>
      </c>
      <c r="C184" s="66" t="s">
        <v>820</v>
      </c>
      <c r="D184" s="4" t="s">
        <v>824</v>
      </c>
      <c r="E184" s="4" t="s">
        <v>1027</v>
      </c>
      <c r="F184" s="4" t="s">
        <v>932</v>
      </c>
      <c r="G184" s="4" t="s">
        <v>39</v>
      </c>
      <c r="H184" s="208">
        <v>1</v>
      </c>
      <c r="I184" s="4"/>
      <c r="J184" s="15"/>
      <c r="K184" s="4" t="str">
        <f>_xlfn.IFNA(VLOOKUP($J184,WH_Data[],6,FALSE),"")</f>
        <v/>
      </c>
      <c r="L184" s="4" t="str">
        <f>_xlfn.IFNA(VLOOKUP($J184,WH_Data[],3,FALSE),"")</f>
        <v/>
      </c>
      <c r="M184" s="4" t="str">
        <f>_xlfn.IFNA(VLOOKUP($J184,WH_Data[],5,FALSE),"")</f>
        <v/>
      </c>
      <c r="N184" s="4" t="str">
        <f>_xlfn.IFNA(VLOOKUP($J184,WH_Data[],7,FALSE),"")</f>
        <v/>
      </c>
      <c r="O184" s="4" t="str">
        <f>_xlfn.IFNA(VLOOKUP($J184,WH_Data[],8,FALSE),"")</f>
        <v/>
      </c>
      <c r="P184" s="8"/>
      <c r="Q184" s="209">
        <f>Mon_ILR2[[#This Row],[Qty Required]]-Mon_ILR2[[#This Row],[QTY Transfer]]</f>
        <v>1</v>
      </c>
      <c r="R184" s="66" t="s">
        <v>905</v>
      </c>
      <c r="S184" s="66" t="s">
        <v>934</v>
      </c>
      <c r="T184" s="210">
        <v>7489</v>
      </c>
      <c r="U184" s="210">
        <f>_xlfn.IFNA(VLOOKUP(Mon_ILR2[[#This Row],[New Model]],PhilipsLibary[],5,FALSE),"0")</f>
        <v>1127</v>
      </c>
      <c r="V184" s="210">
        <v>1879</v>
      </c>
      <c r="W184" s="210">
        <f>Mon_ILR2[[#This Row],[Accessory Rate]]+Mon_ILR2[[#This Row],[Mounting Rate]]+Mon_ILR2[[#This Row],[Unit Rate]]*Mon_ILR2[[#This Row],[New Quantity Required ]]</f>
        <v>10495</v>
      </c>
      <c r="X184" s="8"/>
      <c r="Y184" s="246" t="s">
        <v>1060</v>
      </c>
      <c r="Z184" s="6" t="s">
        <v>45</v>
      </c>
      <c r="AA184" s="6" t="s">
        <v>46</v>
      </c>
      <c r="AB184" s="6" t="s">
        <v>47</v>
      </c>
      <c r="AC184" s="6" t="s">
        <v>48</v>
      </c>
      <c r="AD184" s="6" t="s">
        <v>49</v>
      </c>
      <c r="AE184" s="6" t="s">
        <v>50</v>
      </c>
      <c r="AF184" s="6" t="s">
        <v>50</v>
      </c>
      <c r="AG184" s="6" t="s">
        <v>50</v>
      </c>
      <c r="AH184" s="6" t="s">
        <v>50</v>
      </c>
      <c r="AI184" s="6" t="s">
        <v>51</v>
      </c>
      <c r="AJ184" s="6" t="s">
        <v>50</v>
      </c>
      <c r="AK184" s="6" t="s">
        <v>50</v>
      </c>
      <c r="AL184" s="6" t="s">
        <v>52</v>
      </c>
      <c r="AM184" s="6" t="s">
        <v>53</v>
      </c>
      <c r="AN184" s="6" t="s">
        <v>50</v>
      </c>
      <c r="AO184" s="6" t="s">
        <v>54</v>
      </c>
    </row>
    <row r="185" spans="2:42" ht="60" customHeight="1" x14ac:dyDescent="0.25">
      <c r="B185" s="207" t="s">
        <v>35</v>
      </c>
      <c r="C185" s="66" t="s">
        <v>820</v>
      </c>
      <c r="D185" s="4" t="s">
        <v>825</v>
      </c>
      <c r="E185" s="4" t="s">
        <v>1027</v>
      </c>
      <c r="F185" s="4" t="s">
        <v>932</v>
      </c>
      <c r="G185" s="4" t="s">
        <v>39</v>
      </c>
      <c r="H185" s="208">
        <v>1</v>
      </c>
      <c r="I185" s="4"/>
      <c r="J185" s="15"/>
      <c r="K185" s="4" t="str">
        <f>_xlfn.IFNA(VLOOKUP($J185,WH_Data[],6,FALSE),"")</f>
        <v/>
      </c>
      <c r="L185" s="4" t="str">
        <f>_xlfn.IFNA(VLOOKUP($J185,WH_Data[],3,FALSE),"")</f>
        <v/>
      </c>
      <c r="M185" s="4" t="str">
        <f>_xlfn.IFNA(VLOOKUP($J185,WH_Data[],5,FALSE),"")</f>
        <v/>
      </c>
      <c r="N185" s="4" t="str">
        <f>_xlfn.IFNA(VLOOKUP($J185,WH_Data[],7,FALSE),"")</f>
        <v/>
      </c>
      <c r="O185" s="4" t="str">
        <f>_xlfn.IFNA(VLOOKUP($J185,WH_Data[],8,FALSE),"")</f>
        <v/>
      </c>
      <c r="P185" s="8"/>
      <c r="Q185" s="209">
        <f>Mon_ILR2[[#This Row],[Qty Required]]-Mon_ILR2[[#This Row],[QTY Transfer]]</f>
        <v>1</v>
      </c>
      <c r="R185" s="66" t="s">
        <v>905</v>
      </c>
      <c r="S185" s="66" t="s">
        <v>934</v>
      </c>
      <c r="T185" s="210">
        <v>7489</v>
      </c>
      <c r="U185" s="210">
        <f>_xlfn.IFNA(VLOOKUP(Mon_ILR2[[#This Row],[New Model]],PhilipsLibary[],5,FALSE),"0")</f>
        <v>1127</v>
      </c>
      <c r="V185" s="210">
        <v>1879</v>
      </c>
      <c r="W185" s="210">
        <f>Mon_ILR2[[#This Row],[Accessory Rate]]+Mon_ILR2[[#This Row],[Mounting Rate]]+Mon_ILR2[[#This Row],[Unit Rate]]*Mon_ILR2[[#This Row],[New Quantity Required ]]</f>
        <v>10495</v>
      </c>
      <c r="X185" s="8"/>
      <c r="Y185" s="246" t="s">
        <v>1060</v>
      </c>
      <c r="Z185" s="6" t="s">
        <v>45</v>
      </c>
      <c r="AA185" s="6" t="s">
        <v>46</v>
      </c>
      <c r="AB185" s="6" t="s">
        <v>47</v>
      </c>
      <c r="AC185" s="6" t="s">
        <v>48</v>
      </c>
      <c r="AD185" s="6" t="s">
        <v>49</v>
      </c>
      <c r="AE185" s="6" t="s">
        <v>50</v>
      </c>
      <c r="AF185" s="6" t="s">
        <v>50</v>
      </c>
      <c r="AG185" s="6" t="s">
        <v>50</v>
      </c>
      <c r="AH185" s="6" t="s">
        <v>50</v>
      </c>
      <c r="AI185" s="6" t="s">
        <v>51</v>
      </c>
      <c r="AJ185" s="6" t="s">
        <v>50</v>
      </c>
      <c r="AK185" s="6" t="s">
        <v>50</v>
      </c>
      <c r="AL185" s="6" t="s">
        <v>52</v>
      </c>
      <c r="AM185" s="6" t="s">
        <v>53</v>
      </c>
      <c r="AN185" s="6" t="s">
        <v>50</v>
      </c>
      <c r="AO185" s="6" t="s">
        <v>54</v>
      </c>
    </row>
    <row r="186" spans="2:42" ht="60" customHeight="1" x14ac:dyDescent="0.25">
      <c r="B186" s="207" t="s">
        <v>35</v>
      </c>
      <c r="C186" s="66" t="s">
        <v>820</v>
      </c>
      <c r="D186" s="4" t="s">
        <v>826</v>
      </c>
      <c r="E186" s="4" t="s">
        <v>1027</v>
      </c>
      <c r="F186" s="4" t="s">
        <v>932</v>
      </c>
      <c r="G186" s="4" t="s">
        <v>39</v>
      </c>
      <c r="H186" s="208">
        <v>1</v>
      </c>
      <c r="I186" s="4"/>
      <c r="J186" s="15"/>
      <c r="K186" s="4" t="str">
        <f>_xlfn.IFNA(VLOOKUP($J186,WH_Data[],6,FALSE),"")</f>
        <v/>
      </c>
      <c r="L186" s="4" t="str">
        <f>_xlfn.IFNA(VLOOKUP($J186,WH_Data[],3,FALSE),"")</f>
        <v/>
      </c>
      <c r="M186" s="4" t="str">
        <f>_xlfn.IFNA(VLOOKUP($J186,WH_Data[],5,FALSE),"")</f>
        <v/>
      </c>
      <c r="N186" s="4" t="str">
        <f>_xlfn.IFNA(VLOOKUP($J186,WH_Data[],7,FALSE),"")</f>
        <v/>
      </c>
      <c r="O186" s="4" t="str">
        <f>_xlfn.IFNA(VLOOKUP($J186,WH_Data[],8,FALSE),"")</f>
        <v/>
      </c>
      <c r="P186" s="8"/>
      <c r="Q186" s="209">
        <f>Mon_ILR2[[#This Row],[Qty Required]]-Mon_ILR2[[#This Row],[QTY Transfer]]</f>
        <v>1</v>
      </c>
      <c r="R186" s="66" t="s">
        <v>905</v>
      </c>
      <c r="S186" s="66" t="s">
        <v>934</v>
      </c>
      <c r="T186" s="210">
        <v>7489</v>
      </c>
      <c r="U186" s="210">
        <f>_xlfn.IFNA(VLOOKUP(Mon_ILR2[[#This Row],[New Model]],PhilipsLibary[],5,FALSE),"0")</f>
        <v>1127</v>
      </c>
      <c r="V186" s="210">
        <v>1879</v>
      </c>
      <c r="W186" s="210">
        <f>Mon_ILR2[[#This Row],[Accessory Rate]]+Mon_ILR2[[#This Row],[Mounting Rate]]+Mon_ILR2[[#This Row],[Unit Rate]]*Mon_ILR2[[#This Row],[New Quantity Required ]]</f>
        <v>10495</v>
      </c>
      <c r="X186" s="8"/>
      <c r="Y186" s="246" t="s">
        <v>1060</v>
      </c>
      <c r="Z186" s="6" t="s">
        <v>45</v>
      </c>
      <c r="AA186" s="6" t="s">
        <v>46</v>
      </c>
      <c r="AB186" s="6" t="s">
        <v>47</v>
      </c>
      <c r="AC186" s="6" t="s">
        <v>48</v>
      </c>
      <c r="AD186" s="6" t="s">
        <v>49</v>
      </c>
      <c r="AE186" s="6" t="s">
        <v>50</v>
      </c>
      <c r="AF186" s="6" t="s">
        <v>50</v>
      </c>
      <c r="AG186" s="6" t="s">
        <v>50</v>
      </c>
      <c r="AH186" s="6" t="s">
        <v>50</v>
      </c>
      <c r="AI186" s="6" t="s">
        <v>51</v>
      </c>
      <c r="AJ186" s="6" t="s">
        <v>50</v>
      </c>
      <c r="AK186" s="6" t="s">
        <v>50</v>
      </c>
      <c r="AL186" s="6" t="s">
        <v>52</v>
      </c>
      <c r="AM186" s="6" t="s">
        <v>53</v>
      </c>
      <c r="AN186" s="6" t="s">
        <v>50</v>
      </c>
      <c r="AO186" s="6" t="s">
        <v>54</v>
      </c>
    </row>
    <row r="187" spans="2:42" ht="60" customHeight="1" x14ac:dyDescent="0.25">
      <c r="B187" s="207" t="s">
        <v>35</v>
      </c>
      <c r="C187" s="66" t="s">
        <v>820</v>
      </c>
      <c r="D187" s="4" t="s">
        <v>827</v>
      </c>
      <c r="E187" s="4" t="s">
        <v>1027</v>
      </c>
      <c r="F187" s="4" t="s">
        <v>932</v>
      </c>
      <c r="G187" s="4" t="s">
        <v>39</v>
      </c>
      <c r="H187" s="208">
        <v>1</v>
      </c>
      <c r="I187" s="4"/>
      <c r="J187" s="15"/>
      <c r="K187" s="4" t="str">
        <f>_xlfn.IFNA(VLOOKUP($J187,WH_Data[],6,FALSE),"")</f>
        <v/>
      </c>
      <c r="L187" s="4" t="str">
        <f>_xlfn.IFNA(VLOOKUP($J187,WH_Data[],3,FALSE),"")</f>
        <v/>
      </c>
      <c r="M187" s="4" t="str">
        <f>_xlfn.IFNA(VLOOKUP($J187,WH_Data[],5,FALSE),"")</f>
        <v/>
      </c>
      <c r="N187" s="4" t="str">
        <f>_xlfn.IFNA(VLOOKUP($J187,WH_Data[],7,FALSE),"")</f>
        <v/>
      </c>
      <c r="O187" s="4" t="str">
        <f>_xlfn.IFNA(VLOOKUP($J187,WH_Data[],8,FALSE),"")</f>
        <v/>
      </c>
      <c r="P187" s="8"/>
      <c r="Q187" s="209">
        <f>Mon_ILR2[[#This Row],[Qty Required]]-Mon_ILR2[[#This Row],[QTY Transfer]]</f>
        <v>1</v>
      </c>
      <c r="R187" s="66" t="s">
        <v>905</v>
      </c>
      <c r="S187" s="66" t="s">
        <v>934</v>
      </c>
      <c r="T187" s="210">
        <v>7489</v>
      </c>
      <c r="U187" s="210">
        <f>_xlfn.IFNA(VLOOKUP(Mon_ILR2[[#This Row],[New Model]],PhilipsLibary[],5,FALSE),"0")</f>
        <v>1127</v>
      </c>
      <c r="V187" s="210">
        <v>1879</v>
      </c>
      <c r="W187" s="210">
        <f>Mon_ILR2[[#This Row],[Accessory Rate]]+Mon_ILR2[[#This Row],[Mounting Rate]]+Mon_ILR2[[#This Row],[Unit Rate]]*Mon_ILR2[[#This Row],[New Quantity Required ]]</f>
        <v>10495</v>
      </c>
      <c r="X187" s="8"/>
      <c r="Y187" s="246" t="s">
        <v>1060</v>
      </c>
      <c r="Z187" s="6" t="s">
        <v>45</v>
      </c>
      <c r="AA187" s="6" t="s">
        <v>46</v>
      </c>
      <c r="AB187" s="6" t="s">
        <v>47</v>
      </c>
      <c r="AC187" s="6" t="s">
        <v>48</v>
      </c>
      <c r="AD187" s="6" t="s">
        <v>49</v>
      </c>
      <c r="AE187" s="6" t="s">
        <v>50</v>
      </c>
      <c r="AF187" s="6" t="s">
        <v>50</v>
      </c>
      <c r="AG187" s="6" t="s">
        <v>50</v>
      </c>
      <c r="AH187" s="6" t="s">
        <v>50</v>
      </c>
      <c r="AI187" s="6" t="s">
        <v>51</v>
      </c>
      <c r="AJ187" s="6" t="s">
        <v>50</v>
      </c>
      <c r="AK187" s="6" t="s">
        <v>50</v>
      </c>
      <c r="AL187" s="6" t="s">
        <v>52</v>
      </c>
      <c r="AM187" s="6" t="s">
        <v>53</v>
      </c>
      <c r="AN187" s="6" t="s">
        <v>50</v>
      </c>
      <c r="AO187" s="6" t="s">
        <v>54</v>
      </c>
    </row>
    <row r="188" spans="2:42" ht="60" customHeight="1" x14ac:dyDescent="0.25">
      <c r="B188" s="207" t="s">
        <v>35</v>
      </c>
      <c r="C188" s="66" t="s">
        <v>820</v>
      </c>
      <c r="D188" s="4" t="s">
        <v>828</v>
      </c>
      <c r="E188" s="4" t="s">
        <v>1027</v>
      </c>
      <c r="F188" s="4" t="s">
        <v>932</v>
      </c>
      <c r="G188" s="4" t="s">
        <v>39</v>
      </c>
      <c r="H188" s="208">
        <v>1</v>
      </c>
      <c r="I188" s="4"/>
      <c r="J188" s="15"/>
      <c r="K188" s="4" t="str">
        <f>_xlfn.IFNA(VLOOKUP($J188,WH_Data[],6,FALSE),"")</f>
        <v/>
      </c>
      <c r="L188" s="4" t="str">
        <f>_xlfn.IFNA(VLOOKUP($J188,WH_Data[],3,FALSE),"")</f>
        <v/>
      </c>
      <c r="M188" s="4" t="str">
        <f>_xlfn.IFNA(VLOOKUP($J188,WH_Data[],5,FALSE),"")</f>
        <v/>
      </c>
      <c r="N188" s="4" t="str">
        <f>_xlfn.IFNA(VLOOKUP($J188,WH_Data[],7,FALSE),"")</f>
        <v/>
      </c>
      <c r="O188" s="4" t="str">
        <f>_xlfn.IFNA(VLOOKUP($J188,WH_Data[],8,FALSE),"")</f>
        <v/>
      </c>
      <c r="P188" s="8"/>
      <c r="Q188" s="209">
        <f>Mon_ILR2[[#This Row],[Qty Required]]-Mon_ILR2[[#This Row],[QTY Transfer]]</f>
        <v>1</v>
      </c>
      <c r="R188" s="66" t="s">
        <v>905</v>
      </c>
      <c r="S188" s="66" t="s">
        <v>934</v>
      </c>
      <c r="T188" s="210">
        <v>7489</v>
      </c>
      <c r="U188" s="210">
        <f>_xlfn.IFNA(VLOOKUP(Mon_ILR2[[#This Row],[New Model]],PhilipsLibary[],5,FALSE),"0")</f>
        <v>1127</v>
      </c>
      <c r="V188" s="210">
        <v>1879</v>
      </c>
      <c r="W188" s="210">
        <f>Mon_ILR2[[#This Row],[Accessory Rate]]+Mon_ILR2[[#This Row],[Mounting Rate]]+Mon_ILR2[[#This Row],[Unit Rate]]*Mon_ILR2[[#This Row],[New Quantity Required ]]</f>
        <v>10495</v>
      </c>
      <c r="X188" s="8"/>
      <c r="Y188" s="246" t="s">
        <v>1060</v>
      </c>
      <c r="Z188" s="6" t="s">
        <v>45</v>
      </c>
      <c r="AA188" s="6" t="s">
        <v>46</v>
      </c>
      <c r="AB188" s="6" t="s">
        <v>47</v>
      </c>
      <c r="AC188" s="6" t="s">
        <v>48</v>
      </c>
      <c r="AD188" s="6" t="s">
        <v>49</v>
      </c>
      <c r="AE188" s="6" t="s">
        <v>50</v>
      </c>
      <c r="AF188" s="6" t="s">
        <v>50</v>
      </c>
      <c r="AG188" s="6" t="s">
        <v>50</v>
      </c>
      <c r="AH188" s="6" t="s">
        <v>50</v>
      </c>
      <c r="AI188" s="6" t="s">
        <v>51</v>
      </c>
      <c r="AJ188" s="6" t="s">
        <v>50</v>
      </c>
      <c r="AK188" s="6" t="s">
        <v>50</v>
      </c>
      <c r="AL188" s="6" t="s">
        <v>52</v>
      </c>
      <c r="AM188" s="6" t="s">
        <v>53</v>
      </c>
      <c r="AN188" s="6" t="s">
        <v>50</v>
      </c>
      <c r="AO188" s="6" t="s">
        <v>54</v>
      </c>
    </row>
    <row r="189" spans="2:42" ht="60" customHeight="1" x14ac:dyDescent="0.25">
      <c r="B189" s="207" t="s">
        <v>35</v>
      </c>
      <c r="C189" s="66" t="s">
        <v>820</v>
      </c>
      <c r="D189" s="4" t="s">
        <v>829</v>
      </c>
      <c r="E189" s="4" t="s">
        <v>1027</v>
      </c>
      <c r="F189" s="4" t="s">
        <v>932</v>
      </c>
      <c r="G189" s="4" t="s">
        <v>39</v>
      </c>
      <c r="H189" s="208">
        <v>1</v>
      </c>
      <c r="I189" s="4"/>
      <c r="J189" s="15"/>
      <c r="K189" s="4" t="str">
        <f>_xlfn.IFNA(VLOOKUP($J189,WH_Data[],6,FALSE),"")</f>
        <v/>
      </c>
      <c r="L189" s="4" t="str">
        <f>_xlfn.IFNA(VLOOKUP($J189,WH_Data[],3,FALSE),"")</f>
        <v/>
      </c>
      <c r="M189" s="4" t="str">
        <f>_xlfn.IFNA(VLOOKUP($J189,WH_Data[],5,FALSE),"")</f>
        <v/>
      </c>
      <c r="N189" s="4" t="str">
        <f>_xlfn.IFNA(VLOOKUP($J189,WH_Data[],7,FALSE),"")</f>
        <v/>
      </c>
      <c r="O189" s="4" t="str">
        <f>_xlfn.IFNA(VLOOKUP($J189,WH_Data[],8,FALSE),"")</f>
        <v/>
      </c>
      <c r="P189" s="8"/>
      <c r="Q189" s="209">
        <f>Mon_ILR2[[#This Row],[Qty Required]]-Mon_ILR2[[#This Row],[QTY Transfer]]</f>
        <v>1</v>
      </c>
      <c r="R189" s="66" t="s">
        <v>905</v>
      </c>
      <c r="S189" s="66" t="s">
        <v>934</v>
      </c>
      <c r="T189" s="210">
        <v>7489</v>
      </c>
      <c r="U189" s="210">
        <f>_xlfn.IFNA(VLOOKUP(Mon_ILR2[[#This Row],[New Model]],PhilipsLibary[],5,FALSE),"0")</f>
        <v>1127</v>
      </c>
      <c r="V189" s="210">
        <v>1879</v>
      </c>
      <c r="W189" s="210">
        <f>Mon_ILR2[[#This Row],[Accessory Rate]]+Mon_ILR2[[#This Row],[Mounting Rate]]+Mon_ILR2[[#This Row],[Unit Rate]]*Mon_ILR2[[#This Row],[New Quantity Required ]]</f>
        <v>10495</v>
      </c>
      <c r="X189" s="8"/>
      <c r="Y189" s="246" t="s">
        <v>1060</v>
      </c>
      <c r="Z189" s="6" t="s">
        <v>45</v>
      </c>
      <c r="AA189" s="6" t="s">
        <v>46</v>
      </c>
      <c r="AB189" s="6" t="s">
        <v>47</v>
      </c>
      <c r="AC189" s="6" t="s">
        <v>48</v>
      </c>
      <c r="AD189" s="6" t="s">
        <v>49</v>
      </c>
      <c r="AE189" s="6" t="s">
        <v>50</v>
      </c>
      <c r="AF189" s="6" t="s">
        <v>50</v>
      </c>
      <c r="AG189" s="6" t="s">
        <v>50</v>
      </c>
      <c r="AH189" s="6" t="s">
        <v>50</v>
      </c>
      <c r="AI189" s="6" t="s">
        <v>51</v>
      </c>
      <c r="AJ189" s="6" t="s">
        <v>50</v>
      </c>
      <c r="AK189" s="6" t="s">
        <v>50</v>
      </c>
      <c r="AL189" s="6" t="s">
        <v>52</v>
      </c>
      <c r="AM189" s="6" t="s">
        <v>53</v>
      </c>
      <c r="AN189" s="6" t="s">
        <v>50</v>
      </c>
      <c r="AO189" s="6" t="s">
        <v>54</v>
      </c>
    </row>
    <row r="190" spans="2:42" ht="60" customHeight="1" x14ac:dyDescent="0.25">
      <c r="B190" s="207" t="s">
        <v>35</v>
      </c>
      <c r="C190" s="66" t="s">
        <v>820</v>
      </c>
      <c r="D190" s="4" t="s">
        <v>830</v>
      </c>
      <c r="E190" s="4" t="s">
        <v>1027</v>
      </c>
      <c r="F190" s="4" t="s">
        <v>932</v>
      </c>
      <c r="G190" s="4" t="s">
        <v>39</v>
      </c>
      <c r="H190" s="208">
        <v>1</v>
      </c>
      <c r="I190" s="4"/>
      <c r="J190" s="15"/>
      <c r="K190" s="4" t="str">
        <f>_xlfn.IFNA(VLOOKUP($J190,WH_Data[],6,FALSE),"")</f>
        <v/>
      </c>
      <c r="L190" s="4" t="str">
        <f>_xlfn.IFNA(VLOOKUP($J190,WH_Data[],3,FALSE),"")</f>
        <v/>
      </c>
      <c r="M190" s="4" t="str">
        <f>_xlfn.IFNA(VLOOKUP($J190,WH_Data[],5,FALSE),"")</f>
        <v/>
      </c>
      <c r="N190" s="4" t="str">
        <f>_xlfn.IFNA(VLOOKUP($J190,WH_Data[],7,FALSE),"")</f>
        <v/>
      </c>
      <c r="O190" s="4" t="str">
        <f>_xlfn.IFNA(VLOOKUP($J190,WH_Data[],8,FALSE),"")</f>
        <v/>
      </c>
      <c r="P190" s="8"/>
      <c r="Q190" s="209">
        <f>Mon_ILR2[[#This Row],[Qty Required]]-Mon_ILR2[[#This Row],[QTY Transfer]]</f>
        <v>1</v>
      </c>
      <c r="R190" s="66" t="s">
        <v>905</v>
      </c>
      <c r="S190" s="66" t="s">
        <v>934</v>
      </c>
      <c r="T190" s="210">
        <v>7489</v>
      </c>
      <c r="U190" s="210">
        <f>_xlfn.IFNA(VLOOKUP(Mon_ILR2[[#This Row],[New Model]],PhilipsLibary[],5,FALSE),"0")</f>
        <v>1127</v>
      </c>
      <c r="V190" s="210">
        <v>1879</v>
      </c>
      <c r="W190" s="210">
        <f>Mon_ILR2[[#This Row],[Accessory Rate]]+Mon_ILR2[[#This Row],[Mounting Rate]]+Mon_ILR2[[#This Row],[Unit Rate]]*Mon_ILR2[[#This Row],[New Quantity Required ]]</f>
        <v>10495</v>
      </c>
      <c r="X190" s="8"/>
      <c r="Y190" s="246" t="s">
        <v>1060</v>
      </c>
      <c r="Z190" s="6" t="s">
        <v>45</v>
      </c>
      <c r="AA190" s="6" t="s">
        <v>46</v>
      </c>
      <c r="AB190" s="6" t="s">
        <v>47</v>
      </c>
      <c r="AC190" s="6" t="s">
        <v>48</v>
      </c>
      <c r="AD190" s="6" t="s">
        <v>49</v>
      </c>
      <c r="AE190" s="6" t="s">
        <v>50</v>
      </c>
      <c r="AF190" s="6" t="s">
        <v>50</v>
      </c>
      <c r="AG190" s="6" t="s">
        <v>50</v>
      </c>
      <c r="AH190" s="6" t="s">
        <v>50</v>
      </c>
      <c r="AI190" s="6" t="s">
        <v>51</v>
      </c>
      <c r="AJ190" s="6" t="s">
        <v>50</v>
      </c>
      <c r="AK190" s="6" t="s">
        <v>50</v>
      </c>
      <c r="AL190" s="6" t="s">
        <v>52</v>
      </c>
      <c r="AM190" s="6" t="s">
        <v>53</v>
      </c>
      <c r="AN190" s="6" t="s">
        <v>50</v>
      </c>
      <c r="AO190" s="6" t="s">
        <v>54</v>
      </c>
    </row>
    <row r="191" spans="2:42" ht="60" customHeight="1" x14ac:dyDescent="0.25">
      <c r="B191" s="207" t="s">
        <v>35</v>
      </c>
      <c r="C191" s="66" t="s">
        <v>820</v>
      </c>
      <c r="D191" s="4" t="s">
        <v>831</v>
      </c>
      <c r="E191" s="4" t="s">
        <v>1027</v>
      </c>
      <c r="F191" s="4" t="s">
        <v>932</v>
      </c>
      <c r="G191" s="4" t="s">
        <v>39</v>
      </c>
      <c r="H191" s="208">
        <v>1</v>
      </c>
      <c r="I191" s="4"/>
      <c r="J191" s="15"/>
      <c r="K191" s="4" t="str">
        <f>_xlfn.IFNA(VLOOKUP($J191,WH_Data[],6,FALSE),"")</f>
        <v/>
      </c>
      <c r="L191" s="4" t="str">
        <f>_xlfn.IFNA(VLOOKUP($J191,WH_Data[],3,FALSE),"")</f>
        <v/>
      </c>
      <c r="M191" s="4" t="str">
        <f>_xlfn.IFNA(VLOOKUP($J191,WH_Data[],5,FALSE),"")</f>
        <v/>
      </c>
      <c r="N191" s="4" t="str">
        <f>_xlfn.IFNA(VLOOKUP($J191,WH_Data[],7,FALSE),"")</f>
        <v/>
      </c>
      <c r="O191" s="4" t="str">
        <f>_xlfn.IFNA(VLOOKUP($J191,WH_Data[],8,FALSE),"")</f>
        <v/>
      </c>
      <c r="P191" s="8"/>
      <c r="Q191" s="209">
        <f>Mon_ILR2[[#This Row],[Qty Required]]-Mon_ILR2[[#This Row],[QTY Transfer]]</f>
        <v>1</v>
      </c>
      <c r="R191" s="66" t="s">
        <v>905</v>
      </c>
      <c r="S191" s="66" t="s">
        <v>934</v>
      </c>
      <c r="T191" s="210">
        <v>7489</v>
      </c>
      <c r="U191" s="210">
        <f>_xlfn.IFNA(VLOOKUP(Mon_ILR2[[#This Row],[New Model]],PhilipsLibary[],5,FALSE),"0")</f>
        <v>1127</v>
      </c>
      <c r="V191" s="210">
        <v>1879</v>
      </c>
      <c r="W191" s="210">
        <f>Mon_ILR2[[#This Row],[Accessory Rate]]+Mon_ILR2[[#This Row],[Mounting Rate]]+Mon_ILR2[[#This Row],[Unit Rate]]*Mon_ILR2[[#This Row],[New Quantity Required ]]</f>
        <v>10495</v>
      </c>
      <c r="X191" s="8"/>
      <c r="Y191" s="246" t="s">
        <v>1060</v>
      </c>
      <c r="Z191" s="6" t="s">
        <v>45</v>
      </c>
      <c r="AA191" s="6" t="s">
        <v>46</v>
      </c>
      <c r="AB191" s="6" t="s">
        <v>47</v>
      </c>
      <c r="AC191" s="6" t="s">
        <v>48</v>
      </c>
      <c r="AD191" s="6" t="s">
        <v>49</v>
      </c>
      <c r="AE191" s="6" t="s">
        <v>50</v>
      </c>
      <c r="AF191" s="6" t="s">
        <v>50</v>
      </c>
      <c r="AG191" s="6" t="s">
        <v>50</v>
      </c>
      <c r="AH191" s="6" t="s">
        <v>50</v>
      </c>
      <c r="AI191" s="6" t="s">
        <v>51</v>
      </c>
      <c r="AJ191" s="6" t="s">
        <v>50</v>
      </c>
      <c r="AK191" s="6" t="s">
        <v>50</v>
      </c>
      <c r="AL191" s="6" t="s">
        <v>52</v>
      </c>
      <c r="AM191" s="6" t="s">
        <v>53</v>
      </c>
      <c r="AN191" s="6" t="s">
        <v>50</v>
      </c>
      <c r="AO191" s="6" t="s">
        <v>54</v>
      </c>
    </row>
    <row r="192" spans="2:42" ht="60" customHeight="1" x14ac:dyDescent="0.25">
      <c r="B192" s="207" t="s">
        <v>35</v>
      </c>
      <c r="C192" s="66" t="s">
        <v>820</v>
      </c>
      <c r="D192" s="4" t="s">
        <v>832</v>
      </c>
      <c r="E192" s="4" t="s">
        <v>1027</v>
      </c>
      <c r="F192" s="4" t="s">
        <v>932</v>
      </c>
      <c r="G192" s="4" t="s">
        <v>39</v>
      </c>
      <c r="H192" s="208">
        <v>1</v>
      </c>
      <c r="I192" s="4"/>
      <c r="J192" s="15"/>
      <c r="K192" s="4" t="str">
        <f>_xlfn.IFNA(VLOOKUP($J192,WH_Data[],6,FALSE),"")</f>
        <v/>
      </c>
      <c r="L192" s="4" t="str">
        <f>_xlfn.IFNA(VLOOKUP($J192,WH_Data[],3,FALSE),"")</f>
        <v/>
      </c>
      <c r="M192" s="4" t="str">
        <f>_xlfn.IFNA(VLOOKUP($J192,WH_Data[],5,FALSE),"")</f>
        <v/>
      </c>
      <c r="N192" s="4" t="str">
        <f>_xlfn.IFNA(VLOOKUP($J192,WH_Data[],7,FALSE),"")</f>
        <v/>
      </c>
      <c r="O192" s="4" t="str">
        <f>_xlfn.IFNA(VLOOKUP($J192,WH_Data[],8,FALSE),"")</f>
        <v/>
      </c>
      <c r="P192" s="8"/>
      <c r="Q192" s="209">
        <f>Mon_ILR2[[#This Row],[Qty Required]]-Mon_ILR2[[#This Row],[QTY Transfer]]</f>
        <v>1</v>
      </c>
      <c r="R192" s="66" t="s">
        <v>905</v>
      </c>
      <c r="S192" s="66" t="s">
        <v>934</v>
      </c>
      <c r="T192" s="210">
        <v>7489</v>
      </c>
      <c r="U192" s="210">
        <f>_xlfn.IFNA(VLOOKUP(Mon_ILR2[[#This Row],[New Model]],PhilipsLibary[],5,FALSE),"0")</f>
        <v>1127</v>
      </c>
      <c r="V192" s="210">
        <v>1879</v>
      </c>
      <c r="W192" s="210">
        <f>Mon_ILR2[[#This Row],[Accessory Rate]]+Mon_ILR2[[#This Row],[Mounting Rate]]+Mon_ILR2[[#This Row],[Unit Rate]]*Mon_ILR2[[#This Row],[New Quantity Required ]]</f>
        <v>10495</v>
      </c>
      <c r="X192" s="8"/>
      <c r="Y192" s="246" t="s">
        <v>1060</v>
      </c>
      <c r="Z192" s="6" t="s">
        <v>45</v>
      </c>
      <c r="AA192" s="6" t="s">
        <v>46</v>
      </c>
      <c r="AB192" s="6" t="s">
        <v>47</v>
      </c>
      <c r="AC192" s="6" t="s">
        <v>48</v>
      </c>
      <c r="AD192" s="6" t="s">
        <v>49</v>
      </c>
      <c r="AE192" s="6" t="s">
        <v>50</v>
      </c>
      <c r="AF192" s="6" t="s">
        <v>50</v>
      </c>
      <c r="AG192" s="6" t="s">
        <v>50</v>
      </c>
      <c r="AH192" s="6" t="s">
        <v>50</v>
      </c>
      <c r="AI192" s="6" t="s">
        <v>51</v>
      </c>
      <c r="AJ192" s="6" t="s">
        <v>50</v>
      </c>
      <c r="AK192" s="6" t="s">
        <v>50</v>
      </c>
      <c r="AL192" s="6" t="s">
        <v>52</v>
      </c>
      <c r="AM192" s="6" t="s">
        <v>53</v>
      </c>
      <c r="AN192" s="6" t="s">
        <v>50</v>
      </c>
      <c r="AO192" s="6" t="s">
        <v>54</v>
      </c>
    </row>
    <row r="193" spans="2:41" ht="60" customHeight="1" x14ac:dyDescent="0.25">
      <c r="B193" s="207" t="s">
        <v>35</v>
      </c>
      <c r="C193" s="66" t="s">
        <v>833</v>
      </c>
      <c r="D193" s="4" t="s">
        <v>834</v>
      </c>
      <c r="E193" s="4" t="s">
        <v>1027</v>
      </c>
      <c r="F193" s="4" t="s">
        <v>932</v>
      </c>
      <c r="G193" s="4" t="s">
        <v>39</v>
      </c>
      <c r="H193" s="208">
        <v>1</v>
      </c>
      <c r="I193" s="4"/>
      <c r="J193" s="15"/>
      <c r="K193" s="4" t="str">
        <f>_xlfn.IFNA(VLOOKUP($J193,WH_Data[],6,FALSE),"")</f>
        <v/>
      </c>
      <c r="L193" s="4" t="str">
        <f>_xlfn.IFNA(VLOOKUP($J193,WH_Data[],3,FALSE),"")</f>
        <v/>
      </c>
      <c r="M193" s="4" t="str">
        <f>_xlfn.IFNA(VLOOKUP($J193,WH_Data[],5,FALSE),"")</f>
        <v/>
      </c>
      <c r="N193" s="4" t="str">
        <f>_xlfn.IFNA(VLOOKUP($J193,WH_Data[],7,FALSE),"")</f>
        <v/>
      </c>
      <c r="O193" s="4" t="str">
        <f>_xlfn.IFNA(VLOOKUP($J193,WH_Data[],8,FALSE),"")</f>
        <v/>
      </c>
      <c r="P193" s="8"/>
      <c r="Q193" s="209">
        <f>Mon_ILR2[[#This Row],[Qty Required]]-Mon_ILR2[[#This Row],[QTY Transfer]]</f>
        <v>1</v>
      </c>
      <c r="R193" s="66" t="s">
        <v>905</v>
      </c>
      <c r="S193" s="66" t="s">
        <v>934</v>
      </c>
      <c r="T193" s="210">
        <v>7489</v>
      </c>
      <c r="U193" s="210">
        <f>_xlfn.IFNA(VLOOKUP(Mon_ILR2[[#This Row],[New Model]],PhilipsLibary[],5,FALSE),"0")</f>
        <v>1127</v>
      </c>
      <c r="V193" s="210">
        <v>1879</v>
      </c>
      <c r="W193" s="210">
        <f>Mon_ILR2[[#This Row],[Accessory Rate]]+Mon_ILR2[[#This Row],[Mounting Rate]]+Mon_ILR2[[#This Row],[Unit Rate]]*Mon_ILR2[[#This Row],[New Quantity Required ]]</f>
        <v>10495</v>
      </c>
      <c r="X193" s="8"/>
      <c r="Y193" s="246" t="s">
        <v>1060</v>
      </c>
      <c r="Z193" s="6" t="s">
        <v>45</v>
      </c>
      <c r="AA193" s="6" t="s">
        <v>46</v>
      </c>
      <c r="AB193" s="6" t="s">
        <v>47</v>
      </c>
      <c r="AC193" s="6" t="s">
        <v>48</v>
      </c>
      <c r="AD193" s="6" t="s">
        <v>49</v>
      </c>
      <c r="AE193" s="6" t="s">
        <v>50</v>
      </c>
      <c r="AF193" s="6" t="s">
        <v>50</v>
      </c>
      <c r="AG193" s="6" t="s">
        <v>50</v>
      </c>
      <c r="AH193" s="6" t="s">
        <v>50</v>
      </c>
      <c r="AI193" s="6" t="s">
        <v>51</v>
      </c>
      <c r="AJ193" s="6" t="s">
        <v>50</v>
      </c>
      <c r="AK193" s="6" t="s">
        <v>50</v>
      </c>
      <c r="AL193" s="6" t="s">
        <v>52</v>
      </c>
      <c r="AM193" s="6" t="s">
        <v>53</v>
      </c>
      <c r="AN193" s="6" t="s">
        <v>50</v>
      </c>
      <c r="AO193" s="6" t="s">
        <v>54</v>
      </c>
    </row>
    <row r="194" spans="2:41" ht="60" customHeight="1" x14ac:dyDescent="0.25">
      <c r="B194" s="207" t="s">
        <v>35</v>
      </c>
      <c r="C194" s="66" t="s">
        <v>820</v>
      </c>
      <c r="D194" s="4" t="s">
        <v>835</v>
      </c>
      <c r="E194" s="4" t="s">
        <v>1027</v>
      </c>
      <c r="F194" s="4" t="s">
        <v>932</v>
      </c>
      <c r="G194" s="4" t="s">
        <v>39</v>
      </c>
      <c r="H194" s="208">
        <v>1</v>
      </c>
      <c r="I194" s="4"/>
      <c r="J194" s="15"/>
      <c r="K194" s="4" t="str">
        <f>_xlfn.IFNA(VLOOKUP($J194,WH_Data[],6,FALSE),"")</f>
        <v/>
      </c>
      <c r="L194" s="4" t="str">
        <f>_xlfn.IFNA(VLOOKUP($J194,WH_Data[],3,FALSE),"")</f>
        <v/>
      </c>
      <c r="M194" s="4" t="str">
        <f>_xlfn.IFNA(VLOOKUP($J194,WH_Data[],5,FALSE),"")</f>
        <v/>
      </c>
      <c r="N194" s="4" t="str">
        <f>_xlfn.IFNA(VLOOKUP($J194,WH_Data[],7,FALSE),"")</f>
        <v/>
      </c>
      <c r="O194" s="4" t="str">
        <f>_xlfn.IFNA(VLOOKUP($J194,WH_Data[],8,FALSE),"")</f>
        <v/>
      </c>
      <c r="P194" s="8"/>
      <c r="Q194" s="209">
        <f>Mon_ILR2[[#This Row],[Qty Required]]-Mon_ILR2[[#This Row],[QTY Transfer]]</f>
        <v>1</v>
      </c>
      <c r="R194" s="66" t="s">
        <v>905</v>
      </c>
      <c r="S194" s="66" t="s">
        <v>934</v>
      </c>
      <c r="T194" s="210">
        <v>7489</v>
      </c>
      <c r="U194" s="210">
        <f>_xlfn.IFNA(VLOOKUP(Mon_ILR2[[#This Row],[New Model]],PhilipsLibary[],5,FALSE),"0")</f>
        <v>1127</v>
      </c>
      <c r="V194" s="210">
        <v>1879</v>
      </c>
      <c r="W194" s="210">
        <f>Mon_ILR2[[#This Row],[Accessory Rate]]+Mon_ILR2[[#This Row],[Mounting Rate]]+Mon_ILR2[[#This Row],[Unit Rate]]*Mon_ILR2[[#This Row],[New Quantity Required ]]</f>
        <v>10495</v>
      </c>
      <c r="X194" s="8"/>
      <c r="Y194" s="246" t="s">
        <v>1060</v>
      </c>
      <c r="Z194" s="6" t="s">
        <v>45</v>
      </c>
      <c r="AA194" s="6" t="s">
        <v>46</v>
      </c>
      <c r="AB194" s="6" t="s">
        <v>47</v>
      </c>
      <c r="AC194" s="6" t="s">
        <v>48</v>
      </c>
      <c r="AD194" s="6" t="s">
        <v>49</v>
      </c>
      <c r="AE194" s="6" t="s">
        <v>50</v>
      </c>
      <c r="AF194" s="6" t="s">
        <v>50</v>
      </c>
      <c r="AG194" s="6" t="s">
        <v>50</v>
      </c>
      <c r="AH194" s="6" t="s">
        <v>50</v>
      </c>
      <c r="AI194" s="6" t="s">
        <v>51</v>
      </c>
      <c r="AJ194" s="6" t="s">
        <v>50</v>
      </c>
      <c r="AK194" s="6" t="s">
        <v>50</v>
      </c>
      <c r="AL194" s="6" t="s">
        <v>52</v>
      </c>
      <c r="AM194" s="6" t="s">
        <v>53</v>
      </c>
      <c r="AN194" s="6" t="s">
        <v>50</v>
      </c>
      <c r="AO194" s="6" t="s">
        <v>54</v>
      </c>
    </row>
    <row r="195" spans="2:41" ht="60" customHeight="1" x14ac:dyDescent="0.25">
      <c r="B195" s="207" t="s">
        <v>35</v>
      </c>
      <c r="C195" s="66" t="s">
        <v>700</v>
      </c>
      <c r="D195" s="4" t="s">
        <v>836</v>
      </c>
      <c r="E195" s="4" t="s">
        <v>1027</v>
      </c>
      <c r="F195" s="4" t="s">
        <v>932</v>
      </c>
      <c r="G195" s="4" t="s">
        <v>39</v>
      </c>
      <c r="H195" s="208">
        <v>1</v>
      </c>
      <c r="I195" s="4"/>
      <c r="J195" s="15"/>
      <c r="K195" s="4" t="str">
        <f>_xlfn.IFNA(VLOOKUP($J195,WH_Data[],6,FALSE),"")</f>
        <v/>
      </c>
      <c r="L195" s="4" t="str">
        <f>_xlfn.IFNA(VLOOKUP($J195,WH_Data[],3,FALSE),"")</f>
        <v/>
      </c>
      <c r="M195" s="4" t="str">
        <f>_xlfn.IFNA(VLOOKUP($J195,WH_Data[],5,FALSE),"")</f>
        <v/>
      </c>
      <c r="N195" s="4" t="str">
        <f>_xlfn.IFNA(VLOOKUP($J195,WH_Data[],7,FALSE),"")</f>
        <v/>
      </c>
      <c r="O195" s="4" t="str">
        <f>_xlfn.IFNA(VLOOKUP($J195,WH_Data[],8,FALSE),"")</f>
        <v/>
      </c>
      <c r="P195" s="8"/>
      <c r="Q195" s="209">
        <f>Mon_ILR2[[#This Row],[Qty Required]]-Mon_ILR2[[#This Row],[QTY Transfer]]</f>
        <v>1</v>
      </c>
      <c r="R195" s="66" t="s">
        <v>905</v>
      </c>
      <c r="S195" s="66" t="s">
        <v>934</v>
      </c>
      <c r="T195" s="210">
        <v>7489</v>
      </c>
      <c r="U195" s="210">
        <f>_xlfn.IFNA(VLOOKUP(Mon_ILR2[[#This Row],[New Model]],PhilipsLibary[],5,FALSE),"0")</f>
        <v>1127</v>
      </c>
      <c r="V195" s="210">
        <v>1879</v>
      </c>
      <c r="W195" s="210">
        <f>Mon_ILR2[[#This Row],[Accessory Rate]]+Mon_ILR2[[#This Row],[Mounting Rate]]+Mon_ILR2[[#This Row],[Unit Rate]]*Mon_ILR2[[#This Row],[New Quantity Required ]]</f>
        <v>10495</v>
      </c>
      <c r="X195" s="8"/>
      <c r="Y195" s="246" t="s">
        <v>1060</v>
      </c>
      <c r="Z195" s="6" t="s">
        <v>45</v>
      </c>
      <c r="AA195" s="6" t="s">
        <v>46</v>
      </c>
      <c r="AB195" s="6" t="s">
        <v>47</v>
      </c>
      <c r="AC195" s="6" t="s">
        <v>48</v>
      </c>
      <c r="AD195" s="6" t="s">
        <v>49</v>
      </c>
      <c r="AE195" s="6" t="s">
        <v>50</v>
      </c>
      <c r="AF195" s="6" t="s">
        <v>50</v>
      </c>
      <c r="AG195" s="6" t="s">
        <v>50</v>
      </c>
      <c r="AH195" s="6" t="s">
        <v>50</v>
      </c>
      <c r="AI195" s="6" t="s">
        <v>51</v>
      </c>
      <c r="AJ195" s="6" t="s">
        <v>50</v>
      </c>
      <c r="AK195" s="6" t="s">
        <v>50</v>
      </c>
      <c r="AL195" s="6" t="s">
        <v>52</v>
      </c>
      <c r="AM195" s="6" t="s">
        <v>53</v>
      </c>
      <c r="AN195" s="6" t="s">
        <v>50</v>
      </c>
      <c r="AO195" s="6" t="s">
        <v>54</v>
      </c>
    </row>
    <row r="196" spans="2:41" ht="60" customHeight="1" x14ac:dyDescent="0.25">
      <c r="B196" s="207" t="s">
        <v>35</v>
      </c>
      <c r="C196" s="66" t="s">
        <v>820</v>
      </c>
      <c r="D196" s="4" t="s">
        <v>838</v>
      </c>
      <c r="E196" s="4" t="s">
        <v>1027</v>
      </c>
      <c r="F196" s="4" t="s">
        <v>932</v>
      </c>
      <c r="G196" s="4" t="s">
        <v>39</v>
      </c>
      <c r="H196" s="208">
        <v>1</v>
      </c>
      <c r="I196" s="4"/>
      <c r="J196" s="15"/>
      <c r="K196" s="4" t="str">
        <f>_xlfn.IFNA(VLOOKUP($J196,WH_Data[],6,FALSE),"")</f>
        <v/>
      </c>
      <c r="L196" s="4" t="str">
        <f>_xlfn.IFNA(VLOOKUP($J196,WH_Data[],3,FALSE),"")</f>
        <v/>
      </c>
      <c r="M196" s="4" t="str">
        <f>_xlfn.IFNA(VLOOKUP($J196,WH_Data[],5,FALSE),"")</f>
        <v/>
      </c>
      <c r="N196" s="4" t="str">
        <f>_xlfn.IFNA(VLOOKUP($J196,WH_Data[],7,FALSE),"")</f>
        <v/>
      </c>
      <c r="O196" s="4" t="str">
        <f>_xlfn.IFNA(VLOOKUP($J196,WH_Data[],8,FALSE),"")</f>
        <v/>
      </c>
      <c r="P196" s="8"/>
      <c r="Q196" s="209">
        <f>Mon_ILR2[[#This Row],[Qty Required]]-Mon_ILR2[[#This Row],[QTY Transfer]]</f>
        <v>1</v>
      </c>
      <c r="R196" s="66" t="s">
        <v>905</v>
      </c>
      <c r="S196" s="66" t="s">
        <v>934</v>
      </c>
      <c r="T196" s="210">
        <v>7489</v>
      </c>
      <c r="U196" s="210">
        <f>_xlfn.IFNA(VLOOKUP(Mon_ILR2[[#This Row],[New Model]],PhilipsLibary[],5,FALSE),"0")</f>
        <v>1127</v>
      </c>
      <c r="V196" s="210">
        <v>1879</v>
      </c>
      <c r="W196" s="210">
        <f>Mon_ILR2[[#This Row],[Accessory Rate]]+Mon_ILR2[[#This Row],[Mounting Rate]]+Mon_ILR2[[#This Row],[Unit Rate]]*Mon_ILR2[[#This Row],[New Quantity Required ]]</f>
        <v>10495</v>
      </c>
      <c r="X196" s="8"/>
      <c r="Y196" s="246" t="s">
        <v>1060</v>
      </c>
      <c r="Z196" s="6" t="s">
        <v>45</v>
      </c>
      <c r="AA196" s="6" t="s">
        <v>46</v>
      </c>
      <c r="AB196" s="6" t="s">
        <v>47</v>
      </c>
      <c r="AC196" s="6" t="s">
        <v>48</v>
      </c>
      <c r="AD196" s="6" t="s">
        <v>49</v>
      </c>
      <c r="AE196" s="6" t="s">
        <v>50</v>
      </c>
      <c r="AF196" s="6" t="s">
        <v>50</v>
      </c>
      <c r="AG196" s="6" t="s">
        <v>50</v>
      </c>
      <c r="AH196" s="6" t="s">
        <v>50</v>
      </c>
      <c r="AI196" s="6" t="s">
        <v>51</v>
      </c>
      <c r="AJ196" s="6" t="s">
        <v>50</v>
      </c>
      <c r="AK196" s="6" t="s">
        <v>50</v>
      </c>
      <c r="AL196" s="6" t="s">
        <v>52</v>
      </c>
      <c r="AM196" s="6" t="s">
        <v>53</v>
      </c>
      <c r="AN196" s="6" t="s">
        <v>50</v>
      </c>
      <c r="AO196" s="6" t="s">
        <v>54</v>
      </c>
    </row>
    <row r="197" spans="2:41" ht="60" customHeight="1" x14ac:dyDescent="0.25">
      <c r="B197" s="207" t="s">
        <v>35</v>
      </c>
      <c r="C197" s="66" t="s">
        <v>820</v>
      </c>
      <c r="D197" s="4" t="s">
        <v>839</v>
      </c>
      <c r="E197" s="4" t="s">
        <v>1027</v>
      </c>
      <c r="F197" s="4" t="s">
        <v>932</v>
      </c>
      <c r="G197" s="4" t="s">
        <v>39</v>
      </c>
      <c r="H197" s="208">
        <v>1</v>
      </c>
      <c r="I197" s="4"/>
      <c r="J197" s="15"/>
      <c r="K197" s="4" t="str">
        <f>_xlfn.IFNA(VLOOKUP($J197,WH_Data[],6,FALSE),"")</f>
        <v/>
      </c>
      <c r="L197" s="4" t="str">
        <f>_xlfn.IFNA(VLOOKUP($J197,WH_Data[],3,FALSE),"")</f>
        <v/>
      </c>
      <c r="M197" s="4" t="str">
        <f>_xlfn.IFNA(VLOOKUP($J197,WH_Data[],5,FALSE),"")</f>
        <v/>
      </c>
      <c r="N197" s="4" t="str">
        <f>_xlfn.IFNA(VLOOKUP($J197,WH_Data[],7,FALSE),"")</f>
        <v/>
      </c>
      <c r="O197" s="4" t="str">
        <f>_xlfn.IFNA(VLOOKUP($J197,WH_Data[],8,FALSE),"")</f>
        <v/>
      </c>
      <c r="P197" s="8"/>
      <c r="Q197" s="209">
        <f>Mon_ILR2[[#This Row],[Qty Required]]-Mon_ILR2[[#This Row],[QTY Transfer]]</f>
        <v>1</v>
      </c>
      <c r="R197" s="66" t="s">
        <v>905</v>
      </c>
      <c r="S197" s="66" t="s">
        <v>934</v>
      </c>
      <c r="T197" s="210">
        <v>7489</v>
      </c>
      <c r="U197" s="210">
        <f>_xlfn.IFNA(VLOOKUP(Mon_ILR2[[#This Row],[New Model]],PhilipsLibary[],5,FALSE),"0")</f>
        <v>1127</v>
      </c>
      <c r="V197" s="210">
        <v>1879</v>
      </c>
      <c r="W197" s="210">
        <f>Mon_ILR2[[#This Row],[Accessory Rate]]+Mon_ILR2[[#This Row],[Mounting Rate]]+Mon_ILR2[[#This Row],[Unit Rate]]*Mon_ILR2[[#This Row],[New Quantity Required ]]</f>
        <v>10495</v>
      </c>
      <c r="X197" s="8"/>
      <c r="Y197" s="246" t="s">
        <v>1060</v>
      </c>
      <c r="Z197" s="6" t="s">
        <v>45</v>
      </c>
      <c r="AA197" s="6" t="s">
        <v>46</v>
      </c>
      <c r="AB197" s="6" t="s">
        <v>47</v>
      </c>
      <c r="AC197" s="6" t="s">
        <v>48</v>
      </c>
      <c r="AD197" s="6" t="s">
        <v>49</v>
      </c>
      <c r="AE197" s="6" t="s">
        <v>50</v>
      </c>
      <c r="AF197" s="6" t="s">
        <v>50</v>
      </c>
      <c r="AG197" s="6" t="s">
        <v>50</v>
      </c>
      <c r="AH197" s="6" t="s">
        <v>50</v>
      </c>
      <c r="AI197" s="6" t="s">
        <v>51</v>
      </c>
      <c r="AJ197" s="6" t="s">
        <v>50</v>
      </c>
      <c r="AK197" s="6" t="s">
        <v>50</v>
      </c>
      <c r="AL197" s="6" t="s">
        <v>52</v>
      </c>
      <c r="AM197" s="6" t="s">
        <v>53</v>
      </c>
      <c r="AN197" s="6" t="s">
        <v>50</v>
      </c>
      <c r="AO197" s="6" t="s">
        <v>54</v>
      </c>
    </row>
    <row r="198" spans="2:41" ht="60" customHeight="1" x14ac:dyDescent="0.25">
      <c r="B198" s="207" t="s">
        <v>35</v>
      </c>
      <c r="C198" s="66" t="s">
        <v>820</v>
      </c>
      <c r="D198" s="4" t="s">
        <v>840</v>
      </c>
      <c r="E198" s="4" t="s">
        <v>1027</v>
      </c>
      <c r="F198" s="4" t="s">
        <v>932</v>
      </c>
      <c r="G198" s="4" t="s">
        <v>39</v>
      </c>
      <c r="H198" s="208">
        <v>1</v>
      </c>
      <c r="I198" s="4"/>
      <c r="J198" s="15"/>
      <c r="K198" s="4" t="str">
        <f>_xlfn.IFNA(VLOOKUP($J198,WH_Data[],6,FALSE),"")</f>
        <v/>
      </c>
      <c r="L198" s="4" t="str">
        <f>_xlfn.IFNA(VLOOKUP($J198,WH_Data[],3,FALSE),"")</f>
        <v/>
      </c>
      <c r="M198" s="4" t="str">
        <f>_xlfn.IFNA(VLOOKUP($J198,WH_Data[],5,FALSE),"")</f>
        <v/>
      </c>
      <c r="N198" s="4" t="str">
        <f>_xlfn.IFNA(VLOOKUP($J198,WH_Data[],7,FALSE),"")</f>
        <v/>
      </c>
      <c r="O198" s="4" t="str">
        <f>_xlfn.IFNA(VLOOKUP($J198,WH_Data[],8,FALSE),"")</f>
        <v/>
      </c>
      <c r="P198" s="8"/>
      <c r="Q198" s="209">
        <f>Mon_ILR2[[#This Row],[Qty Required]]-Mon_ILR2[[#This Row],[QTY Transfer]]</f>
        <v>1</v>
      </c>
      <c r="R198" s="66" t="s">
        <v>905</v>
      </c>
      <c r="S198" s="66" t="s">
        <v>934</v>
      </c>
      <c r="T198" s="210">
        <v>7489</v>
      </c>
      <c r="U198" s="210">
        <f>_xlfn.IFNA(VLOOKUP(Mon_ILR2[[#This Row],[New Model]],PhilipsLibary[],5,FALSE),"0")</f>
        <v>1127</v>
      </c>
      <c r="V198" s="210">
        <v>1879</v>
      </c>
      <c r="W198" s="210">
        <f>Mon_ILR2[[#This Row],[Accessory Rate]]+Mon_ILR2[[#This Row],[Mounting Rate]]+Mon_ILR2[[#This Row],[Unit Rate]]*Mon_ILR2[[#This Row],[New Quantity Required ]]</f>
        <v>10495</v>
      </c>
      <c r="X198" s="8"/>
      <c r="Y198" s="246" t="s">
        <v>1060</v>
      </c>
      <c r="Z198" s="6" t="s">
        <v>45</v>
      </c>
      <c r="AA198" s="6" t="s">
        <v>46</v>
      </c>
      <c r="AB198" s="6" t="s">
        <v>47</v>
      </c>
      <c r="AC198" s="6" t="s">
        <v>48</v>
      </c>
      <c r="AD198" s="6" t="s">
        <v>49</v>
      </c>
      <c r="AE198" s="6" t="s">
        <v>50</v>
      </c>
      <c r="AF198" s="6" t="s">
        <v>50</v>
      </c>
      <c r="AG198" s="6" t="s">
        <v>50</v>
      </c>
      <c r="AH198" s="6" t="s">
        <v>50</v>
      </c>
      <c r="AI198" s="6" t="s">
        <v>51</v>
      </c>
      <c r="AJ198" s="6" t="s">
        <v>50</v>
      </c>
      <c r="AK198" s="6" t="s">
        <v>50</v>
      </c>
      <c r="AL198" s="6" t="s">
        <v>52</v>
      </c>
      <c r="AM198" s="6" t="s">
        <v>53</v>
      </c>
      <c r="AN198" s="6" t="s">
        <v>50</v>
      </c>
      <c r="AO198" s="6" t="s">
        <v>54</v>
      </c>
    </row>
    <row r="199" spans="2:41" ht="60" customHeight="1" x14ac:dyDescent="0.25">
      <c r="B199" s="207" t="s">
        <v>35</v>
      </c>
      <c r="C199" s="66" t="s">
        <v>820</v>
      </c>
      <c r="D199" s="4" t="s">
        <v>841</v>
      </c>
      <c r="E199" s="4" t="s">
        <v>1027</v>
      </c>
      <c r="F199" s="4" t="s">
        <v>932</v>
      </c>
      <c r="G199" s="4" t="s">
        <v>39</v>
      </c>
      <c r="H199" s="208">
        <v>1</v>
      </c>
      <c r="I199" s="4"/>
      <c r="J199" s="15"/>
      <c r="K199" s="4" t="str">
        <f>_xlfn.IFNA(VLOOKUP($J199,WH_Data[],6,FALSE),"")</f>
        <v/>
      </c>
      <c r="L199" s="4" t="str">
        <f>_xlfn.IFNA(VLOOKUP($J199,WH_Data[],3,FALSE),"")</f>
        <v/>
      </c>
      <c r="M199" s="4" t="str">
        <f>_xlfn.IFNA(VLOOKUP($J199,WH_Data[],5,FALSE),"")</f>
        <v/>
      </c>
      <c r="N199" s="4" t="str">
        <f>_xlfn.IFNA(VLOOKUP($J199,WH_Data[],7,FALSE),"")</f>
        <v/>
      </c>
      <c r="O199" s="4" t="str">
        <f>_xlfn.IFNA(VLOOKUP($J199,WH_Data[],8,FALSE),"")</f>
        <v/>
      </c>
      <c r="P199" s="8"/>
      <c r="Q199" s="209">
        <f>Mon_ILR2[[#This Row],[Qty Required]]-Mon_ILR2[[#This Row],[QTY Transfer]]</f>
        <v>1</v>
      </c>
      <c r="R199" s="66" t="s">
        <v>905</v>
      </c>
      <c r="S199" s="66" t="s">
        <v>934</v>
      </c>
      <c r="T199" s="210">
        <v>7489</v>
      </c>
      <c r="U199" s="210">
        <f>_xlfn.IFNA(VLOOKUP(Mon_ILR2[[#This Row],[New Model]],PhilipsLibary[],5,FALSE),"0")</f>
        <v>1127</v>
      </c>
      <c r="V199" s="210">
        <v>1879</v>
      </c>
      <c r="W199" s="210">
        <f>Mon_ILR2[[#This Row],[Accessory Rate]]+Mon_ILR2[[#This Row],[Mounting Rate]]+Mon_ILR2[[#This Row],[Unit Rate]]*Mon_ILR2[[#This Row],[New Quantity Required ]]</f>
        <v>10495</v>
      </c>
      <c r="X199" s="8"/>
      <c r="Y199" s="246" t="s">
        <v>1060</v>
      </c>
      <c r="Z199" s="6" t="s">
        <v>45</v>
      </c>
      <c r="AA199" s="6" t="s">
        <v>46</v>
      </c>
      <c r="AB199" s="6" t="s">
        <v>47</v>
      </c>
      <c r="AC199" s="6" t="s">
        <v>48</v>
      </c>
      <c r="AD199" s="6" t="s">
        <v>49</v>
      </c>
      <c r="AE199" s="6" t="s">
        <v>50</v>
      </c>
      <c r="AF199" s="6" t="s">
        <v>50</v>
      </c>
      <c r="AG199" s="6" t="s">
        <v>50</v>
      </c>
      <c r="AH199" s="6" t="s">
        <v>50</v>
      </c>
      <c r="AI199" s="6" t="s">
        <v>51</v>
      </c>
      <c r="AJ199" s="6" t="s">
        <v>50</v>
      </c>
      <c r="AK199" s="6" t="s">
        <v>50</v>
      </c>
      <c r="AL199" s="6" t="s">
        <v>52</v>
      </c>
      <c r="AM199" s="6" t="s">
        <v>53</v>
      </c>
      <c r="AN199" s="6" t="s">
        <v>50</v>
      </c>
      <c r="AO199" s="6" t="s">
        <v>54</v>
      </c>
    </row>
    <row r="200" spans="2:41" ht="60" customHeight="1" x14ac:dyDescent="0.25">
      <c r="B200" s="207" t="s">
        <v>35</v>
      </c>
      <c r="C200" s="66" t="s">
        <v>844</v>
      </c>
      <c r="D200" s="4" t="s">
        <v>845</v>
      </c>
      <c r="E200" s="4" t="s">
        <v>1027</v>
      </c>
      <c r="F200" s="4" t="s">
        <v>932</v>
      </c>
      <c r="G200" s="4" t="s">
        <v>39</v>
      </c>
      <c r="H200" s="208">
        <v>1</v>
      </c>
      <c r="I200" s="4"/>
      <c r="J200" s="15"/>
      <c r="K200" s="4" t="str">
        <f>_xlfn.IFNA(VLOOKUP($J200,WH_Data[],6,FALSE),"")</f>
        <v/>
      </c>
      <c r="L200" s="4" t="str">
        <f>_xlfn.IFNA(VLOOKUP($J200,WH_Data[],3,FALSE),"")</f>
        <v/>
      </c>
      <c r="M200" s="4" t="str">
        <f>_xlfn.IFNA(VLOOKUP($J200,WH_Data[],5,FALSE),"")</f>
        <v/>
      </c>
      <c r="N200" s="4" t="str">
        <f>_xlfn.IFNA(VLOOKUP($J200,WH_Data[],7,FALSE),"")</f>
        <v/>
      </c>
      <c r="O200" s="4" t="str">
        <f>_xlfn.IFNA(VLOOKUP($J200,WH_Data[],8,FALSE),"")</f>
        <v/>
      </c>
      <c r="P200" s="8"/>
      <c r="Q200" s="209">
        <f>Mon_ILR2[[#This Row],[Qty Required]]-Mon_ILR2[[#This Row],[QTY Transfer]]</f>
        <v>1</v>
      </c>
      <c r="R200" s="66" t="s">
        <v>905</v>
      </c>
      <c r="S200" s="66" t="s">
        <v>934</v>
      </c>
      <c r="T200" s="210">
        <v>7489</v>
      </c>
      <c r="U200" s="210">
        <f>_xlfn.IFNA(VLOOKUP(Mon_ILR2[[#This Row],[New Model]],PhilipsLibary[],5,FALSE),"0")</f>
        <v>1127</v>
      </c>
      <c r="V200" s="210">
        <v>1879</v>
      </c>
      <c r="W200" s="210">
        <f>Mon_ILR2[[#This Row],[Accessory Rate]]+Mon_ILR2[[#This Row],[Mounting Rate]]+Mon_ILR2[[#This Row],[Unit Rate]]*Mon_ILR2[[#This Row],[New Quantity Required ]]</f>
        <v>10495</v>
      </c>
      <c r="X200" s="8"/>
      <c r="Y200" s="246" t="s">
        <v>1060</v>
      </c>
      <c r="Z200" s="6" t="s">
        <v>45</v>
      </c>
      <c r="AA200" s="6" t="s">
        <v>46</v>
      </c>
      <c r="AB200" s="6" t="s">
        <v>47</v>
      </c>
      <c r="AC200" s="6" t="s">
        <v>48</v>
      </c>
      <c r="AD200" s="6" t="s">
        <v>49</v>
      </c>
      <c r="AE200" s="6" t="s">
        <v>50</v>
      </c>
      <c r="AF200" s="6" t="s">
        <v>50</v>
      </c>
      <c r="AG200" s="6" t="s">
        <v>50</v>
      </c>
      <c r="AH200" s="6" t="s">
        <v>50</v>
      </c>
      <c r="AI200" s="6" t="s">
        <v>51</v>
      </c>
      <c r="AJ200" s="6" t="s">
        <v>50</v>
      </c>
      <c r="AK200" s="6" t="s">
        <v>50</v>
      </c>
      <c r="AL200" s="6" t="s">
        <v>52</v>
      </c>
      <c r="AM200" s="6" t="s">
        <v>53</v>
      </c>
      <c r="AN200" s="6" t="s">
        <v>50</v>
      </c>
      <c r="AO200" s="6" t="s">
        <v>54</v>
      </c>
    </row>
    <row r="201" spans="2:41" ht="60" customHeight="1" x14ac:dyDescent="0.25">
      <c r="B201" s="207" t="s">
        <v>35</v>
      </c>
      <c r="C201" s="66" t="s">
        <v>820</v>
      </c>
      <c r="D201" s="4" t="s">
        <v>846</v>
      </c>
      <c r="E201" s="4" t="s">
        <v>1027</v>
      </c>
      <c r="F201" s="4" t="s">
        <v>932</v>
      </c>
      <c r="G201" s="4" t="s">
        <v>39</v>
      </c>
      <c r="H201" s="208">
        <v>1</v>
      </c>
      <c r="I201" s="4"/>
      <c r="J201" s="15"/>
      <c r="K201" s="4" t="str">
        <f>_xlfn.IFNA(VLOOKUP($J201,WH_Data[],6,FALSE),"")</f>
        <v/>
      </c>
      <c r="L201" s="4" t="str">
        <f>_xlfn.IFNA(VLOOKUP($J201,WH_Data[],3,FALSE),"")</f>
        <v/>
      </c>
      <c r="M201" s="4" t="str">
        <f>_xlfn.IFNA(VLOOKUP($J201,WH_Data[],5,FALSE),"")</f>
        <v/>
      </c>
      <c r="N201" s="4" t="str">
        <f>_xlfn.IFNA(VLOOKUP($J201,WH_Data[],7,FALSE),"")</f>
        <v/>
      </c>
      <c r="O201" s="4" t="str">
        <f>_xlfn.IFNA(VLOOKUP($J201,WH_Data[],8,FALSE),"")</f>
        <v/>
      </c>
      <c r="P201" s="8"/>
      <c r="Q201" s="209">
        <f>Mon_ILR2[[#This Row],[Qty Required]]-Mon_ILR2[[#This Row],[QTY Transfer]]</f>
        <v>1</v>
      </c>
      <c r="R201" s="66" t="s">
        <v>905</v>
      </c>
      <c r="S201" s="66" t="s">
        <v>934</v>
      </c>
      <c r="T201" s="210">
        <v>7489</v>
      </c>
      <c r="U201" s="210">
        <f>_xlfn.IFNA(VLOOKUP(Mon_ILR2[[#This Row],[New Model]],PhilipsLibary[],5,FALSE),"0")</f>
        <v>1127</v>
      </c>
      <c r="V201" s="210">
        <v>1879</v>
      </c>
      <c r="W201" s="210">
        <f>Mon_ILR2[[#This Row],[Accessory Rate]]+Mon_ILR2[[#This Row],[Mounting Rate]]+Mon_ILR2[[#This Row],[Unit Rate]]*Mon_ILR2[[#This Row],[New Quantity Required ]]</f>
        <v>10495</v>
      </c>
      <c r="X201" s="8"/>
      <c r="Y201" s="246" t="s">
        <v>1060</v>
      </c>
      <c r="Z201" s="6" t="s">
        <v>45</v>
      </c>
      <c r="AA201" s="6" t="s">
        <v>46</v>
      </c>
      <c r="AB201" s="6" t="s">
        <v>47</v>
      </c>
      <c r="AC201" s="6" t="s">
        <v>48</v>
      </c>
      <c r="AD201" s="6" t="s">
        <v>49</v>
      </c>
      <c r="AE201" s="6" t="s">
        <v>50</v>
      </c>
      <c r="AF201" s="6" t="s">
        <v>50</v>
      </c>
      <c r="AG201" s="6" t="s">
        <v>50</v>
      </c>
      <c r="AH201" s="6" t="s">
        <v>50</v>
      </c>
      <c r="AI201" s="6" t="s">
        <v>51</v>
      </c>
      <c r="AJ201" s="6" t="s">
        <v>50</v>
      </c>
      <c r="AK201" s="6" t="s">
        <v>50</v>
      </c>
      <c r="AL201" s="6" t="s">
        <v>52</v>
      </c>
      <c r="AM201" s="6" t="s">
        <v>53</v>
      </c>
      <c r="AN201" s="6" t="s">
        <v>50</v>
      </c>
      <c r="AO201" s="6" t="s">
        <v>54</v>
      </c>
    </row>
    <row r="202" spans="2:41" ht="60" customHeight="1" x14ac:dyDescent="0.25">
      <c r="B202" s="207" t="s">
        <v>35</v>
      </c>
      <c r="C202" s="66" t="s">
        <v>820</v>
      </c>
      <c r="D202" s="4" t="s">
        <v>847</v>
      </c>
      <c r="E202" s="4" t="s">
        <v>1027</v>
      </c>
      <c r="F202" s="4" t="s">
        <v>932</v>
      </c>
      <c r="G202" s="4" t="s">
        <v>39</v>
      </c>
      <c r="H202" s="208">
        <v>1</v>
      </c>
      <c r="I202" s="4"/>
      <c r="J202" s="15"/>
      <c r="K202" s="4" t="str">
        <f>_xlfn.IFNA(VLOOKUP($J202,WH_Data[],6,FALSE),"")</f>
        <v/>
      </c>
      <c r="L202" s="4" t="str">
        <f>_xlfn.IFNA(VLOOKUP($J202,WH_Data[],3,FALSE),"")</f>
        <v/>
      </c>
      <c r="M202" s="4" t="str">
        <f>_xlfn.IFNA(VLOOKUP($J202,WH_Data[],5,FALSE),"")</f>
        <v/>
      </c>
      <c r="N202" s="4" t="str">
        <f>_xlfn.IFNA(VLOOKUP($J202,WH_Data[],7,FALSE),"")</f>
        <v/>
      </c>
      <c r="O202" s="4" t="str">
        <f>_xlfn.IFNA(VLOOKUP($J202,WH_Data[],8,FALSE),"")</f>
        <v/>
      </c>
      <c r="P202" s="8"/>
      <c r="Q202" s="209">
        <f>Mon_ILR2[[#This Row],[Qty Required]]-Mon_ILR2[[#This Row],[QTY Transfer]]</f>
        <v>1</v>
      </c>
      <c r="R202" s="66" t="s">
        <v>905</v>
      </c>
      <c r="S202" s="66" t="s">
        <v>934</v>
      </c>
      <c r="T202" s="210">
        <v>7489</v>
      </c>
      <c r="U202" s="210">
        <f>_xlfn.IFNA(VLOOKUP(Mon_ILR2[[#This Row],[New Model]],PhilipsLibary[],5,FALSE),"0")</f>
        <v>1127</v>
      </c>
      <c r="V202" s="210">
        <v>1879</v>
      </c>
      <c r="W202" s="210">
        <f>Mon_ILR2[[#This Row],[Accessory Rate]]+Mon_ILR2[[#This Row],[Mounting Rate]]+Mon_ILR2[[#This Row],[Unit Rate]]*Mon_ILR2[[#This Row],[New Quantity Required ]]</f>
        <v>10495</v>
      </c>
      <c r="X202" s="8"/>
      <c r="Y202" s="246" t="s">
        <v>1060</v>
      </c>
      <c r="Z202" s="6" t="s">
        <v>45</v>
      </c>
      <c r="AA202" s="6" t="s">
        <v>46</v>
      </c>
      <c r="AB202" s="6" t="s">
        <v>47</v>
      </c>
      <c r="AC202" s="6" t="s">
        <v>48</v>
      </c>
      <c r="AD202" s="6" t="s">
        <v>49</v>
      </c>
      <c r="AE202" s="6" t="s">
        <v>50</v>
      </c>
      <c r="AF202" s="6" t="s">
        <v>50</v>
      </c>
      <c r="AG202" s="6" t="s">
        <v>50</v>
      </c>
      <c r="AH202" s="6" t="s">
        <v>50</v>
      </c>
      <c r="AI202" s="6" t="s">
        <v>51</v>
      </c>
      <c r="AJ202" s="6" t="s">
        <v>50</v>
      </c>
      <c r="AK202" s="6" t="s">
        <v>50</v>
      </c>
      <c r="AL202" s="6" t="s">
        <v>52</v>
      </c>
      <c r="AM202" s="6" t="s">
        <v>53</v>
      </c>
      <c r="AN202" s="6" t="s">
        <v>50</v>
      </c>
      <c r="AO202" s="6" t="s">
        <v>54</v>
      </c>
    </row>
    <row r="203" spans="2:41" ht="60" customHeight="1" x14ac:dyDescent="0.25">
      <c r="B203" s="207" t="s">
        <v>35</v>
      </c>
      <c r="C203" s="66" t="s">
        <v>844</v>
      </c>
      <c r="D203" s="4" t="s">
        <v>848</v>
      </c>
      <c r="E203" s="4" t="s">
        <v>1027</v>
      </c>
      <c r="F203" s="4" t="s">
        <v>932</v>
      </c>
      <c r="G203" s="4" t="s">
        <v>39</v>
      </c>
      <c r="H203" s="208">
        <v>1</v>
      </c>
      <c r="I203" s="4"/>
      <c r="J203" s="15"/>
      <c r="K203" s="4" t="str">
        <f>_xlfn.IFNA(VLOOKUP($J203,WH_Data[],6,FALSE),"")</f>
        <v/>
      </c>
      <c r="L203" s="4" t="str">
        <f>_xlfn.IFNA(VLOOKUP($J203,WH_Data[],3,FALSE),"")</f>
        <v/>
      </c>
      <c r="M203" s="4" t="str">
        <f>_xlfn.IFNA(VLOOKUP($J203,WH_Data[],5,FALSE),"")</f>
        <v/>
      </c>
      <c r="N203" s="4" t="str">
        <f>_xlfn.IFNA(VLOOKUP($J203,WH_Data[],7,FALSE),"")</f>
        <v/>
      </c>
      <c r="O203" s="4" t="str">
        <f>_xlfn.IFNA(VLOOKUP($J203,WH_Data[],8,FALSE),"")</f>
        <v/>
      </c>
      <c r="P203" s="8"/>
      <c r="Q203" s="209">
        <f>Mon_ILR2[[#This Row],[Qty Required]]-Mon_ILR2[[#This Row],[QTY Transfer]]</f>
        <v>1</v>
      </c>
      <c r="R203" s="66" t="s">
        <v>905</v>
      </c>
      <c r="S203" s="66" t="s">
        <v>934</v>
      </c>
      <c r="T203" s="210">
        <v>7489</v>
      </c>
      <c r="U203" s="210">
        <f>_xlfn.IFNA(VLOOKUP(Mon_ILR2[[#This Row],[New Model]],PhilipsLibary[],5,FALSE),"0")</f>
        <v>1127</v>
      </c>
      <c r="V203" s="210">
        <v>1879</v>
      </c>
      <c r="W203" s="210">
        <f>Mon_ILR2[[#This Row],[Accessory Rate]]+Mon_ILR2[[#This Row],[Mounting Rate]]+Mon_ILR2[[#This Row],[Unit Rate]]*Mon_ILR2[[#This Row],[New Quantity Required ]]</f>
        <v>10495</v>
      </c>
      <c r="X203" s="8"/>
      <c r="Y203" s="246" t="s">
        <v>1060</v>
      </c>
      <c r="Z203" s="6" t="s">
        <v>45</v>
      </c>
      <c r="AA203" s="6" t="s">
        <v>46</v>
      </c>
      <c r="AB203" s="6" t="s">
        <v>47</v>
      </c>
      <c r="AC203" s="6" t="s">
        <v>48</v>
      </c>
      <c r="AD203" s="6" t="s">
        <v>49</v>
      </c>
      <c r="AE203" s="6" t="s">
        <v>50</v>
      </c>
      <c r="AF203" s="6" t="s">
        <v>50</v>
      </c>
      <c r="AG203" s="6" t="s">
        <v>50</v>
      </c>
      <c r="AH203" s="6" t="s">
        <v>50</v>
      </c>
      <c r="AI203" s="6" t="s">
        <v>51</v>
      </c>
      <c r="AJ203" s="6" t="s">
        <v>50</v>
      </c>
      <c r="AK203" s="6" t="s">
        <v>50</v>
      </c>
      <c r="AL203" s="6" t="s">
        <v>52</v>
      </c>
      <c r="AM203" s="6" t="s">
        <v>53</v>
      </c>
      <c r="AN203" s="6" t="s">
        <v>50</v>
      </c>
      <c r="AO203" s="6" t="s">
        <v>54</v>
      </c>
    </row>
    <row r="204" spans="2:41" ht="60" customHeight="1" x14ac:dyDescent="0.25">
      <c r="B204" s="207" t="s">
        <v>35</v>
      </c>
      <c r="C204" s="66" t="s">
        <v>820</v>
      </c>
      <c r="D204" s="4" t="s">
        <v>849</v>
      </c>
      <c r="E204" s="4" t="s">
        <v>1027</v>
      </c>
      <c r="F204" s="4" t="s">
        <v>932</v>
      </c>
      <c r="G204" s="4" t="s">
        <v>39</v>
      </c>
      <c r="H204" s="208">
        <v>1</v>
      </c>
      <c r="I204" s="4"/>
      <c r="J204" s="15"/>
      <c r="K204" s="4" t="str">
        <f>_xlfn.IFNA(VLOOKUP($J204,WH_Data[],6,FALSE),"")</f>
        <v/>
      </c>
      <c r="L204" s="4" t="str">
        <f>_xlfn.IFNA(VLOOKUP($J204,WH_Data[],3,FALSE),"")</f>
        <v/>
      </c>
      <c r="M204" s="4" t="str">
        <f>_xlfn.IFNA(VLOOKUP($J204,WH_Data[],5,FALSE),"")</f>
        <v/>
      </c>
      <c r="N204" s="4" t="str">
        <f>_xlfn.IFNA(VLOOKUP($J204,WH_Data[],7,FALSE),"")</f>
        <v/>
      </c>
      <c r="O204" s="4" t="str">
        <f>_xlfn.IFNA(VLOOKUP($J204,WH_Data[],8,FALSE),"")</f>
        <v/>
      </c>
      <c r="P204" s="8"/>
      <c r="Q204" s="209">
        <f>Mon_ILR2[[#This Row],[Qty Required]]-Mon_ILR2[[#This Row],[QTY Transfer]]</f>
        <v>1</v>
      </c>
      <c r="R204" s="66" t="s">
        <v>905</v>
      </c>
      <c r="S204" s="66" t="s">
        <v>934</v>
      </c>
      <c r="T204" s="210">
        <v>7489</v>
      </c>
      <c r="U204" s="210">
        <f>_xlfn.IFNA(VLOOKUP(Mon_ILR2[[#This Row],[New Model]],PhilipsLibary[],5,FALSE),"0")</f>
        <v>1127</v>
      </c>
      <c r="V204" s="210">
        <v>1879</v>
      </c>
      <c r="W204" s="210">
        <f>Mon_ILR2[[#This Row],[Accessory Rate]]+Mon_ILR2[[#This Row],[Mounting Rate]]+Mon_ILR2[[#This Row],[Unit Rate]]*Mon_ILR2[[#This Row],[New Quantity Required ]]</f>
        <v>10495</v>
      </c>
      <c r="X204" s="8"/>
      <c r="Y204" s="246" t="s">
        <v>1060</v>
      </c>
      <c r="Z204" s="6" t="s">
        <v>45</v>
      </c>
      <c r="AA204" s="6" t="s">
        <v>46</v>
      </c>
      <c r="AB204" s="6" t="s">
        <v>47</v>
      </c>
      <c r="AC204" s="6" t="s">
        <v>48</v>
      </c>
      <c r="AD204" s="6" t="s">
        <v>49</v>
      </c>
      <c r="AE204" s="6" t="s">
        <v>50</v>
      </c>
      <c r="AF204" s="6" t="s">
        <v>50</v>
      </c>
      <c r="AG204" s="6" t="s">
        <v>50</v>
      </c>
      <c r="AH204" s="6" t="s">
        <v>50</v>
      </c>
      <c r="AI204" s="6" t="s">
        <v>51</v>
      </c>
      <c r="AJ204" s="6" t="s">
        <v>50</v>
      </c>
      <c r="AK204" s="6" t="s">
        <v>50</v>
      </c>
      <c r="AL204" s="6" t="s">
        <v>52</v>
      </c>
      <c r="AM204" s="6" t="s">
        <v>53</v>
      </c>
      <c r="AN204" s="6" t="s">
        <v>50</v>
      </c>
      <c r="AO204" s="6" t="s">
        <v>54</v>
      </c>
    </row>
    <row r="205" spans="2:41" ht="60" customHeight="1" x14ac:dyDescent="0.25">
      <c r="B205" s="207" t="s">
        <v>35</v>
      </c>
      <c r="C205" s="66" t="s">
        <v>820</v>
      </c>
      <c r="D205" s="4" t="s">
        <v>850</v>
      </c>
      <c r="E205" s="4" t="s">
        <v>1027</v>
      </c>
      <c r="F205" s="4" t="s">
        <v>932</v>
      </c>
      <c r="G205" s="4" t="s">
        <v>39</v>
      </c>
      <c r="H205" s="208">
        <v>1</v>
      </c>
      <c r="I205" s="4"/>
      <c r="J205" s="15"/>
      <c r="K205" s="4" t="str">
        <f>_xlfn.IFNA(VLOOKUP($J205,WH_Data[],6,FALSE),"")</f>
        <v/>
      </c>
      <c r="L205" s="4" t="str">
        <f>_xlfn.IFNA(VLOOKUP($J205,WH_Data[],3,FALSE),"")</f>
        <v/>
      </c>
      <c r="M205" s="4" t="str">
        <f>_xlfn.IFNA(VLOOKUP($J205,WH_Data[],5,FALSE),"")</f>
        <v/>
      </c>
      <c r="N205" s="4" t="str">
        <f>_xlfn.IFNA(VLOOKUP($J205,WH_Data[],7,FALSE),"")</f>
        <v/>
      </c>
      <c r="O205" s="4" t="str">
        <f>_xlfn.IFNA(VLOOKUP($J205,WH_Data[],8,FALSE),"")</f>
        <v/>
      </c>
      <c r="P205" s="8"/>
      <c r="Q205" s="209">
        <f>Mon_ILR2[[#This Row],[Qty Required]]-Mon_ILR2[[#This Row],[QTY Transfer]]</f>
        <v>1</v>
      </c>
      <c r="R205" s="66" t="s">
        <v>905</v>
      </c>
      <c r="S205" s="66" t="s">
        <v>934</v>
      </c>
      <c r="T205" s="210">
        <v>7489</v>
      </c>
      <c r="U205" s="210">
        <f>_xlfn.IFNA(VLOOKUP(Mon_ILR2[[#This Row],[New Model]],PhilipsLibary[],5,FALSE),"0")</f>
        <v>1127</v>
      </c>
      <c r="V205" s="210">
        <v>1879</v>
      </c>
      <c r="W205" s="210">
        <f>Mon_ILR2[[#This Row],[Accessory Rate]]+Mon_ILR2[[#This Row],[Mounting Rate]]+Mon_ILR2[[#This Row],[Unit Rate]]*Mon_ILR2[[#This Row],[New Quantity Required ]]</f>
        <v>10495</v>
      </c>
      <c r="X205" s="8"/>
      <c r="Y205" s="246" t="s">
        <v>1060</v>
      </c>
      <c r="Z205" s="6" t="s">
        <v>45</v>
      </c>
      <c r="AA205" s="6" t="s">
        <v>46</v>
      </c>
      <c r="AB205" s="6" t="s">
        <v>47</v>
      </c>
      <c r="AC205" s="6" t="s">
        <v>48</v>
      </c>
      <c r="AD205" s="6" t="s">
        <v>49</v>
      </c>
      <c r="AE205" s="6" t="s">
        <v>50</v>
      </c>
      <c r="AF205" s="6" t="s">
        <v>50</v>
      </c>
      <c r="AG205" s="6" t="s">
        <v>50</v>
      </c>
      <c r="AH205" s="6" t="s">
        <v>50</v>
      </c>
      <c r="AI205" s="6" t="s">
        <v>51</v>
      </c>
      <c r="AJ205" s="6" t="s">
        <v>50</v>
      </c>
      <c r="AK205" s="6" t="s">
        <v>50</v>
      </c>
      <c r="AL205" s="6" t="s">
        <v>52</v>
      </c>
      <c r="AM205" s="6" t="s">
        <v>53</v>
      </c>
      <c r="AN205" s="6" t="s">
        <v>50</v>
      </c>
      <c r="AO205" s="6" t="s">
        <v>54</v>
      </c>
    </row>
    <row r="206" spans="2:41" ht="60" customHeight="1" x14ac:dyDescent="0.25">
      <c r="B206" s="207" t="s">
        <v>35</v>
      </c>
      <c r="C206" s="66" t="s">
        <v>700</v>
      </c>
      <c r="D206" s="4" t="s">
        <v>851</v>
      </c>
      <c r="E206" s="4" t="s">
        <v>1027</v>
      </c>
      <c r="F206" s="4" t="s">
        <v>932</v>
      </c>
      <c r="G206" s="4" t="s">
        <v>39</v>
      </c>
      <c r="H206" s="208">
        <v>1</v>
      </c>
      <c r="I206" s="4"/>
      <c r="J206" s="15"/>
      <c r="K206" s="4" t="str">
        <f>_xlfn.IFNA(VLOOKUP($J206,WH_Data[],6,FALSE),"")</f>
        <v/>
      </c>
      <c r="L206" s="4" t="str">
        <f>_xlfn.IFNA(VLOOKUP($J206,WH_Data[],3,FALSE),"")</f>
        <v/>
      </c>
      <c r="M206" s="4" t="str">
        <f>_xlfn.IFNA(VLOOKUP($J206,WH_Data[],5,FALSE),"")</f>
        <v/>
      </c>
      <c r="N206" s="4" t="str">
        <f>_xlfn.IFNA(VLOOKUP($J206,WH_Data[],7,FALSE),"")</f>
        <v/>
      </c>
      <c r="O206" s="4" t="str">
        <f>_xlfn.IFNA(VLOOKUP($J206,WH_Data[],8,FALSE),"")</f>
        <v/>
      </c>
      <c r="P206" s="8"/>
      <c r="Q206" s="209">
        <f>Mon_ILR2[[#This Row],[Qty Required]]-Mon_ILR2[[#This Row],[QTY Transfer]]</f>
        <v>1</v>
      </c>
      <c r="R206" s="66" t="s">
        <v>905</v>
      </c>
      <c r="S206" s="66" t="s">
        <v>934</v>
      </c>
      <c r="T206" s="210">
        <v>7489</v>
      </c>
      <c r="U206" s="210">
        <f>_xlfn.IFNA(VLOOKUP(Mon_ILR2[[#This Row],[New Model]],PhilipsLibary[],5,FALSE),"0")</f>
        <v>1127</v>
      </c>
      <c r="V206" s="210">
        <v>1879</v>
      </c>
      <c r="W206" s="210">
        <f>Mon_ILR2[[#This Row],[Accessory Rate]]+Mon_ILR2[[#This Row],[Mounting Rate]]+Mon_ILR2[[#This Row],[Unit Rate]]*Mon_ILR2[[#This Row],[New Quantity Required ]]</f>
        <v>10495</v>
      </c>
      <c r="X206" s="8"/>
      <c r="Y206" s="246" t="s">
        <v>1060</v>
      </c>
      <c r="Z206" s="6" t="s">
        <v>45</v>
      </c>
      <c r="AA206" s="6" t="s">
        <v>46</v>
      </c>
      <c r="AB206" s="6" t="s">
        <v>47</v>
      </c>
      <c r="AC206" s="6" t="s">
        <v>48</v>
      </c>
      <c r="AD206" s="6" t="s">
        <v>49</v>
      </c>
      <c r="AE206" s="6" t="s">
        <v>50</v>
      </c>
      <c r="AF206" s="6" t="s">
        <v>50</v>
      </c>
      <c r="AG206" s="6" t="s">
        <v>50</v>
      </c>
      <c r="AH206" s="6" t="s">
        <v>50</v>
      </c>
      <c r="AI206" s="6" t="s">
        <v>51</v>
      </c>
      <c r="AJ206" s="6" t="s">
        <v>50</v>
      </c>
      <c r="AK206" s="6" t="s">
        <v>50</v>
      </c>
      <c r="AL206" s="6" t="s">
        <v>52</v>
      </c>
      <c r="AM206" s="6" t="s">
        <v>53</v>
      </c>
      <c r="AN206" s="6" t="s">
        <v>50</v>
      </c>
      <c r="AO206" s="6" t="s">
        <v>54</v>
      </c>
    </row>
    <row r="207" spans="2:41" ht="195" x14ac:dyDescent="0.25">
      <c r="B207" s="207" t="s">
        <v>35</v>
      </c>
      <c r="C207" s="66" t="s">
        <v>410</v>
      </c>
      <c r="D207" s="4" t="s">
        <v>854</v>
      </c>
      <c r="E207" s="4" t="s">
        <v>1027</v>
      </c>
      <c r="F207" s="4" t="s">
        <v>932</v>
      </c>
      <c r="G207" s="4" t="s">
        <v>39</v>
      </c>
      <c r="H207" s="208">
        <v>1</v>
      </c>
      <c r="I207" s="4"/>
      <c r="J207" s="15"/>
      <c r="K207" s="4" t="str">
        <f>_xlfn.IFNA(VLOOKUP($J207,WH_Data[],6,FALSE),"")</f>
        <v/>
      </c>
      <c r="L207" s="4" t="str">
        <f>_xlfn.IFNA(VLOOKUP($J207,WH_Data[],3,FALSE),"")</f>
        <v/>
      </c>
      <c r="M207" s="4" t="str">
        <f>_xlfn.IFNA(VLOOKUP($J207,WH_Data[],5,FALSE),"")</f>
        <v/>
      </c>
      <c r="N207" s="4" t="str">
        <f>_xlfn.IFNA(VLOOKUP($J207,WH_Data[],7,FALSE),"")</f>
        <v/>
      </c>
      <c r="O207" s="4" t="str">
        <f>_xlfn.IFNA(VLOOKUP($J207,WH_Data[],8,FALSE),"")</f>
        <v/>
      </c>
      <c r="P207" s="8"/>
      <c r="Q207" s="209">
        <f>Mon_ILR2[[#This Row],[Qty Required]]-Mon_ILR2[[#This Row],[QTY Transfer]]</f>
        <v>1</v>
      </c>
      <c r="R207" s="66" t="s">
        <v>905</v>
      </c>
      <c r="S207" s="66" t="s">
        <v>934</v>
      </c>
      <c r="T207" s="210">
        <v>7489</v>
      </c>
      <c r="U207" s="303">
        <v>876</v>
      </c>
      <c r="V207" s="210">
        <v>1879</v>
      </c>
      <c r="W207" s="210">
        <f>Mon_ILR2[[#This Row],[Accessory Rate]]+Mon_ILR2[[#This Row],[Mounting Rate]]+Mon_ILR2[[#This Row],[Unit Rate]]*Mon_ILR2[[#This Row],[New Quantity Required ]]</f>
        <v>10244</v>
      </c>
      <c r="X207" s="8"/>
      <c r="Y207" s="289" t="s">
        <v>2197</v>
      </c>
      <c r="Z207" s="6" t="s">
        <v>45</v>
      </c>
      <c r="AA207" s="6" t="s">
        <v>46</v>
      </c>
      <c r="AB207" s="6" t="s">
        <v>47</v>
      </c>
      <c r="AC207" s="6" t="s">
        <v>48</v>
      </c>
      <c r="AD207" s="6" t="s">
        <v>49</v>
      </c>
      <c r="AE207" s="6" t="s">
        <v>50</v>
      </c>
      <c r="AF207" s="6" t="s">
        <v>50</v>
      </c>
      <c r="AG207" s="6" t="s">
        <v>50</v>
      </c>
      <c r="AH207" s="6" t="s">
        <v>50</v>
      </c>
      <c r="AI207" s="6" t="s">
        <v>51</v>
      </c>
      <c r="AJ207" s="6" t="s">
        <v>50</v>
      </c>
      <c r="AK207" s="6" t="s">
        <v>50</v>
      </c>
      <c r="AL207" s="6" t="s">
        <v>52</v>
      </c>
      <c r="AM207" s="6" t="s">
        <v>53</v>
      </c>
      <c r="AN207" s="6" t="s">
        <v>50</v>
      </c>
      <c r="AO207" s="6" t="s">
        <v>54</v>
      </c>
    </row>
    <row r="208" spans="2:41" ht="195" x14ac:dyDescent="0.25">
      <c r="B208" s="207" t="s">
        <v>35</v>
      </c>
      <c r="C208" s="66" t="s">
        <v>410</v>
      </c>
      <c r="D208" s="4" t="s">
        <v>855</v>
      </c>
      <c r="E208" s="4" t="s">
        <v>1027</v>
      </c>
      <c r="F208" s="4" t="s">
        <v>932</v>
      </c>
      <c r="G208" s="4" t="s">
        <v>39</v>
      </c>
      <c r="H208" s="208">
        <v>1</v>
      </c>
      <c r="I208" s="4"/>
      <c r="J208" s="15"/>
      <c r="K208" s="4" t="str">
        <f>_xlfn.IFNA(VLOOKUP($J208,WH_Data[],6,FALSE),"")</f>
        <v/>
      </c>
      <c r="L208" s="4" t="str">
        <f>_xlfn.IFNA(VLOOKUP($J208,WH_Data[],3,FALSE),"")</f>
        <v/>
      </c>
      <c r="M208" s="4" t="str">
        <f>_xlfn.IFNA(VLOOKUP($J208,WH_Data[],5,FALSE),"")</f>
        <v/>
      </c>
      <c r="N208" s="4" t="str">
        <f>_xlfn.IFNA(VLOOKUP($J208,WH_Data[],7,FALSE),"")</f>
        <v/>
      </c>
      <c r="O208" s="4" t="str">
        <f>_xlfn.IFNA(VLOOKUP($J208,WH_Data[],8,FALSE),"")</f>
        <v/>
      </c>
      <c r="P208" s="8"/>
      <c r="Q208" s="209">
        <f>Mon_ILR2[[#This Row],[Qty Required]]-Mon_ILR2[[#This Row],[QTY Transfer]]</f>
        <v>1</v>
      </c>
      <c r="R208" s="66" t="s">
        <v>905</v>
      </c>
      <c r="S208" s="66" t="s">
        <v>934</v>
      </c>
      <c r="T208" s="210">
        <v>7489</v>
      </c>
      <c r="U208" s="303">
        <v>876</v>
      </c>
      <c r="V208" s="210">
        <v>1879</v>
      </c>
      <c r="W208" s="210">
        <f>Mon_ILR2[[#This Row],[Accessory Rate]]+Mon_ILR2[[#This Row],[Mounting Rate]]+Mon_ILR2[[#This Row],[Unit Rate]]*Mon_ILR2[[#This Row],[New Quantity Required ]]</f>
        <v>10244</v>
      </c>
      <c r="X208" s="8"/>
      <c r="Y208" s="289" t="s">
        <v>2197</v>
      </c>
      <c r="Z208" s="6" t="s">
        <v>45</v>
      </c>
      <c r="AA208" s="6" t="s">
        <v>46</v>
      </c>
      <c r="AB208" s="6" t="s">
        <v>47</v>
      </c>
      <c r="AC208" s="6" t="s">
        <v>48</v>
      </c>
      <c r="AD208" s="6" t="s">
        <v>49</v>
      </c>
      <c r="AE208" s="6" t="s">
        <v>50</v>
      </c>
      <c r="AF208" s="6" t="s">
        <v>50</v>
      </c>
      <c r="AG208" s="6" t="s">
        <v>50</v>
      </c>
      <c r="AH208" s="6" t="s">
        <v>50</v>
      </c>
      <c r="AI208" s="6" t="s">
        <v>51</v>
      </c>
      <c r="AJ208" s="6" t="s">
        <v>50</v>
      </c>
      <c r="AK208" s="6" t="s">
        <v>50</v>
      </c>
      <c r="AL208" s="6" t="s">
        <v>52</v>
      </c>
      <c r="AM208" s="6" t="s">
        <v>53</v>
      </c>
      <c r="AN208" s="6" t="s">
        <v>50</v>
      </c>
      <c r="AO208" s="6" t="s">
        <v>54</v>
      </c>
    </row>
    <row r="209" spans="2:41" ht="195" x14ac:dyDescent="0.25">
      <c r="B209" s="207" t="s">
        <v>35</v>
      </c>
      <c r="C209" s="66" t="s">
        <v>410</v>
      </c>
      <c r="D209" s="4" t="s">
        <v>856</v>
      </c>
      <c r="E209" s="4" t="s">
        <v>1027</v>
      </c>
      <c r="F209" s="4" t="s">
        <v>932</v>
      </c>
      <c r="G209" s="4" t="s">
        <v>39</v>
      </c>
      <c r="H209" s="208">
        <v>1</v>
      </c>
      <c r="I209" s="4"/>
      <c r="J209" s="15"/>
      <c r="K209" s="4" t="str">
        <f>_xlfn.IFNA(VLOOKUP($J209,WH_Data[],6,FALSE),"")</f>
        <v/>
      </c>
      <c r="L209" s="4" t="str">
        <f>_xlfn.IFNA(VLOOKUP($J209,WH_Data[],3,FALSE),"")</f>
        <v/>
      </c>
      <c r="M209" s="4" t="str">
        <f>_xlfn.IFNA(VLOOKUP($J209,WH_Data[],5,FALSE),"")</f>
        <v/>
      </c>
      <c r="N209" s="4" t="str">
        <f>_xlfn.IFNA(VLOOKUP($J209,WH_Data[],7,FALSE),"")</f>
        <v/>
      </c>
      <c r="O209" s="4" t="str">
        <f>_xlfn.IFNA(VLOOKUP($J209,WH_Data[],8,FALSE),"")</f>
        <v/>
      </c>
      <c r="P209" s="8"/>
      <c r="Q209" s="209">
        <f>Mon_ILR2[[#This Row],[Qty Required]]-Mon_ILR2[[#This Row],[QTY Transfer]]</f>
        <v>1</v>
      </c>
      <c r="R209" s="66" t="s">
        <v>905</v>
      </c>
      <c r="S209" s="66" t="s">
        <v>934</v>
      </c>
      <c r="T209" s="210">
        <v>7489</v>
      </c>
      <c r="U209" s="303">
        <v>876</v>
      </c>
      <c r="V209" s="210">
        <v>1879</v>
      </c>
      <c r="W209" s="210">
        <f>Mon_ILR2[[#This Row],[Accessory Rate]]+Mon_ILR2[[#This Row],[Mounting Rate]]+Mon_ILR2[[#This Row],[Unit Rate]]*Mon_ILR2[[#This Row],[New Quantity Required ]]</f>
        <v>10244</v>
      </c>
      <c r="X209" s="8"/>
      <c r="Y209" s="289" t="s">
        <v>2197</v>
      </c>
      <c r="Z209" s="6" t="s">
        <v>45</v>
      </c>
      <c r="AA209" s="6" t="s">
        <v>46</v>
      </c>
      <c r="AB209" s="6" t="s">
        <v>47</v>
      </c>
      <c r="AC209" s="6" t="s">
        <v>48</v>
      </c>
      <c r="AD209" s="6" t="s">
        <v>49</v>
      </c>
      <c r="AE209" s="6" t="s">
        <v>50</v>
      </c>
      <c r="AF209" s="6" t="s">
        <v>50</v>
      </c>
      <c r="AG209" s="6" t="s">
        <v>50</v>
      </c>
      <c r="AH209" s="6" t="s">
        <v>50</v>
      </c>
      <c r="AI209" s="6" t="s">
        <v>51</v>
      </c>
      <c r="AJ209" s="6" t="s">
        <v>50</v>
      </c>
      <c r="AK209" s="6" t="s">
        <v>50</v>
      </c>
      <c r="AL209" s="6" t="s">
        <v>52</v>
      </c>
      <c r="AM209" s="6" t="s">
        <v>53</v>
      </c>
      <c r="AN209" s="6" t="s">
        <v>50</v>
      </c>
      <c r="AO209" s="6" t="s">
        <v>54</v>
      </c>
    </row>
    <row r="210" spans="2:41" ht="195" x14ac:dyDescent="0.25">
      <c r="B210" s="207" t="s">
        <v>35</v>
      </c>
      <c r="C210" s="66" t="s">
        <v>410</v>
      </c>
      <c r="D210" s="4" t="s">
        <v>857</v>
      </c>
      <c r="E210" s="4" t="s">
        <v>1027</v>
      </c>
      <c r="F210" s="4" t="s">
        <v>932</v>
      </c>
      <c r="G210" s="4" t="s">
        <v>39</v>
      </c>
      <c r="H210" s="208">
        <v>1</v>
      </c>
      <c r="I210" s="4"/>
      <c r="J210" s="15"/>
      <c r="K210" s="4" t="str">
        <f>_xlfn.IFNA(VLOOKUP($J210,WH_Data[],6,FALSE),"")</f>
        <v/>
      </c>
      <c r="L210" s="4" t="str">
        <f>_xlfn.IFNA(VLOOKUP($J210,WH_Data[],3,FALSE),"")</f>
        <v/>
      </c>
      <c r="M210" s="4" t="str">
        <f>_xlfn.IFNA(VLOOKUP($J210,WH_Data[],5,FALSE),"")</f>
        <v/>
      </c>
      <c r="N210" s="4" t="str">
        <f>_xlfn.IFNA(VLOOKUP($J210,WH_Data[],7,FALSE),"")</f>
        <v/>
      </c>
      <c r="O210" s="4" t="str">
        <f>_xlfn.IFNA(VLOOKUP($J210,WH_Data[],8,FALSE),"")</f>
        <v/>
      </c>
      <c r="P210" s="8"/>
      <c r="Q210" s="209">
        <f>Mon_ILR2[[#This Row],[Qty Required]]-Mon_ILR2[[#This Row],[QTY Transfer]]</f>
        <v>1</v>
      </c>
      <c r="R210" s="66" t="s">
        <v>905</v>
      </c>
      <c r="S210" s="66" t="s">
        <v>934</v>
      </c>
      <c r="T210" s="210">
        <v>7489</v>
      </c>
      <c r="U210" s="303">
        <v>876</v>
      </c>
      <c r="V210" s="210">
        <v>1879</v>
      </c>
      <c r="W210" s="210">
        <f>Mon_ILR2[[#This Row],[Accessory Rate]]+Mon_ILR2[[#This Row],[Mounting Rate]]+Mon_ILR2[[#This Row],[Unit Rate]]*Mon_ILR2[[#This Row],[New Quantity Required ]]</f>
        <v>10244</v>
      </c>
      <c r="X210" s="8"/>
      <c r="Y210" s="289" t="s">
        <v>2197</v>
      </c>
      <c r="Z210" s="6" t="s">
        <v>45</v>
      </c>
      <c r="AA210" s="6" t="s">
        <v>46</v>
      </c>
      <c r="AB210" s="6" t="s">
        <v>47</v>
      </c>
      <c r="AC210" s="6" t="s">
        <v>48</v>
      </c>
      <c r="AD210" s="6" t="s">
        <v>49</v>
      </c>
      <c r="AE210" s="6" t="s">
        <v>50</v>
      </c>
      <c r="AF210" s="6" t="s">
        <v>50</v>
      </c>
      <c r="AG210" s="6" t="s">
        <v>50</v>
      </c>
      <c r="AH210" s="6" t="s">
        <v>50</v>
      </c>
      <c r="AI210" s="6" t="s">
        <v>51</v>
      </c>
      <c r="AJ210" s="6" t="s">
        <v>50</v>
      </c>
      <c r="AK210" s="6" t="s">
        <v>50</v>
      </c>
      <c r="AL210" s="6" t="s">
        <v>52</v>
      </c>
      <c r="AM210" s="6" t="s">
        <v>53</v>
      </c>
      <c r="AN210" s="6" t="s">
        <v>50</v>
      </c>
      <c r="AO210" s="6" t="s">
        <v>54</v>
      </c>
    </row>
    <row r="211" spans="2:41" ht="195" x14ac:dyDescent="0.25">
      <c r="B211" s="207" t="s">
        <v>35</v>
      </c>
      <c r="C211" s="66" t="s">
        <v>410</v>
      </c>
      <c r="D211" s="4" t="s">
        <v>861</v>
      </c>
      <c r="E211" s="4" t="s">
        <v>1027</v>
      </c>
      <c r="F211" s="4" t="s">
        <v>932</v>
      </c>
      <c r="G211" s="4" t="s">
        <v>39</v>
      </c>
      <c r="H211" s="208">
        <v>1</v>
      </c>
      <c r="I211" s="4"/>
      <c r="J211" s="15"/>
      <c r="K211" s="4" t="str">
        <f>_xlfn.IFNA(VLOOKUP($J211,WH_Data[],6,FALSE),"")</f>
        <v/>
      </c>
      <c r="L211" s="4" t="str">
        <f>_xlfn.IFNA(VLOOKUP($J211,WH_Data[],3,FALSE),"")</f>
        <v/>
      </c>
      <c r="M211" s="4" t="str">
        <f>_xlfn.IFNA(VLOOKUP($J211,WH_Data[],5,FALSE),"")</f>
        <v/>
      </c>
      <c r="N211" s="4" t="str">
        <f>_xlfn.IFNA(VLOOKUP($J211,WH_Data[],7,FALSE),"")</f>
        <v/>
      </c>
      <c r="O211" s="4" t="str">
        <f>_xlfn.IFNA(VLOOKUP($J211,WH_Data[],8,FALSE),"")</f>
        <v/>
      </c>
      <c r="P211" s="8"/>
      <c r="Q211" s="209">
        <f>Mon_ILR2[[#This Row],[Qty Required]]-Mon_ILR2[[#This Row],[QTY Transfer]]</f>
        <v>1</v>
      </c>
      <c r="R211" s="66" t="s">
        <v>905</v>
      </c>
      <c r="S211" s="66" t="s">
        <v>934</v>
      </c>
      <c r="T211" s="210">
        <v>7489</v>
      </c>
      <c r="U211" s="303">
        <v>876</v>
      </c>
      <c r="V211" s="210">
        <v>1879</v>
      </c>
      <c r="W211" s="210">
        <f>Mon_ILR2[[#This Row],[Accessory Rate]]+Mon_ILR2[[#This Row],[Mounting Rate]]+Mon_ILR2[[#This Row],[Unit Rate]]*Mon_ILR2[[#This Row],[New Quantity Required ]]</f>
        <v>10244</v>
      </c>
      <c r="X211" s="8"/>
      <c r="Y211" s="289" t="s">
        <v>2197</v>
      </c>
      <c r="Z211" s="6" t="s">
        <v>45</v>
      </c>
      <c r="AA211" s="6" t="s">
        <v>46</v>
      </c>
      <c r="AB211" s="6" t="s">
        <v>47</v>
      </c>
      <c r="AC211" s="6" t="s">
        <v>48</v>
      </c>
      <c r="AD211" s="6" t="s">
        <v>49</v>
      </c>
      <c r="AE211" s="6" t="s">
        <v>50</v>
      </c>
      <c r="AF211" s="6" t="s">
        <v>50</v>
      </c>
      <c r="AG211" s="6" t="s">
        <v>50</v>
      </c>
      <c r="AH211" s="6" t="s">
        <v>50</v>
      </c>
      <c r="AI211" s="6" t="s">
        <v>51</v>
      </c>
      <c r="AJ211" s="6" t="s">
        <v>50</v>
      </c>
      <c r="AK211" s="6" t="s">
        <v>50</v>
      </c>
      <c r="AL211" s="6" t="s">
        <v>52</v>
      </c>
      <c r="AM211" s="6" t="s">
        <v>53</v>
      </c>
      <c r="AN211" s="6" t="s">
        <v>50</v>
      </c>
      <c r="AO211" s="6" t="s">
        <v>54</v>
      </c>
    </row>
    <row r="212" spans="2:41" ht="195" x14ac:dyDescent="0.25">
      <c r="B212" s="207" t="s">
        <v>35</v>
      </c>
      <c r="C212" s="66" t="s">
        <v>410</v>
      </c>
      <c r="D212" s="4" t="s">
        <v>870</v>
      </c>
      <c r="E212" s="4" t="s">
        <v>1027</v>
      </c>
      <c r="F212" s="4" t="s">
        <v>932</v>
      </c>
      <c r="G212" s="4" t="s">
        <v>39</v>
      </c>
      <c r="H212" s="208">
        <v>1</v>
      </c>
      <c r="I212" s="4"/>
      <c r="J212" s="15"/>
      <c r="K212" s="4" t="str">
        <f>_xlfn.IFNA(VLOOKUP($J212,WH_Data[],6,FALSE),"")</f>
        <v/>
      </c>
      <c r="L212" s="4" t="str">
        <f>_xlfn.IFNA(VLOOKUP($J212,WH_Data[],3,FALSE),"")</f>
        <v/>
      </c>
      <c r="M212" s="4" t="str">
        <f>_xlfn.IFNA(VLOOKUP($J212,WH_Data[],5,FALSE),"")</f>
        <v/>
      </c>
      <c r="N212" s="4" t="str">
        <f>_xlfn.IFNA(VLOOKUP($J212,WH_Data[],7,FALSE),"")</f>
        <v/>
      </c>
      <c r="O212" s="4" t="str">
        <f>_xlfn.IFNA(VLOOKUP($J212,WH_Data[],8,FALSE),"")</f>
        <v/>
      </c>
      <c r="P212" s="8"/>
      <c r="Q212" s="209">
        <f>Mon_ILR2[[#This Row],[Qty Required]]-Mon_ILR2[[#This Row],[QTY Transfer]]</f>
        <v>1</v>
      </c>
      <c r="R212" s="66" t="s">
        <v>905</v>
      </c>
      <c r="S212" s="66" t="s">
        <v>934</v>
      </c>
      <c r="T212" s="210">
        <v>7489</v>
      </c>
      <c r="U212" s="303">
        <v>876</v>
      </c>
      <c r="V212" s="210">
        <v>1879</v>
      </c>
      <c r="W212" s="210">
        <f>Mon_ILR2[[#This Row],[Accessory Rate]]+Mon_ILR2[[#This Row],[Mounting Rate]]+Mon_ILR2[[#This Row],[Unit Rate]]*Mon_ILR2[[#This Row],[New Quantity Required ]]</f>
        <v>10244</v>
      </c>
      <c r="X212" s="8"/>
      <c r="Y212" s="289" t="s">
        <v>2197</v>
      </c>
      <c r="Z212" s="6" t="s">
        <v>45</v>
      </c>
      <c r="AA212" s="6" t="s">
        <v>46</v>
      </c>
      <c r="AB212" s="6" t="s">
        <v>47</v>
      </c>
      <c r="AC212" s="6" t="s">
        <v>48</v>
      </c>
      <c r="AD212" s="6" t="s">
        <v>49</v>
      </c>
      <c r="AE212" s="6" t="s">
        <v>50</v>
      </c>
      <c r="AF212" s="6" t="s">
        <v>50</v>
      </c>
      <c r="AG212" s="6" t="s">
        <v>50</v>
      </c>
      <c r="AH212" s="6" t="s">
        <v>50</v>
      </c>
      <c r="AI212" s="6" t="s">
        <v>51</v>
      </c>
      <c r="AJ212" s="6" t="s">
        <v>50</v>
      </c>
      <c r="AK212" s="6" t="s">
        <v>50</v>
      </c>
      <c r="AL212" s="6" t="s">
        <v>52</v>
      </c>
      <c r="AM212" s="6" t="s">
        <v>53</v>
      </c>
      <c r="AN212" s="6" t="s">
        <v>50</v>
      </c>
      <c r="AO212" s="6" t="s">
        <v>54</v>
      </c>
    </row>
    <row r="213" spans="2:41" ht="195" x14ac:dyDescent="0.25">
      <c r="B213" s="207" t="s">
        <v>35</v>
      </c>
      <c r="C213" s="66" t="s">
        <v>410</v>
      </c>
      <c r="D213" s="4" t="s">
        <v>871</v>
      </c>
      <c r="E213" s="4" t="s">
        <v>1027</v>
      </c>
      <c r="F213" s="4" t="s">
        <v>932</v>
      </c>
      <c r="G213" s="4" t="s">
        <v>39</v>
      </c>
      <c r="H213" s="208">
        <v>1</v>
      </c>
      <c r="I213" s="4"/>
      <c r="J213" s="15"/>
      <c r="K213" s="4" t="str">
        <f>_xlfn.IFNA(VLOOKUP($J213,WH_Data[],6,FALSE),"")</f>
        <v/>
      </c>
      <c r="L213" s="4" t="str">
        <f>_xlfn.IFNA(VLOOKUP($J213,WH_Data[],3,FALSE),"")</f>
        <v/>
      </c>
      <c r="M213" s="4" t="str">
        <f>_xlfn.IFNA(VLOOKUP($J213,WH_Data[],5,FALSE),"")</f>
        <v/>
      </c>
      <c r="N213" s="4" t="str">
        <f>_xlfn.IFNA(VLOOKUP($J213,WH_Data[],7,FALSE),"")</f>
        <v/>
      </c>
      <c r="O213" s="4" t="str">
        <f>_xlfn.IFNA(VLOOKUP($J213,WH_Data[],8,FALSE),"")</f>
        <v/>
      </c>
      <c r="P213" s="8"/>
      <c r="Q213" s="209">
        <f>Mon_ILR2[[#This Row],[Qty Required]]-Mon_ILR2[[#This Row],[QTY Transfer]]</f>
        <v>1</v>
      </c>
      <c r="R213" s="66" t="s">
        <v>905</v>
      </c>
      <c r="S213" s="66" t="s">
        <v>934</v>
      </c>
      <c r="T213" s="210">
        <v>7489</v>
      </c>
      <c r="U213" s="303">
        <v>876</v>
      </c>
      <c r="V213" s="210">
        <v>1879</v>
      </c>
      <c r="W213" s="210">
        <f>Mon_ILR2[[#This Row],[Accessory Rate]]+Mon_ILR2[[#This Row],[Mounting Rate]]+Mon_ILR2[[#This Row],[Unit Rate]]*Mon_ILR2[[#This Row],[New Quantity Required ]]</f>
        <v>10244</v>
      </c>
      <c r="X213" s="8"/>
      <c r="Y213" s="289" t="s">
        <v>2197</v>
      </c>
      <c r="Z213" s="6" t="s">
        <v>45</v>
      </c>
      <c r="AA213" s="6" t="s">
        <v>46</v>
      </c>
      <c r="AB213" s="6" t="s">
        <v>47</v>
      </c>
      <c r="AC213" s="6" t="s">
        <v>48</v>
      </c>
      <c r="AD213" s="6" t="s">
        <v>49</v>
      </c>
      <c r="AE213" s="6" t="s">
        <v>50</v>
      </c>
      <c r="AF213" s="6" t="s">
        <v>50</v>
      </c>
      <c r="AG213" s="6" t="s">
        <v>50</v>
      </c>
      <c r="AH213" s="6" t="s">
        <v>50</v>
      </c>
      <c r="AI213" s="6" t="s">
        <v>51</v>
      </c>
      <c r="AJ213" s="6" t="s">
        <v>50</v>
      </c>
      <c r="AK213" s="6" t="s">
        <v>50</v>
      </c>
      <c r="AL213" s="6" t="s">
        <v>52</v>
      </c>
      <c r="AM213" s="6" t="s">
        <v>53</v>
      </c>
      <c r="AN213" s="6" t="s">
        <v>50</v>
      </c>
      <c r="AO213" s="6" t="s">
        <v>54</v>
      </c>
    </row>
    <row r="214" spans="2:41" ht="195" x14ac:dyDescent="0.25">
      <c r="B214" s="207" t="s">
        <v>35</v>
      </c>
      <c r="C214" s="66" t="s">
        <v>410</v>
      </c>
      <c r="D214" s="4" t="s">
        <v>875</v>
      </c>
      <c r="E214" s="4" t="s">
        <v>1027</v>
      </c>
      <c r="F214" s="4" t="s">
        <v>932</v>
      </c>
      <c r="G214" s="4" t="s">
        <v>39</v>
      </c>
      <c r="H214" s="208">
        <v>1</v>
      </c>
      <c r="I214" s="4"/>
      <c r="J214" s="15"/>
      <c r="K214" s="4" t="str">
        <f>_xlfn.IFNA(VLOOKUP($J214,WH_Data[],6,FALSE),"")</f>
        <v/>
      </c>
      <c r="L214" s="4" t="str">
        <f>_xlfn.IFNA(VLOOKUP($J214,WH_Data[],3,FALSE),"")</f>
        <v/>
      </c>
      <c r="M214" s="4" t="str">
        <f>_xlfn.IFNA(VLOOKUP($J214,WH_Data[],5,FALSE),"")</f>
        <v/>
      </c>
      <c r="N214" s="4" t="str">
        <f>_xlfn.IFNA(VLOOKUP($J214,WH_Data[],7,FALSE),"")</f>
        <v/>
      </c>
      <c r="O214" s="4" t="str">
        <f>_xlfn.IFNA(VLOOKUP($J214,WH_Data[],8,FALSE),"")</f>
        <v/>
      </c>
      <c r="P214" s="8"/>
      <c r="Q214" s="209">
        <f>Mon_ILR2[[#This Row],[Qty Required]]-Mon_ILR2[[#This Row],[QTY Transfer]]</f>
        <v>1</v>
      </c>
      <c r="R214" s="66" t="s">
        <v>905</v>
      </c>
      <c r="S214" s="66" t="s">
        <v>934</v>
      </c>
      <c r="T214" s="210">
        <v>7489</v>
      </c>
      <c r="U214" s="303">
        <v>876</v>
      </c>
      <c r="V214" s="210">
        <v>1879</v>
      </c>
      <c r="W214" s="210">
        <f>Mon_ILR2[[#This Row],[Accessory Rate]]+Mon_ILR2[[#This Row],[Mounting Rate]]+Mon_ILR2[[#This Row],[Unit Rate]]*Mon_ILR2[[#This Row],[New Quantity Required ]]</f>
        <v>10244</v>
      </c>
      <c r="X214" s="8"/>
      <c r="Y214" s="289" t="s">
        <v>2197</v>
      </c>
      <c r="Z214" s="6" t="s">
        <v>45</v>
      </c>
      <c r="AA214" s="6" t="s">
        <v>46</v>
      </c>
      <c r="AB214" s="6" t="s">
        <v>47</v>
      </c>
      <c r="AC214" s="6" t="s">
        <v>48</v>
      </c>
      <c r="AD214" s="6" t="s">
        <v>49</v>
      </c>
      <c r="AE214" s="6" t="s">
        <v>50</v>
      </c>
      <c r="AF214" s="6" t="s">
        <v>50</v>
      </c>
      <c r="AG214" s="6" t="s">
        <v>50</v>
      </c>
      <c r="AH214" s="6" t="s">
        <v>50</v>
      </c>
      <c r="AI214" s="6" t="s">
        <v>51</v>
      </c>
      <c r="AJ214" s="6" t="s">
        <v>50</v>
      </c>
      <c r="AK214" s="6" t="s">
        <v>50</v>
      </c>
      <c r="AL214" s="6" t="s">
        <v>52</v>
      </c>
      <c r="AM214" s="6" t="s">
        <v>53</v>
      </c>
      <c r="AN214" s="6" t="s">
        <v>50</v>
      </c>
      <c r="AO214" s="6" t="s">
        <v>54</v>
      </c>
    </row>
    <row r="215" spans="2:41" ht="195" x14ac:dyDescent="0.25">
      <c r="B215" s="207" t="s">
        <v>35</v>
      </c>
      <c r="C215" s="66" t="s">
        <v>410</v>
      </c>
      <c r="D215" s="4" t="s">
        <v>876</v>
      </c>
      <c r="E215" s="4" t="s">
        <v>1027</v>
      </c>
      <c r="F215" s="4" t="s">
        <v>932</v>
      </c>
      <c r="G215" s="4" t="s">
        <v>39</v>
      </c>
      <c r="H215" s="208">
        <v>1</v>
      </c>
      <c r="I215" s="4"/>
      <c r="J215" s="15"/>
      <c r="K215" s="4" t="str">
        <f>_xlfn.IFNA(VLOOKUP($J215,WH_Data[],6,FALSE),"")</f>
        <v/>
      </c>
      <c r="L215" s="4" t="str">
        <f>_xlfn.IFNA(VLOOKUP($J215,WH_Data[],3,FALSE),"")</f>
        <v/>
      </c>
      <c r="M215" s="4" t="str">
        <f>_xlfn.IFNA(VLOOKUP($J215,WH_Data[],5,FALSE),"")</f>
        <v/>
      </c>
      <c r="N215" s="4" t="str">
        <f>_xlfn.IFNA(VLOOKUP($J215,WH_Data[],7,FALSE),"")</f>
        <v/>
      </c>
      <c r="O215" s="4" t="str">
        <f>_xlfn.IFNA(VLOOKUP($J215,WH_Data[],8,FALSE),"")</f>
        <v/>
      </c>
      <c r="P215" s="8"/>
      <c r="Q215" s="209">
        <f>Mon_ILR2[[#This Row],[Qty Required]]-Mon_ILR2[[#This Row],[QTY Transfer]]</f>
        <v>1</v>
      </c>
      <c r="R215" s="66" t="s">
        <v>905</v>
      </c>
      <c r="S215" s="66" t="s">
        <v>934</v>
      </c>
      <c r="T215" s="210">
        <v>7489</v>
      </c>
      <c r="U215" s="303">
        <v>876</v>
      </c>
      <c r="V215" s="210">
        <v>1879</v>
      </c>
      <c r="W215" s="210">
        <f>Mon_ILR2[[#This Row],[Accessory Rate]]+Mon_ILR2[[#This Row],[Mounting Rate]]+Mon_ILR2[[#This Row],[Unit Rate]]*Mon_ILR2[[#This Row],[New Quantity Required ]]</f>
        <v>10244</v>
      </c>
      <c r="X215" s="8"/>
      <c r="Y215" s="289" t="s">
        <v>2193</v>
      </c>
      <c r="Z215" s="6" t="s">
        <v>45</v>
      </c>
      <c r="AA215" s="6" t="s">
        <v>46</v>
      </c>
      <c r="AB215" s="6" t="s">
        <v>47</v>
      </c>
      <c r="AC215" s="6" t="s">
        <v>48</v>
      </c>
      <c r="AD215" s="6" t="s">
        <v>49</v>
      </c>
      <c r="AE215" s="6" t="s">
        <v>50</v>
      </c>
      <c r="AF215" s="6" t="s">
        <v>50</v>
      </c>
      <c r="AG215" s="6" t="s">
        <v>50</v>
      </c>
      <c r="AH215" s="6" t="s">
        <v>50</v>
      </c>
      <c r="AI215" s="6" t="s">
        <v>51</v>
      </c>
      <c r="AJ215" s="6" t="s">
        <v>50</v>
      </c>
      <c r="AK215" s="6" t="s">
        <v>50</v>
      </c>
      <c r="AL215" s="6" t="s">
        <v>52</v>
      </c>
      <c r="AM215" s="6" t="s">
        <v>53</v>
      </c>
      <c r="AN215" s="6" t="s">
        <v>50</v>
      </c>
      <c r="AO215" s="6" t="s">
        <v>54</v>
      </c>
    </row>
    <row r="216" spans="2:41" ht="195" x14ac:dyDescent="0.25">
      <c r="B216" s="207" t="s">
        <v>35</v>
      </c>
      <c r="C216" s="66" t="s">
        <v>410</v>
      </c>
      <c r="D216" s="4" t="s">
        <v>877</v>
      </c>
      <c r="E216" s="4" t="s">
        <v>1027</v>
      </c>
      <c r="F216" s="4" t="s">
        <v>932</v>
      </c>
      <c r="G216" s="4" t="s">
        <v>39</v>
      </c>
      <c r="H216" s="208">
        <v>1</v>
      </c>
      <c r="I216" s="4"/>
      <c r="J216" s="15"/>
      <c r="K216" s="4" t="str">
        <f>_xlfn.IFNA(VLOOKUP($J216,WH_Data[],6,FALSE),"")</f>
        <v/>
      </c>
      <c r="L216" s="4" t="str">
        <f>_xlfn.IFNA(VLOOKUP($J216,WH_Data[],3,FALSE),"")</f>
        <v/>
      </c>
      <c r="M216" s="4" t="str">
        <f>_xlfn.IFNA(VLOOKUP($J216,WH_Data[],5,FALSE),"")</f>
        <v/>
      </c>
      <c r="N216" s="4" t="str">
        <f>_xlfn.IFNA(VLOOKUP($J216,WH_Data[],7,FALSE),"")</f>
        <v/>
      </c>
      <c r="O216" s="4" t="str">
        <f>_xlfn.IFNA(VLOOKUP($J216,WH_Data[],8,FALSE),"")</f>
        <v/>
      </c>
      <c r="P216" s="8"/>
      <c r="Q216" s="209">
        <f>Mon_ILR2[[#This Row],[Qty Required]]-Mon_ILR2[[#This Row],[QTY Transfer]]</f>
        <v>1</v>
      </c>
      <c r="R216" s="66" t="s">
        <v>905</v>
      </c>
      <c r="S216" s="66" t="s">
        <v>934</v>
      </c>
      <c r="T216" s="210">
        <v>7489</v>
      </c>
      <c r="U216" s="303">
        <v>876</v>
      </c>
      <c r="V216" s="210">
        <v>1879</v>
      </c>
      <c r="W216" s="210">
        <f>Mon_ILR2[[#This Row],[Accessory Rate]]+Mon_ILR2[[#This Row],[Mounting Rate]]+Mon_ILR2[[#This Row],[Unit Rate]]*Mon_ILR2[[#This Row],[New Quantity Required ]]</f>
        <v>10244</v>
      </c>
      <c r="X216" s="8"/>
      <c r="Y216" s="289" t="s">
        <v>2193</v>
      </c>
      <c r="Z216" s="6" t="s">
        <v>45</v>
      </c>
      <c r="AA216" s="6" t="s">
        <v>46</v>
      </c>
      <c r="AB216" s="6" t="s">
        <v>47</v>
      </c>
      <c r="AC216" s="6" t="s">
        <v>48</v>
      </c>
      <c r="AD216" s="6" t="s">
        <v>49</v>
      </c>
      <c r="AE216" s="6" t="s">
        <v>50</v>
      </c>
      <c r="AF216" s="6" t="s">
        <v>50</v>
      </c>
      <c r="AG216" s="6" t="s">
        <v>50</v>
      </c>
      <c r="AH216" s="6" t="s">
        <v>50</v>
      </c>
      <c r="AI216" s="6" t="s">
        <v>51</v>
      </c>
      <c r="AJ216" s="6" t="s">
        <v>50</v>
      </c>
      <c r="AK216" s="6" t="s">
        <v>50</v>
      </c>
      <c r="AL216" s="6" t="s">
        <v>52</v>
      </c>
      <c r="AM216" s="6" t="s">
        <v>53</v>
      </c>
      <c r="AN216" s="6" t="s">
        <v>50</v>
      </c>
      <c r="AO216" s="6" t="s">
        <v>54</v>
      </c>
    </row>
    <row r="217" spans="2:41" ht="195" x14ac:dyDescent="0.25">
      <c r="B217" s="207" t="s">
        <v>35</v>
      </c>
      <c r="C217" s="66" t="s">
        <v>410</v>
      </c>
      <c r="D217" s="4" t="s">
        <v>881</v>
      </c>
      <c r="E217" s="4" t="s">
        <v>1027</v>
      </c>
      <c r="F217" s="4" t="s">
        <v>932</v>
      </c>
      <c r="G217" s="4" t="s">
        <v>39</v>
      </c>
      <c r="H217" s="208">
        <v>1</v>
      </c>
      <c r="I217" s="4"/>
      <c r="J217" s="15"/>
      <c r="K217" s="4" t="str">
        <f>_xlfn.IFNA(VLOOKUP($J217,WH_Data[],6,FALSE),"")</f>
        <v/>
      </c>
      <c r="L217" s="4" t="str">
        <f>_xlfn.IFNA(VLOOKUP($J217,WH_Data[],3,FALSE),"")</f>
        <v/>
      </c>
      <c r="M217" s="4" t="str">
        <f>_xlfn.IFNA(VLOOKUP($J217,WH_Data[],5,FALSE),"")</f>
        <v/>
      </c>
      <c r="N217" s="4" t="str">
        <f>_xlfn.IFNA(VLOOKUP($J217,WH_Data[],7,FALSE),"")</f>
        <v/>
      </c>
      <c r="O217" s="4" t="str">
        <f>_xlfn.IFNA(VLOOKUP($J217,WH_Data[],8,FALSE),"")</f>
        <v/>
      </c>
      <c r="P217" s="8"/>
      <c r="Q217" s="209">
        <f>Mon_ILR2[[#This Row],[Qty Required]]-Mon_ILR2[[#This Row],[QTY Transfer]]</f>
        <v>1</v>
      </c>
      <c r="R217" s="66" t="s">
        <v>905</v>
      </c>
      <c r="S217" s="66" t="s">
        <v>934</v>
      </c>
      <c r="T217" s="210">
        <v>7489</v>
      </c>
      <c r="U217" s="303">
        <v>876</v>
      </c>
      <c r="V217" s="210">
        <v>1879</v>
      </c>
      <c r="W217" s="210">
        <f>Mon_ILR2[[#This Row],[Accessory Rate]]+Mon_ILR2[[#This Row],[Mounting Rate]]+Mon_ILR2[[#This Row],[Unit Rate]]*Mon_ILR2[[#This Row],[New Quantity Required ]]</f>
        <v>10244</v>
      </c>
      <c r="X217" s="8"/>
      <c r="Y217" s="289" t="s">
        <v>2193</v>
      </c>
      <c r="Z217" s="6" t="s">
        <v>45</v>
      </c>
      <c r="AA217" s="6" t="s">
        <v>46</v>
      </c>
      <c r="AB217" s="6" t="s">
        <v>47</v>
      </c>
      <c r="AC217" s="6" t="s">
        <v>48</v>
      </c>
      <c r="AD217" s="6" t="s">
        <v>49</v>
      </c>
      <c r="AE217" s="6" t="s">
        <v>50</v>
      </c>
      <c r="AF217" s="6" t="s">
        <v>50</v>
      </c>
      <c r="AG217" s="6" t="s">
        <v>50</v>
      </c>
      <c r="AH217" s="6" t="s">
        <v>50</v>
      </c>
      <c r="AI217" s="6" t="s">
        <v>51</v>
      </c>
      <c r="AJ217" s="6" t="s">
        <v>50</v>
      </c>
      <c r="AK217" s="6" t="s">
        <v>50</v>
      </c>
      <c r="AL217" s="6" t="s">
        <v>52</v>
      </c>
      <c r="AM217" s="6" t="s">
        <v>53</v>
      </c>
      <c r="AN217" s="6" t="s">
        <v>50</v>
      </c>
      <c r="AO217" s="6" t="s">
        <v>54</v>
      </c>
    </row>
    <row r="218" spans="2:41" ht="195" x14ac:dyDescent="0.25">
      <c r="B218" s="207" t="s">
        <v>35</v>
      </c>
      <c r="C218" s="66" t="s">
        <v>410</v>
      </c>
      <c r="D218" s="4" t="s">
        <v>882</v>
      </c>
      <c r="E218" s="4" t="s">
        <v>1027</v>
      </c>
      <c r="F218" s="4" t="s">
        <v>932</v>
      </c>
      <c r="G218" s="4" t="s">
        <v>39</v>
      </c>
      <c r="H218" s="208">
        <v>1</v>
      </c>
      <c r="I218" s="4"/>
      <c r="J218" s="15"/>
      <c r="K218" s="4" t="str">
        <f>_xlfn.IFNA(VLOOKUP($J218,WH_Data[],6,FALSE),"")</f>
        <v/>
      </c>
      <c r="L218" s="4" t="str">
        <f>_xlfn.IFNA(VLOOKUP($J218,WH_Data[],3,FALSE),"")</f>
        <v/>
      </c>
      <c r="M218" s="4" t="str">
        <f>_xlfn.IFNA(VLOOKUP($J218,WH_Data[],5,FALSE),"")</f>
        <v/>
      </c>
      <c r="N218" s="4" t="str">
        <f>_xlfn.IFNA(VLOOKUP($J218,WH_Data[],7,FALSE),"")</f>
        <v/>
      </c>
      <c r="O218" s="4" t="str">
        <f>_xlfn.IFNA(VLOOKUP($J218,WH_Data[],8,FALSE),"")</f>
        <v/>
      </c>
      <c r="P218" s="8"/>
      <c r="Q218" s="209">
        <f>Mon_ILR2[[#This Row],[Qty Required]]-Mon_ILR2[[#This Row],[QTY Transfer]]</f>
        <v>1</v>
      </c>
      <c r="R218" s="66" t="s">
        <v>905</v>
      </c>
      <c r="S218" s="66" t="s">
        <v>934</v>
      </c>
      <c r="T218" s="210">
        <v>7489</v>
      </c>
      <c r="U218" s="303">
        <v>876</v>
      </c>
      <c r="V218" s="210">
        <v>1879</v>
      </c>
      <c r="W218" s="210">
        <f>Mon_ILR2[[#This Row],[Accessory Rate]]+Mon_ILR2[[#This Row],[Mounting Rate]]+Mon_ILR2[[#This Row],[Unit Rate]]*Mon_ILR2[[#This Row],[New Quantity Required ]]</f>
        <v>10244</v>
      </c>
      <c r="X218" s="8"/>
      <c r="Y218" s="289" t="s">
        <v>2193</v>
      </c>
      <c r="Z218" s="6" t="s">
        <v>45</v>
      </c>
      <c r="AA218" s="6" t="s">
        <v>46</v>
      </c>
      <c r="AB218" s="6" t="s">
        <v>47</v>
      </c>
      <c r="AC218" s="6" t="s">
        <v>48</v>
      </c>
      <c r="AD218" s="6" t="s">
        <v>49</v>
      </c>
      <c r="AE218" s="6" t="s">
        <v>50</v>
      </c>
      <c r="AF218" s="6" t="s">
        <v>50</v>
      </c>
      <c r="AG218" s="6" t="s">
        <v>50</v>
      </c>
      <c r="AH218" s="6" t="s">
        <v>50</v>
      </c>
      <c r="AI218" s="6" t="s">
        <v>51</v>
      </c>
      <c r="AJ218" s="6" t="s">
        <v>50</v>
      </c>
      <c r="AK218" s="6" t="s">
        <v>50</v>
      </c>
      <c r="AL218" s="6" t="s">
        <v>52</v>
      </c>
      <c r="AM218" s="6" t="s">
        <v>53</v>
      </c>
      <c r="AN218" s="6" t="s">
        <v>50</v>
      </c>
      <c r="AO218" s="6" t="s">
        <v>54</v>
      </c>
    </row>
    <row r="219" spans="2:41" ht="195" x14ac:dyDescent="0.25">
      <c r="B219" s="207" t="s">
        <v>35</v>
      </c>
      <c r="C219" s="66" t="s">
        <v>410</v>
      </c>
      <c r="D219" s="4" t="s">
        <v>884</v>
      </c>
      <c r="E219" s="4" t="s">
        <v>1027</v>
      </c>
      <c r="F219" s="4" t="s">
        <v>932</v>
      </c>
      <c r="G219" s="4" t="s">
        <v>39</v>
      </c>
      <c r="H219" s="208">
        <v>1</v>
      </c>
      <c r="I219" s="4"/>
      <c r="J219" s="15"/>
      <c r="K219" s="4" t="str">
        <f>_xlfn.IFNA(VLOOKUP($J219,WH_Data[],6,FALSE),"")</f>
        <v/>
      </c>
      <c r="L219" s="4" t="str">
        <f>_xlfn.IFNA(VLOOKUP($J219,WH_Data[],3,FALSE),"")</f>
        <v/>
      </c>
      <c r="M219" s="4" t="str">
        <f>_xlfn.IFNA(VLOOKUP($J219,WH_Data[],5,FALSE),"")</f>
        <v/>
      </c>
      <c r="N219" s="4" t="str">
        <f>_xlfn.IFNA(VLOOKUP($J219,WH_Data[],7,FALSE),"")</f>
        <v/>
      </c>
      <c r="O219" s="4" t="str">
        <f>_xlfn.IFNA(VLOOKUP($J219,WH_Data[],8,FALSE),"")</f>
        <v/>
      </c>
      <c r="P219" s="8"/>
      <c r="Q219" s="209">
        <f>Mon_ILR2[[#This Row],[Qty Required]]-Mon_ILR2[[#This Row],[QTY Transfer]]</f>
        <v>1</v>
      </c>
      <c r="R219" s="66" t="s">
        <v>905</v>
      </c>
      <c r="S219" s="66" t="s">
        <v>934</v>
      </c>
      <c r="T219" s="210">
        <v>7489</v>
      </c>
      <c r="U219" s="303">
        <v>876</v>
      </c>
      <c r="V219" s="210">
        <v>1879</v>
      </c>
      <c r="W219" s="210">
        <f>Mon_ILR2[[#This Row],[Accessory Rate]]+Mon_ILR2[[#This Row],[Mounting Rate]]+Mon_ILR2[[#This Row],[Unit Rate]]*Mon_ILR2[[#This Row],[New Quantity Required ]]</f>
        <v>10244</v>
      </c>
      <c r="X219" s="8"/>
      <c r="Y219" s="289" t="s">
        <v>2193</v>
      </c>
      <c r="Z219" s="6" t="s">
        <v>45</v>
      </c>
      <c r="AA219" s="6" t="s">
        <v>46</v>
      </c>
      <c r="AB219" s="6" t="s">
        <v>47</v>
      </c>
      <c r="AC219" s="6" t="s">
        <v>48</v>
      </c>
      <c r="AD219" s="6" t="s">
        <v>49</v>
      </c>
      <c r="AE219" s="6" t="s">
        <v>50</v>
      </c>
      <c r="AF219" s="6" t="s">
        <v>50</v>
      </c>
      <c r="AG219" s="6" t="s">
        <v>50</v>
      </c>
      <c r="AH219" s="6" t="s">
        <v>50</v>
      </c>
      <c r="AI219" s="6" t="s">
        <v>51</v>
      </c>
      <c r="AJ219" s="6" t="s">
        <v>50</v>
      </c>
      <c r="AK219" s="6" t="s">
        <v>50</v>
      </c>
      <c r="AL219" s="6" t="s">
        <v>52</v>
      </c>
      <c r="AM219" s="6" t="s">
        <v>53</v>
      </c>
      <c r="AN219" s="6" t="s">
        <v>50</v>
      </c>
      <c r="AO219" s="6" t="s">
        <v>54</v>
      </c>
    </row>
    <row r="220" spans="2:41" ht="195" x14ac:dyDescent="0.25">
      <c r="B220" s="207" t="s">
        <v>35</v>
      </c>
      <c r="C220" s="66" t="s">
        <v>410</v>
      </c>
      <c r="D220" s="4" t="s">
        <v>885</v>
      </c>
      <c r="E220" s="4" t="s">
        <v>1027</v>
      </c>
      <c r="F220" s="4" t="s">
        <v>932</v>
      </c>
      <c r="G220" s="4" t="s">
        <v>39</v>
      </c>
      <c r="H220" s="208">
        <v>1</v>
      </c>
      <c r="I220" s="4"/>
      <c r="J220" s="15"/>
      <c r="K220" s="4" t="str">
        <f>_xlfn.IFNA(VLOOKUP($J220,WH_Data[],6,FALSE),"")</f>
        <v/>
      </c>
      <c r="L220" s="4" t="str">
        <f>_xlfn.IFNA(VLOOKUP($J220,WH_Data[],3,FALSE),"")</f>
        <v/>
      </c>
      <c r="M220" s="4" t="str">
        <f>_xlfn.IFNA(VLOOKUP($J220,WH_Data[],5,FALSE),"")</f>
        <v/>
      </c>
      <c r="N220" s="4" t="str">
        <f>_xlfn.IFNA(VLOOKUP($J220,WH_Data[],7,FALSE),"")</f>
        <v/>
      </c>
      <c r="O220" s="4" t="str">
        <f>_xlfn.IFNA(VLOOKUP($J220,WH_Data[],8,FALSE),"")</f>
        <v/>
      </c>
      <c r="P220" s="8"/>
      <c r="Q220" s="209">
        <f>Mon_ILR2[[#This Row],[Qty Required]]-Mon_ILR2[[#This Row],[QTY Transfer]]</f>
        <v>1</v>
      </c>
      <c r="R220" s="66" t="s">
        <v>905</v>
      </c>
      <c r="S220" s="66" t="s">
        <v>934</v>
      </c>
      <c r="T220" s="210">
        <v>7489</v>
      </c>
      <c r="U220" s="303">
        <v>876</v>
      </c>
      <c r="V220" s="210">
        <v>1879</v>
      </c>
      <c r="W220" s="210">
        <f>Mon_ILR2[[#This Row],[Accessory Rate]]+Mon_ILR2[[#This Row],[Mounting Rate]]+Mon_ILR2[[#This Row],[Unit Rate]]*Mon_ILR2[[#This Row],[New Quantity Required ]]</f>
        <v>10244</v>
      </c>
      <c r="X220" s="8"/>
      <c r="Y220" s="289" t="s">
        <v>2193</v>
      </c>
      <c r="Z220" s="6" t="s">
        <v>45</v>
      </c>
      <c r="AA220" s="6" t="s">
        <v>46</v>
      </c>
      <c r="AB220" s="6" t="s">
        <v>47</v>
      </c>
      <c r="AC220" s="6" t="s">
        <v>48</v>
      </c>
      <c r="AD220" s="6" t="s">
        <v>49</v>
      </c>
      <c r="AE220" s="6" t="s">
        <v>50</v>
      </c>
      <c r="AF220" s="6" t="s">
        <v>50</v>
      </c>
      <c r="AG220" s="6" t="s">
        <v>50</v>
      </c>
      <c r="AH220" s="6" t="s">
        <v>50</v>
      </c>
      <c r="AI220" s="6" t="s">
        <v>51</v>
      </c>
      <c r="AJ220" s="6" t="s">
        <v>50</v>
      </c>
      <c r="AK220" s="6" t="s">
        <v>50</v>
      </c>
      <c r="AL220" s="6" t="s">
        <v>52</v>
      </c>
      <c r="AM220" s="6" t="s">
        <v>53</v>
      </c>
      <c r="AN220" s="6" t="s">
        <v>50</v>
      </c>
      <c r="AO220" s="6" t="s">
        <v>54</v>
      </c>
    </row>
    <row r="221" spans="2:41" ht="60" customHeight="1" x14ac:dyDescent="0.25">
      <c r="B221" s="207" t="s">
        <v>632</v>
      </c>
      <c r="C221" s="66" t="s">
        <v>722</v>
      </c>
      <c r="D221" s="4" t="s">
        <v>893</v>
      </c>
      <c r="E221" s="4" t="s">
        <v>1027</v>
      </c>
      <c r="F221" s="4" t="s">
        <v>932</v>
      </c>
      <c r="G221" s="4" t="s">
        <v>39</v>
      </c>
      <c r="H221" s="208">
        <v>1</v>
      </c>
      <c r="I221" s="4"/>
      <c r="J221" s="15"/>
      <c r="K221" s="4" t="str">
        <f>_xlfn.IFNA(VLOOKUP($J221,WH_Data[],6,FALSE),"")</f>
        <v/>
      </c>
      <c r="L221" s="4" t="str">
        <f>_xlfn.IFNA(VLOOKUP($J221,WH_Data[],3,FALSE),"")</f>
        <v/>
      </c>
      <c r="M221" s="4" t="str">
        <f>_xlfn.IFNA(VLOOKUP($J221,WH_Data[],5,FALSE),"")</f>
        <v/>
      </c>
      <c r="N221" s="4" t="str">
        <f>_xlfn.IFNA(VLOOKUP($J221,WH_Data[],7,FALSE),"")</f>
        <v/>
      </c>
      <c r="O221" s="4" t="str">
        <f>_xlfn.IFNA(VLOOKUP($J221,WH_Data[],8,FALSE),"")</f>
        <v/>
      </c>
      <c r="P221" s="8"/>
      <c r="Q221" s="209">
        <f>Mon_ILR2[[#This Row],[Qty Required]]-Mon_ILR2[[#This Row],[QTY Transfer]]</f>
        <v>1</v>
      </c>
      <c r="R221" s="66" t="s">
        <v>905</v>
      </c>
      <c r="S221" s="66" t="s">
        <v>931</v>
      </c>
      <c r="T221" s="210">
        <f>_xlfn.IFNA(VLOOKUP(Mon_ILR2[[#This Row],[New Model]],PhilipsLibary[],4,FALSE),"0")</f>
        <v>6460</v>
      </c>
      <c r="U221" s="210">
        <f>_xlfn.IFNA(VLOOKUP(Mon_ILR2[[#This Row],[New Model]],PhilipsLibary[],5,FALSE),"0")</f>
        <v>1127</v>
      </c>
      <c r="V221" s="210">
        <v>1879</v>
      </c>
      <c r="W221" s="210">
        <f>Mon_ILR2[[#This Row],[Accessory Rate]]+Mon_ILR2[[#This Row],[Mounting Rate]]+Mon_ILR2[[#This Row],[Unit Rate]]*Mon_ILR2[[#This Row],[New Quantity Required ]]</f>
        <v>9466</v>
      </c>
      <c r="X221" s="8"/>
      <c r="Y221" s="246" t="s">
        <v>988</v>
      </c>
      <c r="Z221" s="6" t="s">
        <v>45</v>
      </c>
      <c r="AA221" s="6" t="s">
        <v>46</v>
      </c>
      <c r="AB221" s="6" t="s">
        <v>47</v>
      </c>
      <c r="AC221" s="6" t="s">
        <v>48</v>
      </c>
      <c r="AD221" s="6" t="s">
        <v>49</v>
      </c>
      <c r="AE221" s="6" t="s">
        <v>50</v>
      </c>
      <c r="AF221" s="6" t="s">
        <v>50</v>
      </c>
      <c r="AG221" s="6" t="s">
        <v>50</v>
      </c>
      <c r="AH221" s="6" t="s">
        <v>50</v>
      </c>
      <c r="AI221" s="6" t="s">
        <v>51</v>
      </c>
      <c r="AJ221" s="6" t="s">
        <v>50</v>
      </c>
      <c r="AK221" s="6" t="s">
        <v>50</v>
      </c>
      <c r="AL221" s="6" t="s">
        <v>52</v>
      </c>
      <c r="AM221" s="6" t="s">
        <v>53</v>
      </c>
      <c r="AN221" s="6" t="s">
        <v>50</v>
      </c>
      <c r="AO221" s="6" t="s">
        <v>54</v>
      </c>
    </row>
    <row r="222" spans="2:41" ht="60" customHeight="1" x14ac:dyDescent="0.25">
      <c r="B222" s="207" t="s">
        <v>632</v>
      </c>
      <c r="C222" s="66" t="s">
        <v>722</v>
      </c>
      <c r="D222" s="4" t="s">
        <v>894</v>
      </c>
      <c r="E222" s="4" t="s">
        <v>1027</v>
      </c>
      <c r="F222" s="4" t="s">
        <v>932</v>
      </c>
      <c r="G222" s="4" t="s">
        <v>39</v>
      </c>
      <c r="H222" s="208">
        <v>1</v>
      </c>
      <c r="I222" s="4"/>
      <c r="J222" s="15"/>
      <c r="K222" s="4" t="str">
        <f>_xlfn.IFNA(VLOOKUP($J222,WH_Data[],6,FALSE),"")</f>
        <v/>
      </c>
      <c r="L222" s="4" t="str">
        <f>_xlfn.IFNA(VLOOKUP($J222,WH_Data[],3,FALSE),"")</f>
        <v/>
      </c>
      <c r="M222" s="4" t="str">
        <f>_xlfn.IFNA(VLOOKUP($J222,WH_Data[],5,FALSE),"")</f>
        <v/>
      </c>
      <c r="N222" s="4" t="str">
        <f>_xlfn.IFNA(VLOOKUP($J222,WH_Data[],7,FALSE),"")</f>
        <v/>
      </c>
      <c r="O222" s="4" t="str">
        <f>_xlfn.IFNA(VLOOKUP($J222,WH_Data[],8,FALSE),"")</f>
        <v/>
      </c>
      <c r="P222" s="8"/>
      <c r="Q222" s="209">
        <f>Mon_ILR2[[#This Row],[Qty Required]]-Mon_ILR2[[#This Row],[QTY Transfer]]</f>
        <v>1</v>
      </c>
      <c r="R222" s="66" t="s">
        <v>905</v>
      </c>
      <c r="S222" s="66" t="s">
        <v>931</v>
      </c>
      <c r="T222" s="210">
        <f>_xlfn.IFNA(VLOOKUP(Mon_ILR2[[#This Row],[New Model]],PhilipsLibary[],4,FALSE),"0")</f>
        <v>6460</v>
      </c>
      <c r="U222" s="210">
        <f>_xlfn.IFNA(VLOOKUP(Mon_ILR2[[#This Row],[New Model]],PhilipsLibary[],5,FALSE),"0")</f>
        <v>1127</v>
      </c>
      <c r="V222" s="210">
        <v>1879</v>
      </c>
      <c r="W222" s="210">
        <f>Mon_ILR2[[#This Row],[Accessory Rate]]+Mon_ILR2[[#This Row],[Mounting Rate]]+Mon_ILR2[[#This Row],[Unit Rate]]*Mon_ILR2[[#This Row],[New Quantity Required ]]</f>
        <v>9466</v>
      </c>
      <c r="X222" s="8"/>
      <c r="Y222" s="246" t="s">
        <v>988</v>
      </c>
      <c r="Z222" s="6" t="s">
        <v>45</v>
      </c>
      <c r="AA222" s="6" t="s">
        <v>46</v>
      </c>
      <c r="AB222" s="6" t="s">
        <v>47</v>
      </c>
      <c r="AC222" s="6" t="s">
        <v>48</v>
      </c>
      <c r="AD222" s="6" t="s">
        <v>49</v>
      </c>
      <c r="AE222" s="6" t="s">
        <v>50</v>
      </c>
      <c r="AF222" s="6" t="s">
        <v>50</v>
      </c>
      <c r="AG222" s="6" t="s">
        <v>50</v>
      </c>
      <c r="AH222" s="6" t="s">
        <v>50</v>
      </c>
      <c r="AI222" s="6" t="s">
        <v>51</v>
      </c>
      <c r="AJ222" s="6" t="s">
        <v>50</v>
      </c>
      <c r="AK222" s="6" t="s">
        <v>50</v>
      </c>
      <c r="AL222" s="6" t="s">
        <v>52</v>
      </c>
      <c r="AM222" s="6" t="s">
        <v>53</v>
      </c>
      <c r="AN222" s="6" t="s">
        <v>50</v>
      </c>
      <c r="AO222" s="6" t="s">
        <v>54</v>
      </c>
    </row>
    <row r="223" spans="2:41" ht="60" customHeight="1" x14ac:dyDescent="0.25">
      <c r="B223" s="207" t="s">
        <v>161</v>
      </c>
      <c r="C223" s="66" t="s">
        <v>645</v>
      </c>
      <c r="D223" s="4" t="s">
        <v>646</v>
      </c>
      <c r="E223" s="4" t="s">
        <v>1025</v>
      </c>
      <c r="F223" s="4" t="s">
        <v>1061</v>
      </c>
      <c r="G223" s="4" t="s">
        <v>1062</v>
      </c>
      <c r="H223" s="208">
        <v>1</v>
      </c>
      <c r="I223" s="4"/>
      <c r="J223" s="15"/>
      <c r="K223" s="4" t="str">
        <f>_xlfn.IFNA(VLOOKUP($J223,WH_Data[],6,FALSE),"")</f>
        <v/>
      </c>
      <c r="L223" s="4" t="str">
        <f>_xlfn.IFNA(VLOOKUP($J223,WH_Data[],3,FALSE),"")</f>
        <v/>
      </c>
      <c r="M223" s="4" t="str">
        <f>_xlfn.IFNA(VLOOKUP($J223,WH_Data[],5,FALSE),"")</f>
        <v/>
      </c>
      <c r="N223" s="4" t="str">
        <f>_xlfn.IFNA(VLOOKUP($J223,WH_Data[],7,FALSE),"")</f>
        <v/>
      </c>
      <c r="O223" s="4" t="str">
        <f>_xlfn.IFNA(VLOOKUP($J223,WH_Data[],8,FALSE),"")</f>
        <v/>
      </c>
      <c r="P223" s="8"/>
      <c r="Q223" s="209">
        <f>Mon_ILR2[[#This Row],[Qty Required]]-Mon_ILR2[[#This Row],[QTY Transfer]]</f>
        <v>1</v>
      </c>
      <c r="R223" s="66" t="s">
        <v>905</v>
      </c>
      <c r="S223" s="66" t="s">
        <v>957</v>
      </c>
      <c r="T223" s="210">
        <v>35825</v>
      </c>
      <c r="U223" s="210">
        <f>_xlfn.IFNA(VLOOKUP(Mon_ILR2[[#This Row],[New Model]],PhilipsLibary[],5,FALSE),"0")</f>
        <v>0</v>
      </c>
      <c r="V223" s="210">
        <f>_xlfn.IFNA(VLOOKUP(Mon_ILR2[[#This Row],[New Model]],PhilipsLibary[],5,FALSE),"0")</f>
        <v>0</v>
      </c>
      <c r="W223" s="210">
        <f>Mon_ILR2[[#This Row],[Accessory Rate]]+Mon_ILR2[[#This Row],[Mounting Rate]]+Mon_ILR2[[#This Row],[Unit Rate]]*Mon_ILR2[[#This Row],[New Quantity Required ]]</f>
        <v>35825</v>
      </c>
      <c r="X223" s="8"/>
      <c r="Y223" s="246" t="s">
        <v>2154</v>
      </c>
      <c r="Z223" s="6" t="s">
        <v>643</v>
      </c>
      <c r="AA223" s="6" t="s">
        <v>50</v>
      </c>
      <c r="AB223" s="6" t="s">
        <v>50</v>
      </c>
      <c r="AC223" s="6" t="s">
        <v>50</v>
      </c>
      <c r="AD223" s="6" t="s">
        <v>50</v>
      </c>
      <c r="AE223" s="6" t="s">
        <v>50</v>
      </c>
      <c r="AF223" s="6" t="s">
        <v>50</v>
      </c>
      <c r="AG223" s="6" t="s">
        <v>50</v>
      </c>
      <c r="AH223" s="6" t="s">
        <v>50</v>
      </c>
      <c r="AI223" s="6" t="s">
        <v>50</v>
      </c>
      <c r="AJ223" s="6" t="s">
        <v>50</v>
      </c>
      <c r="AK223" s="6" t="s">
        <v>50</v>
      </c>
      <c r="AL223" s="6" t="s">
        <v>52</v>
      </c>
      <c r="AM223" s="6" t="s">
        <v>50</v>
      </c>
      <c r="AN223" s="6" t="s">
        <v>50</v>
      </c>
      <c r="AO223" s="6" t="s">
        <v>54</v>
      </c>
    </row>
    <row r="224" spans="2:41" ht="60" customHeight="1" x14ac:dyDescent="0.25">
      <c r="B224" s="207" t="s">
        <v>161</v>
      </c>
      <c r="C224" s="66" t="s">
        <v>645</v>
      </c>
      <c r="D224" s="4" t="s">
        <v>648</v>
      </c>
      <c r="E224" s="4" t="s">
        <v>1025</v>
      </c>
      <c r="F224" s="4" t="s">
        <v>1031</v>
      </c>
      <c r="G224" s="4" t="s">
        <v>1062</v>
      </c>
      <c r="H224" s="208">
        <v>1</v>
      </c>
      <c r="I224" s="4"/>
      <c r="J224" s="15"/>
      <c r="K224" s="4" t="str">
        <f>_xlfn.IFNA(VLOOKUP($J224,WH_Data[],6,FALSE),"")</f>
        <v/>
      </c>
      <c r="L224" s="4" t="str">
        <f>_xlfn.IFNA(VLOOKUP($J224,WH_Data[],3,FALSE),"")</f>
        <v/>
      </c>
      <c r="M224" s="4" t="str">
        <f>_xlfn.IFNA(VLOOKUP($J224,WH_Data[],5,FALSE),"")</f>
        <v/>
      </c>
      <c r="N224" s="4" t="str">
        <f>_xlfn.IFNA(VLOOKUP($J224,WH_Data[],7,FALSE),"")</f>
        <v/>
      </c>
      <c r="O224" s="4" t="str">
        <f>_xlfn.IFNA(VLOOKUP($J224,WH_Data[],8,FALSE),"")</f>
        <v/>
      </c>
      <c r="P224" s="8"/>
      <c r="Q224" s="209">
        <f>Mon_ILR2[[#This Row],[Qty Required]]-Mon_ILR2[[#This Row],[QTY Transfer]]</f>
        <v>1</v>
      </c>
      <c r="R224" s="66" t="s">
        <v>905</v>
      </c>
      <c r="S224" s="66" t="s">
        <v>960</v>
      </c>
      <c r="T224" s="210">
        <v>63052</v>
      </c>
      <c r="U224" s="210">
        <f>_xlfn.IFNA(VLOOKUP(Mon_ILR2[[#This Row],[New Model]],PhilipsLibary[],5,FALSE),"0")</f>
        <v>0</v>
      </c>
      <c r="V224" s="210">
        <f>_xlfn.IFNA(VLOOKUP(Mon_ILR2[[#This Row],[New Model]],PhilipsLibary[],5,FALSE),"0")</f>
        <v>0</v>
      </c>
      <c r="W224" s="210">
        <f>Mon_ILR2[[#This Row],[Accessory Rate]]+Mon_ILR2[[#This Row],[Mounting Rate]]+Mon_ILR2[[#This Row],[Unit Rate]]*Mon_ILR2[[#This Row],[New Quantity Required ]]</f>
        <v>63052</v>
      </c>
      <c r="X224" s="8"/>
      <c r="Y224" s="246" t="s">
        <v>2155</v>
      </c>
      <c r="Z224" s="6" t="s">
        <v>651</v>
      </c>
      <c r="AA224" s="6" t="s">
        <v>652</v>
      </c>
      <c r="AB224" s="6" t="s">
        <v>50</v>
      </c>
      <c r="AC224" s="6" t="s">
        <v>50</v>
      </c>
      <c r="AD224" s="6" t="s">
        <v>49</v>
      </c>
      <c r="AE224" s="6" t="s">
        <v>50</v>
      </c>
      <c r="AF224" s="6" t="s">
        <v>50</v>
      </c>
      <c r="AG224" s="6" t="s">
        <v>50</v>
      </c>
      <c r="AH224" s="6" t="s">
        <v>50</v>
      </c>
      <c r="AI224" s="6" t="s">
        <v>50</v>
      </c>
      <c r="AJ224" s="6" t="s">
        <v>50</v>
      </c>
      <c r="AK224" s="6" t="s">
        <v>50</v>
      </c>
      <c r="AL224" s="6" t="s">
        <v>52</v>
      </c>
      <c r="AM224" s="6" t="s">
        <v>50</v>
      </c>
      <c r="AN224" s="6" t="s">
        <v>50</v>
      </c>
      <c r="AO224" s="6" t="s">
        <v>54</v>
      </c>
    </row>
    <row r="225" spans="2:41" ht="60" customHeight="1" x14ac:dyDescent="0.25">
      <c r="B225" s="207" t="s">
        <v>299</v>
      </c>
      <c r="C225" s="66" t="s">
        <v>640</v>
      </c>
      <c r="D225" s="4" t="s">
        <v>770</v>
      </c>
      <c r="E225" s="4" t="s">
        <v>1025</v>
      </c>
      <c r="F225" s="4" t="s">
        <v>1061</v>
      </c>
      <c r="G225" s="4" t="s">
        <v>1062</v>
      </c>
      <c r="H225" s="208">
        <v>1</v>
      </c>
      <c r="I225" s="4"/>
      <c r="J225" s="15"/>
      <c r="K225" s="4" t="str">
        <f>_xlfn.IFNA(VLOOKUP($J225,WH_Data[],6,FALSE),"")</f>
        <v/>
      </c>
      <c r="L225" s="4" t="str">
        <f>_xlfn.IFNA(VLOOKUP($J225,WH_Data[],3,FALSE),"")</f>
        <v/>
      </c>
      <c r="M225" s="4" t="str">
        <f>_xlfn.IFNA(VLOOKUP($J225,WH_Data[],5,FALSE),"")</f>
        <v/>
      </c>
      <c r="N225" s="4" t="str">
        <f>_xlfn.IFNA(VLOOKUP($J225,WH_Data[],7,FALSE),"")</f>
        <v/>
      </c>
      <c r="O225" s="4" t="str">
        <f>_xlfn.IFNA(VLOOKUP($J225,WH_Data[],8,FALSE),"")</f>
        <v/>
      </c>
      <c r="P225" s="8"/>
      <c r="Q225" s="209">
        <f>Mon_ILR2[[#This Row],[Qty Required]]-Mon_ILR2[[#This Row],[QTY Transfer]]</f>
        <v>1</v>
      </c>
      <c r="R225" s="66" t="s">
        <v>905</v>
      </c>
      <c r="S225" s="66" t="s">
        <v>957</v>
      </c>
      <c r="T225" s="210">
        <v>21445</v>
      </c>
      <c r="U225" s="210">
        <f>_xlfn.IFNA(VLOOKUP(Mon_ILR2[[#This Row],[New Model]],PhilipsLibary[],5,FALSE),"0")</f>
        <v>0</v>
      </c>
      <c r="V225" s="210">
        <f>_xlfn.IFNA(VLOOKUP(Mon_ILR2[[#This Row],[New Model]],PhilipsLibary[],5,FALSE),"0")</f>
        <v>0</v>
      </c>
      <c r="W225" s="210">
        <f>Mon_ILR2[[#This Row],[Accessory Rate]]+Mon_ILR2[[#This Row],[Mounting Rate]]+Mon_ILR2[[#This Row],[Unit Rate]]*Mon_ILR2[[#This Row],[New Quantity Required ]]</f>
        <v>21445</v>
      </c>
      <c r="X225" s="8"/>
      <c r="Y225" s="257" t="s">
        <v>2142</v>
      </c>
    </row>
    <row r="226" spans="2:41" ht="60" customHeight="1" x14ac:dyDescent="0.25">
      <c r="B226" s="207" t="s">
        <v>299</v>
      </c>
      <c r="C226" s="66" t="s">
        <v>640</v>
      </c>
      <c r="D226" s="4" t="s">
        <v>774</v>
      </c>
      <c r="E226" s="4" t="s">
        <v>1025</v>
      </c>
      <c r="F226" s="4" t="s">
        <v>1061</v>
      </c>
      <c r="G226" s="4" t="s">
        <v>1062</v>
      </c>
      <c r="H226" s="208">
        <v>1</v>
      </c>
      <c r="I226" s="4"/>
      <c r="J226" s="15"/>
      <c r="K226" s="4" t="str">
        <f>_xlfn.IFNA(VLOOKUP($J226,WH_Data[],6,FALSE),"")</f>
        <v/>
      </c>
      <c r="L226" s="4" t="str">
        <f>_xlfn.IFNA(VLOOKUP($J226,WH_Data[],3,FALSE),"")</f>
        <v/>
      </c>
      <c r="M226" s="4" t="str">
        <f>_xlfn.IFNA(VLOOKUP($J226,WH_Data[],5,FALSE),"")</f>
        <v/>
      </c>
      <c r="N226" s="4" t="str">
        <f>_xlfn.IFNA(VLOOKUP($J226,WH_Data[],7,FALSE),"")</f>
        <v/>
      </c>
      <c r="O226" s="4" t="str">
        <f>_xlfn.IFNA(VLOOKUP($J226,WH_Data[],8,FALSE),"")</f>
        <v/>
      </c>
      <c r="P226" s="8"/>
      <c r="Q226" s="209">
        <f>Mon_ILR2[[#This Row],[Qty Required]]-Mon_ILR2[[#This Row],[QTY Transfer]]</f>
        <v>1</v>
      </c>
      <c r="R226" s="66" t="s">
        <v>905</v>
      </c>
      <c r="S226" s="66" t="s">
        <v>957</v>
      </c>
      <c r="T226" s="210">
        <v>21445</v>
      </c>
      <c r="U226" s="210">
        <f>_xlfn.IFNA(VLOOKUP(Mon_ILR2[[#This Row],[New Model]],PhilipsLibary[],5,FALSE),"0")</f>
        <v>0</v>
      </c>
      <c r="V226" s="210">
        <f>_xlfn.IFNA(VLOOKUP(Mon_ILR2[[#This Row],[New Model]],PhilipsLibary[],5,FALSE),"0")</f>
        <v>0</v>
      </c>
      <c r="W226" s="210">
        <f>Mon_ILR2[[#This Row],[Accessory Rate]]+Mon_ILR2[[#This Row],[Mounting Rate]]+Mon_ILR2[[#This Row],[Unit Rate]]*Mon_ILR2[[#This Row],[New Quantity Required ]]</f>
        <v>21445</v>
      </c>
      <c r="X226" s="8"/>
      <c r="Y226" s="257" t="s">
        <v>2142</v>
      </c>
    </row>
    <row r="227" spans="2:41" ht="60" customHeight="1" x14ac:dyDescent="0.25">
      <c r="B227" s="207" t="s">
        <v>35</v>
      </c>
      <c r="C227" s="66" t="s">
        <v>796</v>
      </c>
      <c r="D227" s="4" t="s">
        <v>842</v>
      </c>
      <c r="E227" s="4" t="s">
        <v>1025</v>
      </c>
      <c r="F227" s="4" t="s">
        <v>1061</v>
      </c>
      <c r="G227" s="4" t="s">
        <v>1062</v>
      </c>
      <c r="H227" s="208">
        <v>1</v>
      </c>
      <c r="I227" s="4"/>
      <c r="J227" s="15"/>
      <c r="K227" s="4" t="str">
        <f>_xlfn.IFNA(VLOOKUP($J227,WH_Data[],6,FALSE),"")</f>
        <v/>
      </c>
      <c r="L227" s="4" t="str">
        <f>_xlfn.IFNA(VLOOKUP($J227,WH_Data[],3,FALSE),"")</f>
        <v/>
      </c>
      <c r="M227" s="4" t="str">
        <f>_xlfn.IFNA(VLOOKUP($J227,WH_Data[],5,FALSE),"")</f>
        <v/>
      </c>
      <c r="N227" s="4" t="str">
        <f>_xlfn.IFNA(VLOOKUP($J227,WH_Data[],7,FALSE),"")</f>
        <v/>
      </c>
      <c r="O227" s="4" t="str">
        <f>_xlfn.IFNA(VLOOKUP($J227,WH_Data[],8,FALSE),"")</f>
        <v/>
      </c>
      <c r="P227" s="8"/>
      <c r="Q227" s="209">
        <f>Mon_ILR2[[#This Row],[Qty Required]]-Mon_ILR2[[#This Row],[QTY Transfer]]</f>
        <v>1</v>
      </c>
      <c r="R227" s="66" t="s">
        <v>905</v>
      </c>
      <c r="S227" s="66" t="s">
        <v>957</v>
      </c>
      <c r="T227" s="210">
        <v>28924</v>
      </c>
      <c r="U227" s="210">
        <f>_xlfn.IFNA(VLOOKUP(Mon_ILR2[[#This Row],[New Model]],PhilipsLibary[],5,FALSE),"0")</f>
        <v>0</v>
      </c>
      <c r="V227" s="210">
        <f>_xlfn.IFNA(VLOOKUP(Mon_ILR2[[#This Row],[New Model]],PhilipsLibary[],5,FALSE),"0")</f>
        <v>0</v>
      </c>
      <c r="W227" s="210">
        <f>Mon_ILR2[[#This Row],[Accessory Rate]]+Mon_ILR2[[#This Row],[Mounting Rate]]+Mon_ILR2[[#This Row],[Unit Rate]]*Mon_ILR2[[#This Row],[New Quantity Required ]]</f>
        <v>28924</v>
      </c>
      <c r="X227" s="8"/>
      <c r="Y227" s="257" t="s">
        <v>2188</v>
      </c>
      <c r="Z227" s="6" t="s">
        <v>643</v>
      </c>
      <c r="AA227" s="6" t="s">
        <v>50</v>
      </c>
      <c r="AB227" s="6" t="s">
        <v>50</v>
      </c>
      <c r="AC227" s="6" t="s">
        <v>50</v>
      </c>
      <c r="AD227" s="6" t="s">
        <v>50</v>
      </c>
      <c r="AE227" s="6" t="s">
        <v>50</v>
      </c>
      <c r="AF227" s="6" t="s">
        <v>50</v>
      </c>
      <c r="AG227" s="6" t="s">
        <v>50</v>
      </c>
      <c r="AH227" s="6" t="s">
        <v>50</v>
      </c>
      <c r="AI227" s="6" t="s">
        <v>50</v>
      </c>
      <c r="AJ227" s="6" t="s">
        <v>50</v>
      </c>
      <c r="AK227" s="6" t="s">
        <v>50</v>
      </c>
      <c r="AL227" s="6" t="s">
        <v>52</v>
      </c>
      <c r="AM227" s="6" t="s">
        <v>50</v>
      </c>
      <c r="AN227" s="6" t="s">
        <v>50</v>
      </c>
      <c r="AO227" s="6" t="s">
        <v>54</v>
      </c>
    </row>
    <row r="228" spans="2:41" ht="60" customHeight="1" x14ac:dyDescent="0.25">
      <c r="B228" s="207" t="s">
        <v>35</v>
      </c>
      <c r="C228" s="66" t="s">
        <v>796</v>
      </c>
      <c r="D228" s="4" t="s">
        <v>797</v>
      </c>
      <c r="E228" s="4" t="s">
        <v>1025</v>
      </c>
      <c r="F228" s="4" t="s">
        <v>1031</v>
      </c>
      <c r="G228" s="4" t="s">
        <v>1062</v>
      </c>
      <c r="H228" s="208">
        <v>1</v>
      </c>
      <c r="I228" s="4"/>
      <c r="J228" s="15"/>
      <c r="K228" s="4" t="str">
        <f>_xlfn.IFNA(VLOOKUP($J228,WH_Data[],6,FALSE),"")</f>
        <v/>
      </c>
      <c r="L228" s="4" t="str">
        <f>_xlfn.IFNA(VLOOKUP($J228,WH_Data[],3,FALSE),"")</f>
        <v/>
      </c>
      <c r="M228" s="4" t="str">
        <f>_xlfn.IFNA(VLOOKUP($J228,WH_Data[],5,FALSE),"")</f>
        <v/>
      </c>
      <c r="N228" s="4" t="str">
        <f>_xlfn.IFNA(VLOOKUP($J228,WH_Data[],7,FALSE),"")</f>
        <v/>
      </c>
      <c r="O228" s="4" t="str">
        <f>_xlfn.IFNA(VLOOKUP($J228,WH_Data[],8,FALSE),"")</f>
        <v/>
      </c>
      <c r="P228" s="8"/>
      <c r="Q228" s="209">
        <f>Mon_ILR2[[#This Row],[Qty Required]]-Mon_ILR2[[#This Row],[QTY Transfer]]</f>
        <v>1</v>
      </c>
      <c r="R228" s="66" t="s">
        <v>905</v>
      </c>
      <c r="S228" s="66" t="s">
        <v>960</v>
      </c>
      <c r="T228" s="210">
        <v>70148</v>
      </c>
      <c r="U228" s="210">
        <f>_xlfn.IFNA(VLOOKUP(Mon_ILR2[[#This Row],[New Model]],PhilipsLibary[],5,FALSE),"0")</f>
        <v>0</v>
      </c>
      <c r="V228" s="210">
        <f>_xlfn.IFNA(VLOOKUP(Mon_ILR2[[#This Row],[New Model]],PhilipsLibary[],5,FALSE),"0")</f>
        <v>0</v>
      </c>
      <c r="W228" s="210">
        <f>Mon_ILR2[[#This Row],[Accessory Rate]]+Mon_ILR2[[#This Row],[Mounting Rate]]+Mon_ILR2[[#This Row],[Unit Rate]]*Mon_ILR2[[#This Row],[New Quantity Required ]]</f>
        <v>70148</v>
      </c>
      <c r="X228" s="8"/>
      <c r="Y228" s="257" t="s">
        <v>2180</v>
      </c>
      <c r="Z228" s="6" t="s">
        <v>683</v>
      </c>
      <c r="AA228" s="6" t="s">
        <v>50</v>
      </c>
      <c r="AB228" s="6" t="s">
        <v>50</v>
      </c>
      <c r="AC228" s="6" t="s">
        <v>50</v>
      </c>
      <c r="AD228" s="6" t="s">
        <v>50</v>
      </c>
      <c r="AE228" s="6" t="s">
        <v>50</v>
      </c>
      <c r="AF228" s="6" t="s">
        <v>50</v>
      </c>
      <c r="AG228" s="6" t="s">
        <v>50</v>
      </c>
      <c r="AH228" s="6" t="s">
        <v>50</v>
      </c>
      <c r="AI228" s="6" t="s">
        <v>50</v>
      </c>
      <c r="AJ228" s="6" t="s">
        <v>50</v>
      </c>
      <c r="AK228" s="6" t="s">
        <v>50</v>
      </c>
      <c r="AL228" s="6" t="s">
        <v>50</v>
      </c>
      <c r="AM228" s="6" t="s">
        <v>50</v>
      </c>
      <c r="AN228" s="6" t="s">
        <v>50</v>
      </c>
      <c r="AO228" s="6" t="s">
        <v>54</v>
      </c>
    </row>
    <row r="229" spans="2:41" ht="60" customHeight="1" x14ac:dyDescent="0.25">
      <c r="B229" s="207" t="s">
        <v>275</v>
      </c>
      <c r="C229" s="66" t="s">
        <v>645</v>
      </c>
      <c r="D229" s="4" t="s">
        <v>659</v>
      </c>
      <c r="E229" s="4" t="s">
        <v>1025</v>
      </c>
      <c r="F229" s="4" t="s">
        <v>1031</v>
      </c>
      <c r="G229" s="4" t="s">
        <v>650</v>
      </c>
      <c r="H229" s="208">
        <v>1</v>
      </c>
      <c r="I229" s="4"/>
      <c r="J229" s="15"/>
      <c r="K229" s="4" t="str">
        <f>_xlfn.IFNA(VLOOKUP($J229,WH_Data[],6,FALSE),"")</f>
        <v/>
      </c>
      <c r="L229" s="4" t="str">
        <f>_xlfn.IFNA(VLOOKUP($J229,WH_Data[],3,FALSE),"")</f>
        <v/>
      </c>
      <c r="M229" s="4" t="str">
        <f>_xlfn.IFNA(VLOOKUP($J229,WH_Data[],5,FALSE),"")</f>
        <v/>
      </c>
      <c r="N229" s="4" t="str">
        <f>_xlfn.IFNA(VLOOKUP($J229,WH_Data[],7,FALSE),"")</f>
        <v/>
      </c>
      <c r="O229" s="4" t="str">
        <f>_xlfn.IFNA(VLOOKUP($J229,WH_Data[],8,FALSE),"")</f>
        <v/>
      </c>
      <c r="P229" s="8"/>
      <c r="Q229" s="209">
        <f>Mon_ILR2[[#This Row],[Qty Required]]-Mon_ILR2[[#This Row],[QTY Transfer]]</f>
        <v>1</v>
      </c>
      <c r="R229" s="66" t="s">
        <v>905</v>
      </c>
      <c r="S229" s="66" t="s">
        <v>960</v>
      </c>
      <c r="T229" s="210">
        <v>25379</v>
      </c>
      <c r="U229" s="210">
        <f>_xlfn.IFNA(VLOOKUP(Mon_ILR2[[#This Row],[New Model]],PhilipsLibary[],5,FALSE),"0")</f>
        <v>0</v>
      </c>
      <c r="V229" s="210">
        <f>_xlfn.IFNA(VLOOKUP(Mon_ILR2[[#This Row],[New Model]],PhilipsLibary[],5,FALSE),"0")</f>
        <v>0</v>
      </c>
      <c r="W229" s="210">
        <f>Mon_ILR2[[#This Row],[Accessory Rate]]+Mon_ILR2[[#This Row],[Mounting Rate]]+Mon_ILR2[[#This Row],[Unit Rate]]*Mon_ILR2[[#This Row],[New Quantity Required ]]</f>
        <v>25379</v>
      </c>
      <c r="X229" s="8"/>
      <c r="Y229" s="246" t="s">
        <v>2202</v>
      </c>
      <c r="Z229" s="6" t="s">
        <v>651</v>
      </c>
      <c r="AA229" s="6" t="s">
        <v>652</v>
      </c>
      <c r="AB229" s="6" t="s">
        <v>50</v>
      </c>
      <c r="AC229" s="6" t="s">
        <v>50</v>
      </c>
      <c r="AD229" s="6" t="s">
        <v>49</v>
      </c>
      <c r="AE229" s="6" t="s">
        <v>50</v>
      </c>
      <c r="AF229" s="6" t="s">
        <v>50</v>
      </c>
      <c r="AG229" s="6" t="s">
        <v>50</v>
      </c>
      <c r="AH229" s="6" t="s">
        <v>50</v>
      </c>
      <c r="AI229" s="6" t="s">
        <v>50</v>
      </c>
      <c r="AJ229" s="6" t="s">
        <v>50</v>
      </c>
      <c r="AK229" s="6" t="s">
        <v>50</v>
      </c>
      <c r="AL229" s="6" t="s">
        <v>52</v>
      </c>
      <c r="AM229" s="6" t="s">
        <v>50</v>
      </c>
      <c r="AN229" s="6" t="s">
        <v>50</v>
      </c>
      <c r="AO229" s="6" t="s">
        <v>54</v>
      </c>
    </row>
    <row r="230" spans="2:41" ht="60" customHeight="1" x14ac:dyDescent="0.25">
      <c r="B230" s="207" t="s">
        <v>275</v>
      </c>
      <c r="C230" s="66" t="s">
        <v>645</v>
      </c>
      <c r="D230" s="4" t="s">
        <v>653</v>
      </c>
      <c r="E230" s="4" t="s">
        <v>1025</v>
      </c>
      <c r="F230" s="4" t="s">
        <v>1031</v>
      </c>
      <c r="G230" s="4" t="s">
        <v>650</v>
      </c>
      <c r="H230" s="208">
        <v>1</v>
      </c>
      <c r="I230" s="4"/>
      <c r="J230" s="15"/>
      <c r="K230" s="4" t="str">
        <f>_xlfn.IFNA(VLOOKUP($J230,WH_Data[],6,FALSE),"")</f>
        <v/>
      </c>
      <c r="L230" s="4" t="str">
        <f>_xlfn.IFNA(VLOOKUP($J230,WH_Data[],3,FALSE),"")</f>
        <v/>
      </c>
      <c r="M230" s="4" t="str">
        <f>_xlfn.IFNA(VLOOKUP($J230,WH_Data[],5,FALSE),"")</f>
        <v/>
      </c>
      <c r="N230" s="4" t="str">
        <f>_xlfn.IFNA(VLOOKUP($J230,WH_Data[],7,FALSE),"")</f>
        <v/>
      </c>
      <c r="O230" s="4" t="str">
        <f>_xlfn.IFNA(VLOOKUP($J230,WH_Data[],8,FALSE),"")</f>
        <v/>
      </c>
      <c r="P230" s="8"/>
      <c r="Q230" s="209">
        <f>Mon_ILR2[[#This Row],[Qty Required]]-Mon_ILR2[[#This Row],[QTY Transfer]]</f>
        <v>1</v>
      </c>
      <c r="R230" s="66" t="s">
        <v>905</v>
      </c>
      <c r="S230" s="66" t="s">
        <v>960</v>
      </c>
      <c r="T230" s="210">
        <v>22554</v>
      </c>
      <c r="U230" s="210">
        <f>_xlfn.IFNA(VLOOKUP(Mon_ILR2[[#This Row],[New Model]],PhilipsLibary[],5,FALSE),"0")</f>
        <v>0</v>
      </c>
      <c r="V230" s="210">
        <f>_xlfn.IFNA(VLOOKUP(Mon_ILR2[[#This Row],[New Model]],PhilipsLibary[],5,FALSE),"0")</f>
        <v>0</v>
      </c>
      <c r="W230" s="210">
        <f>Mon_ILR2[[#This Row],[Accessory Rate]]+Mon_ILR2[[#This Row],[Mounting Rate]]+Mon_ILR2[[#This Row],[Unit Rate]]*Mon_ILR2[[#This Row],[New Quantity Required ]]</f>
        <v>22554</v>
      </c>
      <c r="X230" s="8"/>
      <c r="Y230" s="246" t="s">
        <v>2203</v>
      </c>
      <c r="Z230" s="6" t="s">
        <v>651</v>
      </c>
      <c r="AA230" s="6" t="s">
        <v>652</v>
      </c>
      <c r="AB230" s="6" t="s">
        <v>50</v>
      </c>
      <c r="AC230" s="6" t="s">
        <v>50</v>
      </c>
      <c r="AD230" s="6" t="s">
        <v>49</v>
      </c>
      <c r="AE230" s="6" t="s">
        <v>50</v>
      </c>
      <c r="AF230" s="6" t="s">
        <v>50</v>
      </c>
      <c r="AG230" s="6" t="s">
        <v>50</v>
      </c>
      <c r="AH230" s="6" t="s">
        <v>50</v>
      </c>
      <c r="AI230" s="6" t="s">
        <v>50</v>
      </c>
      <c r="AJ230" s="6" t="s">
        <v>50</v>
      </c>
      <c r="AK230" s="6" t="s">
        <v>50</v>
      </c>
      <c r="AL230" s="6" t="s">
        <v>52</v>
      </c>
      <c r="AM230" s="6" t="s">
        <v>50</v>
      </c>
      <c r="AN230" s="6" t="s">
        <v>50</v>
      </c>
      <c r="AO230" s="6" t="s">
        <v>54</v>
      </c>
    </row>
    <row r="231" spans="2:41" ht="60" customHeight="1" x14ac:dyDescent="0.25">
      <c r="B231" s="207" t="s">
        <v>275</v>
      </c>
      <c r="C231" s="66" t="s">
        <v>645</v>
      </c>
      <c r="D231" s="4" t="s">
        <v>656</v>
      </c>
      <c r="E231" s="4" t="s">
        <v>1025</v>
      </c>
      <c r="F231" s="4" t="s">
        <v>1031</v>
      </c>
      <c r="G231" s="4" t="s">
        <v>650</v>
      </c>
      <c r="H231" s="208">
        <v>1</v>
      </c>
      <c r="I231" s="4"/>
      <c r="J231" s="15"/>
      <c r="K231" s="4" t="str">
        <f>_xlfn.IFNA(VLOOKUP($J231,WH_Data[],6,FALSE),"")</f>
        <v/>
      </c>
      <c r="L231" s="4" t="str">
        <f>_xlfn.IFNA(VLOOKUP($J231,WH_Data[],3,FALSE),"")</f>
        <v/>
      </c>
      <c r="M231" s="4" t="str">
        <f>_xlfn.IFNA(VLOOKUP($J231,WH_Data[],5,FALSE),"")</f>
        <v/>
      </c>
      <c r="N231" s="4" t="str">
        <f>_xlfn.IFNA(VLOOKUP($J231,WH_Data[],7,FALSE),"")</f>
        <v/>
      </c>
      <c r="O231" s="4" t="str">
        <f>_xlfn.IFNA(VLOOKUP($J231,WH_Data[],8,FALSE),"")</f>
        <v/>
      </c>
      <c r="P231" s="8"/>
      <c r="Q231" s="209">
        <f>Mon_ILR2[[#This Row],[Qty Required]]-Mon_ILR2[[#This Row],[QTY Transfer]]</f>
        <v>1</v>
      </c>
      <c r="R231" s="66" t="s">
        <v>905</v>
      </c>
      <c r="S231" s="66" t="s">
        <v>960</v>
      </c>
      <c r="T231" s="210">
        <v>42329</v>
      </c>
      <c r="U231" s="210">
        <f>_xlfn.IFNA(VLOOKUP(Mon_ILR2[[#This Row],[New Model]],PhilipsLibary[],5,FALSE),"0")</f>
        <v>0</v>
      </c>
      <c r="V231" s="210">
        <f>_xlfn.IFNA(VLOOKUP(Mon_ILR2[[#This Row],[New Model]],PhilipsLibary[],5,FALSE),"0")</f>
        <v>0</v>
      </c>
      <c r="W231" s="210">
        <f>Mon_ILR2[[#This Row],[Accessory Rate]]+Mon_ILR2[[#This Row],[Mounting Rate]]+Mon_ILR2[[#This Row],[Unit Rate]]*Mon_ILR2[[#This Row],[New Quantity Required ]]</f>
        <v>42329</v>
      </c>
      <c r="X231" s="8"/>
      <c r="Y231" s="246" t="s">
        <v>2204</v>
      </c>
      <c r="Z231" s="6" t="s">
        <v>651</v>
      </c>
      <c r="AA231" s="6" t="s">
        <v>652</v>
      </c>
      <c r="AB231" s="6" t="s">
        <v>50</v>
      </c>
      <c r="AC231" s="6" t="s">
        <v>50</v>
      </c>
      <c r="AD231" s="6" t="s">
        <v>49</v>
      </c>
      <c r="AE231" s="6" t="s">
        <v>50</v>
      </c>
      <c r="AF231" s="6" t="s">
        <v>50</v>
      </c>
      <c r="AG231" s="6" t="s">
        <v>50</v>
      </c>
      <c r="AH231" s="6" t="s">
        <v>50</v>
      </c>
      <c r="AI231" s="6" t="s">
        <v>50</v>
      </c>
      <c r="AJ231" s="6" t="s">
        <v>50</v>
      </c>
      <c r="AK231" s="6" t="s">
        <v>50</v>
      </c>
      <c r="AL231" s="6" t="s">
        <v>52</v>
      </c>
      <c r="AM231" s="6" t="s">
        <v>50</v>
      </c>
      <c r="AN231" s="6" t="s">
        <v>50</v>
      </c>
      <c r="AO231" s="6" t="s">
        <v>54</v>
      </c>
    </row>
    <row r="232" spans="2:41" ht="60" customHeight="1" x14ac:dyDescent="0.25">
      <c r="B232" s="207" t="s">
        <v>275</v>
      </c>
      <c r="C232" s="66" t="s">
        <v>645</v>
      </c>
      <c r="D232" s="4" t="s">
        <v>658</v>
      </c>
      <c r="E232" s="4" t="s">
        <v>1025</v>
      </c>
      <c r="F232" s="4" t="s">
        <v>1031</v>
      </c>
      <c r="G232" s="4" t="s">
        <v>650</v>
      </c>
      <c r="H232" s="208">
        <v>1</v>
      </c>
      <c r="I232" s="4"/>
      <c r="J232" s="15"/>
      <c r="K232" s="4" t="str">
        <f>_xlfn.IFNA(VLOOKUP($J232,WH_Data[],6,FALSE),"")</f>
        <v/>
      </c>
      <c r="L232" s="4" t="str">
        <f>_xlfn.IFNA(VLOOKUP($J232,WH_Data[],3,FALSE),"")</f>
        <v/>
      </c>
      <c r="M232" s="4" t="str">
        <f>_xlfn.IFNA(VLOOKUP($J232,WH_Data[],5,FALSE),"")</f>
        <v/>
      </c>
      <c r="N232" s="4" t="str">
        <f>_xlfn.IFNA(VLOOKUP($J232,WH_Data[],7,FALSE),"")</f>
        <v/>
      </c>
      <c r="O232" s="4" t="str">
        <f>_xlfn.IFNA(VLOOKUP($J232,WH_Data[],8,FALSE),"")</f>
        <v/>
      </c>
      <c r="P232" s="8"/>
      <c r="Q232" s="209">
        <f>Mon_ILR2[[#This Row],[Qty Required]]-Mon_ILR2[[#This Row],[QTY Transfer]]</f>
        <v>1</v>
      </c>
      <c r="R232" s="66" t="s">
        <v>905</v>
      </c>
      <c r="S232" s="66" t="s">
        <v>960</v>
      </c>
      <c r="T232" s="210">
        <v>76229</v>
      </c>
      <c r="U232" s="210">
        <f>_xlfn.IFNA(VLOOKUP(Mon_ILR2[[#This Row],[New Model]],PhilipsLibary[],5,FALSE),"0")</f>
        <v>0</v>
      </c>
      <c r="V232" s="210">
        <f>_xlfn.IFNA(VLOOKUP(Mon_ILR2[[#This Row],[New Model]],PhilipsLibary[],5,FALSE),"0")</f>
        <v>0</v>
      </c>
      <c r="W232" s="210">
        <f>Mon_ILR2[[#This Row],[Accessory Rate]]+Mon_ILR2[[#This Row],[Mounting Rate]]+Mon_ILR2[[#This Row],[Unit Rate]]*Mon_ILR2[[#This Row],[New Quantity Required ]]</f>
        <v>76229</v>
      </c>
      <c r="X232" s="8"/>
      <c r="Y232" s="246" t="s">
        <v>2205</v>
      </c>
      <c r="Z232" s="6" t="s">
        <v>651</v>
      </c>
      <c r="AA232" s="6" t="s">
        <v>652</v>
      </c>
      <c r="AB232" s="6" t="s">
        <v>50</v>
      </c>
      <c r="AC232" s="6" t="s">
        <v>50</v>
      </c>
      <c r="AD232" s="6" t="s">
        <v>49</v>
      </c>
      <c r="AE232" s="6" t="s">
        <v>50</v>
      </c>
      <c r="AF232" s="6" t="s">
        <v>50</v>
      </c>
      <c r="AG232" s="6" t="s">
        <v>50</v>
      </c>
      <c r="AH232" s="6" t="s">
        <v>50</v>
      </c>
      <c r="AI232" s="6" t="s">
        <v>50</v>
      </c>
      <c r="AJ232" s="6" t="s">
        <v>50</v>
      </c>
      <c r="AK232" s="6" t="s">
        <v>50</v>
      </c>
      <c r="AL232" s="6" t="s">
        <v>52</v>
      </c>
      <c r="AM232" s="6" t="s">
        <v>50</v>
      </c>
      <c r="AN232" s="6" t="s">
        <v>50</v>
      </c>
      <c r="AO232" s="6" t="s">
        <v>54</v>
      </c>
    </row>
    <row r="233" spans="2:41" ht="60" customHeight="1" x14ac:dyDescent="0.25">
      <c r="B233" s="207" t="s">
        <v>299</v>
      </c>
      <c r="C233" s="66" t="s">
        <v>645</v>
      </c>
      <c r="D233" s="4" t="s">
        <v>771</v>
      </c>
      <c r="E233" s="4" t="s">
        <v>1025</v>
      </c>
      <c r="F233" s="4" t="s">
        <v>1031</v>
      </c>
      <c r="G233" s="4" t="s">
        <v>650</v>
      </c>
      <c r="H233" s="208">
        <v>1</v>
      </c>
      <c r="I233" s="4"/>
      <c r="J233" s="15"/>
      <c r="K233" s="4" t="str">
        <f>_xlfn.IFNA(VLOOKUP($J233,WH_Data[],6,FALSE),"")</f>
        <v/>
      </c>
      <c r="L233" s="4" t="str">
        <f>_xlfn.IFNA(VLOOKUP($J233,WH_Data[],3,FALSE),"")</f>
        <v/>
      </c>
      <c r="M233" s="4" t="str">
        <f>_xlfn.IFNA(VLOOKUP($J233,WH_Data[],5,FALSE),"")</f>
        <v/>
      </c>
      <c r="N233" s="4" t="str">
        <f>_xlfn.IFNA(VLOOKUP($J233,WH_Data[],7,FALSE),"")</f>
        <v/>
      </c>
      <c r="O233" s="4" t="str">
        <f>_xlfn.IFNA(VLOOKUP($J233,WH_Data[],8,FALSE),"")</f>
        <v/>
      </c>
      <c r="P233" s="8"/>
      <c r="Q233" s="209">
        <f>Mon_ILR2[[#This Row],[Qty Required]]-Mon_ILR2[[#This Row],[QTY Transfer]]</f>
        <v>1</v>
      </c>
      <c r="R233" s="66" t="s">
        <v>905</v>
      </c>
      <c r="S233" s="66" t="s">
        <v>957</v>
      </c>
      <c r="T233" s="210">
        <v>21445</v>
      </c>
      <c r="U233" s="210">
        <f>_xlfn.IFNA(VLOOKUP(Mon_ILR2[[#This Row],[New Model]],PhilipsLibary[],5,FALSE),"0")</f>
        <v>0</v>
      </c>
      <c r="V233" s="210">
        <f>_xlfn.IFNA(VLOOKUP(Mon_ILR2[[#This Row],[New Model]],PhilipsLibary[],5,FALSE),"0")</f>
        <v>0</v>
      </c>
      <c r="W233" s="210">
        <f>Mon_ILR2[[#This Row],[Accessory Rate]]+Mon_ILR2[[#This Row],[Mounting Rate]]+Mon_ILR2[[#This Row],[Unit Rate]]*Mon_ILR2[[#This Row],[New Quantity Required ]]</f>
        <v>21445</v>
      </c>
      <c r="X233" s="8"/>
      <c r="Y233" s="257" t="s">
        <v>2142</v>
      </c>
      <c r="Z233" s="6" t="s">
        <v>651</v>
      </c>
      <c r="AA233" s="6" t="s">
        <v>652</v>
      </c>
      <c r="AB233" s="6" t="s">
        <v>50</v>
      </c>
      <c r="AC233" s="6" t="s">
        <v>50</v>
      </c>
      <c r="AD233" s="6" t="s">
        <v>49</v>
      </c>
      <c r="AE233" s="6" t="s">
        <v>50</v>
      </c>
      <c r="AF233" s="6" t="s">
        <v>50</v>
      </c>
      <c r="AG233" s="6" t="s">
        <v>50</v>
      </c>
      <c r="AH233" s="6" t="s">
        <v>50</v>
      </c>
      <c r="AI233" s="6" t="s">
        <v>50</v>
      </c>
      <c r="AJ233" s="6" t="s">
        <v>50</v>
      </c>
      <c r="AK233" s="6" t="s">
        <v>50</v>
      </c>
      <c r="AL233" s="6" t="s">
        <v>52</v>
      </c>
      <c r="AM233" s="6" t="s">
        <v>50</v>
      </c>
      <c r="AN233" s="6" t="s">
        <v>50</v>
      </c>
      <c r="AO233" s="6" t="s">
        <v>54</v>
      </c>
    </row>
    <row r="234" spans="2:41" ht="60" customHeight="1" x14ac:dyDescent="0.25">
      <c r="B234" s="207" t="s">
        <v>299</v>
      </c>
      <c r="C234" s="66" t="s">
        <v>645</v>
      </c>
      <c r="D234" s="4" t="s">
        <v>776</v>
      </c>
      <c r="E234" s="4" t="s">
        <v>1025</v>
      </c>
      <c r="F234" s="4" t="s">
        <v>1031</v>
      </c>
      <c r="G234" s="4" t="s">
        <v>650</v>
      </c>
      <c r="H234" s="208">
        <v>1</v>
      </c>
      <c r="I234" s="4"/>
      <c r="J234" s="15"/>
      <c r="K234" s="4" t="str">
        <f>_xlfn.IFNA(VLOOKUP($J234,WH_Data[],6,FALSE),"")</f>
        <v/>
      </c>
      <c r="L234" s="4" t="str">
        <f>_xlfn.IFNA(VLOOKUP($J234,WH_Data[],3,FALSE),"")</f>
        <v/>
      </c>
      <c r="M234" s="4" t="str">
        <f>_xlfn.IFNA(VLOOKUP($J234,WH_Data[],5,FALSE),"")</f>
        <v/>
      </c>
      <c r="N234" s="4" t="str">
        <f>_xlfn.IFNA(VLOOKUP($J234,WH_Data[],7,FALSE),"")</f>
        <v/>
      </c>
      <c r="O234" s="4" t="str">
        <f>_xlfn.IFNA(VLOOKUP($J234,WH_Data[],8,FALSE),"")</f>
        <v/>
      </c>
      <c r="P234" s="8"/>
      <c r="Q234" s="209">
        <f>Mon_ILR2[[#This Row],[Qty Required]]-Mon_ILR2[[#This Row],[QTY Transfer]]</f>
        <v>1</v>
      </c>
      <c r="R234" s="66" t="s">
        <v>905</v>
      </c>
      <c r="S234" s="66" t="s">
        <v>960</v>
      </c>
      <c r="T234" s="210">
        <v>35888</v>
      </c>
      <c r="U234" s="210">
        <f>_xlfn.IFNA(VLOOKUP(Mon_ILR2[[#This Row],[New Model]],PhilipsLibary[],5,FALSE),"0")</f>
        <v>0</v>
      </c>
      <c r="V234" s="210">
        <f>_xlfn.IFNA(VLOOKUP(Mon_ILR2[[#This Row],[New Model]],PhilipsLibary[],5,FALSE),"0")</f>
        <v>0</v>
      </c>
      <c r="W234" s="210">
        <f>Mon_ILR2[[#This Row],[Accessory Rate]]+Mon_ILR2[[#This Row],[Mounting Rate]]+Mon_ILR2[[#This Row],[Unit Rate]]*Mon_ILR2[[#This Row],[New Quantity Required ]]</f>
        <v>35888</v>
      </c>
      <c r="X234" s="8"/>
      <c r="Y234" s="246" t="s">
        <v>2153</v>
      </c>
      <c r="Z234" s="6" t="s">
        <v>651</v>
      </c>
      <c r="AA234" s="6" t="s">
        <v>652</v>
      </c>
      <c r="AB234" s="6" t="s">
        <v>50</v>
      </c>
      <c r="AC234" s="6" t="s">
        <v>50</v>
      </c>
      <c r="AD234" s="6" t="s">
        <v>49</v>
      </c>
      <c r="AE234" s="6" t="s">
        <v>50</v>
      </c>
      <c r="AF234" s="6" t="s">
        <v>50</v>
      </c>
      <c r="AG234" s="6" t="s">
        <v>50</v>
      </c>
      <c r="AH234" s="6" t="s">
        <v>50</v>
      </c>
      <c r="AI234" s="6" t="s">
        <v>50</v>
      </c>
      <c r="AJ234" s="6" t="s">
        <v>50</v>
      </c>
      <c r="AK234" s="6" t="s">
        <v>50</v>
      </c>
      <c r="AL234" s="6" t="s">
        <v>52</v>
      </c>
      <c r="AM234" s="6" t="s">
        <v>50</v>
      </c>
      <c r="AN234" s="6" t="s">
        <v>50</v>
      </c>
      <c r="AO234" s="6" t="s">
        <v>54</v>
      </c>
    </row>
    <row r="235" spans="2:41" ht="60" customHeight="1" x14ac:dyDescent="0.25">
      <c r="B235" s="207" t="s">
        <v>35</v>
      </c>
      <c r="C235" s="66" t="s">
        <v>645</v>
      </c>
      <c r="D235" s="4" t="s">
        <v>862</v>
      </c>
      <c r="E235" s="4" t="s">
        <v>1025</v>
      </c>
      <c r="F235" s="4" t="s">
        <v>1031</v>
      </c>
      <c r="G235" s="4" t="s">
        <v>650</v>
      </c>
      <c r="H235" s="208">
        <v>1</v>
      </c>
      <c r="I235" s="4"/>
      <c r="J235" s="15"/>
      <c r="K235" s="4" t="str">
        <f>_xlfn.IFNA(VLOOKUP($J235,WH_Data[],6,FALSE),"")</f>
        <v/>
      </c>
      <c r="L235" s="4" t="str">
        <f>_xlfn.IFNA(VLOOKUP($J235,WH_Data[],3,FALSE),"")</f>
        <v/>
      </c>
      <c r="M235" s="4" t="str">
        <f>_xlfn.IFNA(VLOOKUP($J235,WH_Data[],5,FALSE),"")</f>
        <v/>
      </c>
      <c r="N235" s="4" t="str">
        <f>_xlfn.IFNA(VLOOKUP($J235,WH_Data[],7,FALSE),"")</f>
        <v/>
      </c>
      <c r="O235" s="4" t="str">
        <f>_xlfn.IFNA(VLOOKUP($J235,WH_Data[],8,FALSE),"")</f>
        <v/>
      </c>
      <c r="P235" s="8"/>
      <c r="Q235" s="209">
        <f>Mon_ILR2[[#This Row],[Qty Required]]-Mon_ILR2[[#This Row],[QTY Transfer]]</f>
        <v>1</v>
      </c>
      <c r="R235" s="66" t="s">
        <v>905</v>
      </c>
      <c r="S235" s="66" t="s">
        <v>960</v>
      </c>
      <c r="T235" s="210">
        <v>103478</v>
      </c>
      <c r="U235" s="210">
        <f>_xlfn.IFNA(VLOOKUP(Mon_ILR2[[#This Row],[New Model]],PhilipsLibary[],5,FALSE),"0")</f>
        <v>0</v>
      </c>
      <c r="V235" s="210">
        <f>_xlfn.IFNA(VLOOKUP(Mon_ILR2[[#This Row],[New Model]],PhilipsLibary[],5,FALSE),"0")</f>
        <v>0</v>
      </c>
      <c r="W235" s="210">
        <f>Mon_ILR2[[#This Row],[Accessory Rate]]+Mon_ILR2[[#This Row],[Mounting Rate]]+Mon_ILR2[[#This Row],[Unit Rate]]*Mon_ILR2[[#This Row],[New Quantity Required ]]</f>
        <v>103478</v>
      </c>
      <c r="X235" s="8"/>
      <c r="Y235" s="257" t="s">
        <v>1063</v>
      </c>
      <c r="Z235" s="6" t="s">
        <v>643</v>
      </c>
      <c r="AA235" s="6" t="s">
        <v>50</v>
      </c>
      <c r="AB235" s="6" t="s">
        <v>50</v>
      </c>
      <c r="AC235" s="6" t="s">
        <v>50</v>
      </c>
      <c r="AD235" s="6" t="s">
        <v>50</v>
      </c>
      <c r="AE235" s="6" t="s">
        <v>50</v>
      </c>
      <c r="AF235" s="6" t="s">
        <v>50</v>
      </c>
      <c r="AG235" s="6" t="s">
        <v>50</v>
      </c>
      <c r="AH235" s="6" t="s">
        <v>50</v>
      </c>
      <c r="AI235" s="6" t="s">
        <v>50</v>
      </c>
      <c r="AJ235" s="6" t="s">
        <v>50</v>
      </c>
      <c r="AK235" s="6" t="s">
        <v>50</v>
      </c>
      <c r="AL235" s="6" t="s">
        <v>52</v>
      </c>
      <c r="AM235" s="6" t="s">
        <v>50</v>
      </c>
      <c r="AN235" s="6" t="s">
        <v>50</v>
      </c>
      <c r="AO235" s="6" t="s">
        <v>54</v>
      </c>
    </row>
    <row r="236" spans="2:41" ht="60" customHeight="1" x14ac:dyDescent="0.25">
      <c r="B236" s="207" t="s">
        <v>35</v>
      </c>
      <c r="C236" s="66" t="s">
        <v>645</v>
      </c>
      <c r="D236" s="4" t="s">
        <v>883</v>
      </c>
      <c r="E236" s="4" t="s">
        <v>1025</v>
      </c>
      <c r="F236" s="4" t="s">
        <v>1031</v>
      </c>
      <c r="G236" s="4" t="s">
        <v>650</v>
      </c>
      <c r="H236" s="208">
        <v>1</v>
      </c>
      <c r="I236" s="4"/>
      <c r="J236" s="15"/>
      <c r="K236" s="4" t="str">
        <f>_xlfn.IFNA(VLOOKUP($J236,WH_Data[],6,FALSE),"")</f>
        <v/>
      </c>
      <c r="L236" s="4" t="str">
        <f>_xlfn.IFNA(VLOOKUP($J236,WH_Data[],3,FALSE),"")</f>
        <v/>
      </c>
      <c r="M236" s="4" t="str">
        <f>_xlfn.IFNA(VLOOKUP($J236,WH_Data[],5,FALSE),"")</f>
        <v/>
      </c>
      <c r="N236" s="4" t="str">
        <f>_xlfn.IFNA(VLOOKUP($J236,WH_Data[],7,FALSE),"")</f>
        <v/>
      </c>
      <c r="O236" s="4" t="str">
        <f>_xlfn.IFNA(VLOOKUP($J236,WH_Data[],8,FALSE),"")</f>
        <v/>
      </c>
      <c r="P236" s="8"/>
      <c r="Q236" s="209">
        <f>Mon_ILR2[[#This Row],[Qty Required]]-Mon_ILR2[[#This Row],[QTY Transfer]]</f>
        <v>1</v>
      </c>
      <c r="R236" s="66" t="s">
        <v>905</v>
      </c>
      <c r="S236" s="66" t="s">
        <v>960</v>
      </c>
      <c r="T236" s="210">
        <v>108858</v>
      </c>
      <c r="U236" s="210">
        <f>_xlfn.IFNA(VLOOKUP(Mon_ILR2[[#This Row],[New Model]],PhilipsLibary[],5,FALSE),"0")</f>
        <v>0</v>
      </c>
      <c r="V236" s="210">
        <f>_xlfn.IFNA(VLOOKUP(Mon_ILR2[[#This Row],[New Model]],PhilipsLibary[],5,FALSE),"0")</f>
        <v>0</v>
      </c>
      <c r="W236" s="210">
        <f>Mon_ILR2[[#This Row],[Accessory Rate]]+Mon_ILR2[[#This Row],[Mounting Rate]]+Mon_ILR2[[#This Row],[Unit Rate]]*Mon_ILR2[[#This Row],[New Quantity Required ]]</f>
        <v>108858</v>
      </c>
      <c r="X236" s="8"/>
      <c r="Y236" s="257" t="s">
        <v>1064</v>
      </c>
      <c r="Z236" s="6" t="s">
        <v>651</v>
      </c>
      <c r="AA236" s="6" t="s">
        <v>652</v>
      </c>
      <c r="AB236" s="6" t="s">
        <v>50</v>
      </c>
      <c r="AC236" s="6" t="s">
        <v>50</v>
      </c>
      <c r="AD236" s="6" t="s">
        <v>49</v>
      </c>
      <c r="AE236" s="6" t="s">
        <v>50</v>
      </c>
      <c r="AF236" s="6" t="s">
        <v>50</v>
      </c>
      <c r="AG236" s="6" t="s">
        <v>50</v>
      </c>
      <c r="AH236" s="6" t="s">
        <v>50</v>
      </c>
      <c r="AI236" s="6" t="s">
        <v>50</v>
      </c>
      <c r="AJ236" s="6" t="s">
        <v>50</v>
      </c>
      <c r="AK236" s="6" t="s">
        <v>50</v>
      </c>
      <c r="AL236" s="6" t="s">
        <v>52</v>
      </c>
      <c r="AM236" s="6" t="s">
        <v>50</v>
      </c>
      <c r="AN236" s="6" t="s">
        <v>50</v>
      </c>
      <c r="AO236" s="6" t="s">
        <v>54</v>
      </c>
    </row>
    <row r="237" spans="2:41" ht="60" customHeight="1" x14ac:dyDescent="0.25">
      <c r="B237" s="207" t="s">
        <v>161</v>
      </c>
      <c r="C237" s="66" t="s">
        <v>174</v>
      </c>
      <c r="D237" s="4" t="s">
        <v>175</v>
      </c>
      <c r="E237" s="4" t="s">
        <v>1027</v>
      </c>
      <c r="F237" s="4" t="s">
        <v>176</v>
      </c>
      <c r="G237" s="4" t="s">
        <v>177</v>
      </c>
      <c r="H237" s="208">
        <v>1</v>
      </c>
      <c r="I237" s="4"/>
      <c r="J237" s="15"/>
      <c r="K237" s="4" t="str">
        <f>_xlfn.IFNA(VLOOKUP($J237,WH_Data[],6,FALSE),"")</f>
        <v/>
      </c>
      <c r="L237" s="4" t="str">
        <f>_xlfn.IFNA(VLOOKUP($J237,WH_Data[],3,FALSE),"")</f>
        <v/>
      </c>
      <c r="M237" s="4" t="str">
        <f>_xlfn.IFNA(VLOOKUP($J237,WH_Data[],5,FALSE),"")</f>
        <v/>
      </c>
      <c r="N237" s="4" t="str">
        <f>_xlfn.IFNA(VLOOKUP($J237,WH_Data[],7,FALSE),"")</f>
        <v/>
      </c>
      <c r="O237" s="4" t="str">
        <f>_xlfn.IFNA(VLOOKUP($J237,WH_Data[],8,FALSE),"")</f>
        <v/>
      </c>
      <c r="P237" s="8"/>
      <c r="Q237" s="209">
        <f>Mon_ILR2[[#This Row],[Qty Required]]-Mon_ILR2[[#This Row],[QTY Transfer]]</f>
        <v>1</v>
      </c>
      <c r="R237" s="66" t="s">
        <v>905</v>
      </c>
      <c r="S237" s="66" t="s">
        <v>946</v>
      </c>
      <c r="T237" s="210">
        <f>_xlfn.IFNA(VLOOKUP(Mon_ILR2[[#This Row],[New Model]],PhilipsLibary[],4,FALSE),"0")</f>
        <v>7999</v>
      </c>
      <c r="U237" s="210">
        <v>777</v>
      </c>
      <c r="V237" s="210">
        <f>_xlfn.IFNA(VLOOKUP(Mon_ILR2[[#This Row],[New Model]],PhilipsLibary[],5,FALSE),"0")</f>
        <v>0</v>
      </c>
      <c r="W237" s="210">
        <f>Mon_ILR2[[#This Row],[Accessory Rate]]+Mon_ILR2[[#This Row],[Mounting Rate]]+Mon_ILR2[[#This Row],[Unit Rate]]*Mon_ILR2[[#This Row],[New Quantity Required ]]</f>
        <v>8776</v>
      </c>
      <c r="X237" s="8"/>
      <c r="Y237" s="246" t="s">
        <v>1065</v>
      </c>
      <c r="Z237" s="6" t="s">
        <v>45</v>
      </c>
      <c r="AA237" s="6" t="s">
        <v>46</v>
      </c>
      <c r="AB237" s="6" t="s">
        <v>47</v>
      </c>
      <c r="AC237" s="6" t="s">
        <v>48</v>
      </c>
      <c r="AD237" s="6" t="s">
        <v>49</v>
      </c>
      <c r="AE237" s="6" t="s">
        <v>50</v>
      </c>
      <c r="AF237" s="6" t="s">
        <v>50</v>
      </c>
      <c r="AG237" s="6" t="s">
        <v>50</v>
      </c>
      <c r="AH237" s="6" t="s">
        <v>50</v>
      </c>
      <c r="AI237" s="6" t="s">
        <v>51</v>
      </c>
      <c r="AJ237" s="6" t="s">
        <v>50</v>
      </c>
      <c r="AK237" s="6" t="s">
        <v>50</v>
      </c>
      <c r="AL237" s="6" t="s">
        <v>52</v>
      </c>
      <c r="AM237" s="6" t="s">
        <v>53</v>
      </c>
      <c r="AN237" s="6" t="s">
        <v>50</v>
      </c>
      <c r="AO237" s="6" t="s">
        <v>54</v>
      </c>
    </row>
    <row r="238" spans="2:41" ht="60" customHeight="1" x14ac:dyDescent="0.25">
      <c r="B238" s="207" t="s">
        <v>161</v>
      </c>
      <c r="C238" s="66" t="s">
        <v>174</v>
      </c>
      <c r="D238" s="4" t="s">
        <v>175</v>
      </c>
      <c r="E238" s="4" t="s">
        <v>1027</v>
      </c>
      <c r="F238" s="4" t="s">
        <v>176</v>
      </c>
      <c r="G238" s="4" t="s">
        <v>177</v>
      </c>
      <c r="H238" s="208">
        <v>1</v>
      </c>
      <c r="I238" s="4"/>
      <c r="J238" s="15"/>
      <c r="K238" s="4" t="str">
        <f>_xlfn.IFNA(VLOOKUP($J238,WH_Data[],6,FALSE),"")</f>
        <v/>
      </c>
      <c r="L238" s="4" t="str">
        <f>_xlfn.IFNA(VLOOKUP($J238,WH_Data[],3,FALSE),"")</f>
        <v/>
      </c>
      <c r="M238" s="4" t="str">
        <f>_xlfn.IFNA(VLOOKUP($J238,WH_Data[],5,FALSE),"")</f>
        <v/>
      </c>
      <c r="N238" s="4" t="str">
        <f>_xlfn.IFNA(VLOOKUP($J238,WH_Data[],7,FALSE),"")</f>
        <v/>
      </c>
      <c r="O238" s="4" t="str">
        <f>_xlfn.IFNA(VLOOKUP($J238,WH_Data[],8,FALSE),"")</f>
        <v/>
      </c>
      <c r="P238" s="8"/>
      <c r="Q238" s="209">
        <f>Mon_ILR2[[#This Row],[Qty Required]]-Mon_ILR2[[#This Row],[QTY Transfer]]</f>
        <v>1</v>
      </c>
      <c r="R238" s="66" t="s">
        <v>905</v>
      </c>
      <c r="S238" s="66" t="s">
        <v>946</v>
      </c>
      <c r="T238" s="210">
        <f>_xlfn.IFNA(VLOOKUP(Mon_ILR2[[#This Row],[New Model]],PhilipsLibary[],4,FALSE),"0")</f>
        <v>7999</v>
      </c>
      <c r="U238" s="210">
        <v>777</v>
      </c>
      <c r="V238" s="210">
        <f>_xlfn.IFNA(VLOOKUP(Mon_ILR2[[#This Row],[New Model]],PhilipsLibary[],5,FALSE),"0")</f>
        <v>0</v>
      </c>
      <c r="W238" s="210">
        <f>Mon_ILR2[[#This Row],[Accessory Rate]]+Mon_ILR2[[#This Row],[Mounting Rate]]+Mon_ILR2[[#This Row],[Unit Rate]]*Mon_ILR2[[#This Row],[New Quantity Required ]]</f>
        <v>8776</v>
      </c>
      <c r="X238" s="8"/>
      <c r="Y238" s="246" t="s">
        <v>1065</v>
      </c>
      <c r="Z238" s="6" t="s">
        <v>45</v>
      </c>
      <c r="AA238" s="6" t="s">
        <v>46</v>
      </c>
      <c r="AB238" s="6" t="s">
        <v>47</v>
      </c>
      <c r="AC238" s="6" t="s">
        <v>48</v>
      </c>
      <c r="AD238" s="6" t="s">
        <v>49</v>
      </c>
      <c r="AE238" s="6" t="s">
        <v>50</v>
      </c>
      <c r="AF238" s="6" t="s">
        <v>50</v>
      </c>
      <c r="AG238" s="6" t="s">
        <v>50</v>
      </c>
      <c r="AH238" s="6" t="s">
        <v>50</v>
      </c>
      <c r="AI238" s="6" t="s">
        <v>51</v>
      </c>
      <c r="AJ238" s="6" t="s">
        <v>50</v>
      </c>
      <c r="AK238" s="6" t="s">
        <v>50</v>
      </c>
      <c r="AL238" s="6" t="s">
        <v>52</v>
      </c>
      <c r="AM238" s="6" t="s">
        <v>53</v>
      </c>
      <c r="AN238" s="6" t="s">
        <v>50</v>
      </c>
      <c r="AO238" s="6" t="s">
        <v>54</v>
      </c>
    </row>
    <row r="239" spans="2:41" ht="60" customHeight="1" x14ac:dyDescent="0.25">
      <c r="B239" s="207" t="s">
        <v>275</v>
      </c>
      <c r="C239" s="66" t="s">
        <v>462</v>
      </c>
      <c r="D239" s="4" t="s">
        <v>495</v>
      </c>
      <c r="E239" s="4" t="s">
        <v>1027</v>
      </c>
      <c r="F239" s="4" t="s">
        <v>301</v>
      </c>
      <c r="G239" s="4" t="s">
        <v>177</v>
      </c>
      <c r="H239" s="208">
        <v>1</v>
      </c>
      <c r="I239" s="4"/>
      <c r="J239" s="15"/>
      <c r="K239" s="4" t="str">
        <f>_xlfn.IFNA(VLOOKUP($J239,WH_Data[],6,FALSE),"")</f>
        <v/>
      </c>
      <c r="L239" s="4" t="str">
        <f>_xlfn.IFNA(VLOOKUP($J239,WH_Data[],3,FALSE),"")</f>
        <v/>
      </c>
      <c r="M239" s="4" t="str">
        <f>_xlfn.IFNA(VLOOKUP($J239,WH_Data[],5,FALSE),"")</f>
        <v/>
      </c>
      <c r="N239" s="4" t="str">
        <f>_xlfn.IFNA(VLOOKUP($J239,WH_Data[],7,FALSE),"")</f>
        <v/>
      </c>
      <c r="O239" s="4" t="str">
        <f>_xlfn.IFNA(VLOOKUP($J239,WH_Data[],8,FALSE),"")</f>
        <v/>
      </c>
      <c r="P239" s="8"/>
      <c r="Q239" s="209">
        <f>Mon_ILR2[[#This Row],[Qty Required]]-Mon_ILR2[[#This Row],[QTY Transfer]]</f>
        <v>1</v>
      </c>
      <c r="R239" s="66" t="s">
        <v>905</v>
      </c>
      <c r="S239" s="66" t="s">
        <v>946</v>
      </c>
      <c r="T239" s="210">
        <f>_xlfn.IFNA(VLOOKUP(Mon_ILR2[[#This Row],[New Model]],PhilipsLibary[],4,FALSE),"0")</f>
        <v>7999</v>
      </c>
      <c r="U239" s="210">
        <v>777</v>
      </c>
      <c r="V239" s="210">
        <f>_xlfn.IFNA(VLOOKUP(Mon_ILR2[[#This Row],[New Model]],PhilipsLibary[],5,FALSE),"0")</f>
        <v>0</v>
      </c>
      <c r="W239" s="210">
        <f>Mon_ILR2[[#This Row],[Accessory Rate]]+Mon_ILR2[[#This Row],[Mounting Rate]]+Mon_ILR2[[#This Row],[Unit Rate]]*Mon_ILR2[[#This Row],[New Quantity Required ]]</f>
        <v>8776</v>
      </c>
      <c r="X239" s="8"/>
      <c r="Y239" s="246" t="s">
        <v>1066</v>
      </c>
      <c r="Z239" s="6" t="s">
        <v>45</v>
      </c>
      <c r="AA239" s="6" t="s">
        <v>46</v>
      </c>
      <c r="AB239" s="6" t="s">
        <v>47</v>
      </c>
      <c r="AC239" s="6" t="s">
        <v>48</v>
      </c>
      <c r="AD239" s="6" t="s">
        <v>49</v>
      </c>
      <c r="AE239" s="6" t="s">
        <v>50</v>
      </c>
      <c r="AF239" s="6" t="s">
        <v>50</v>
      </c>
      <c r="AG239" s="6" t="s">
        <v>50</v>
      </c>
      <c r="AH239" s="6" t="s">
        <v>50</v>
      </c>
      <c r="AI239" s="6" t="s">
        <v>51</v>
      </c>
      <c r="AJ239" s="6" t="s">
        <v>50</v>
      </c>
      <c r="AK239" s="6" t="s">
        <v>50</v>
      </c>
      <c r="AL239" s="6" t="s">
        <v>52</v>
      </c>
      <c r="AM239" s="6" t="s">
        <v>53</v>
      </c>
      <c r="AN239" s="6" t="s">
        <v>50</v>
      </c>
      <c r="AO239" s="6" t="s">
        <v>54</v>
      </c>
    </row>
    <row r="240" spans="2:41" ht="60" customHeight="1" x14ac:dyDescent="0.25">
      <c r="B240" s="207" t="s">
        <v>299</v>
      </c>
      <c r="C240" s="66" t="s">
        <v>174</v>
      </c>
      <c r="D240" s="4" t="s">
        <v>300</v>
      </c>
      <c r="E240" s="4" t="s">
        <v>1027</v>
      </c>
      <c r="F240" s="4" t="s">
        <v>301</v>
      </c>
      <c r="G240" s="4" t="s">
        <v>177</v>
      </c>
      <c r="H240" s="208">
        <v>1</v>
      </c>
      <c r="I240" s="4"/>
      <c r="J240" s="46" t="s">
        <v>1067</v>
      </c>
      <c r="K240" s="4" t="str">
        <f>_xlfn.IFNA(VLOOKUP($J240,WH_Data[],6,FALSE),"")</f>
        <v>MULTI-PARAMETERS MODULE, PHYSIOLOGICAL</v>
      </c>
      <c r="L240" s="4" t="str">
        <f>_xlfn.IFNA(VLOOKUP($J240,WH_Data[],3,FALSE),"")</f>
        <v>PHILIPS MEDICAL SYSTEMS AUSTRA</v>
      </c>
      <c r="M240" s="4" t="str">
        <f>_xlfn.IFNA(VLOOKUP($J240,WH_Data[],5,FALSE),"")</f>
        <v>IntelliVue X3</v>
      </c>
      <c r="N240" s="4" t="str">
        <f>_xlfn.IFNA(VLOOKUP($J240,WH_Data[],7,FALSE),"")</f>
        <v>DE694H5724</v>
      </c>
      <c r="O240" s="4" t="str">
        <f>_xlfn.IFNA(VLOOKUP($J240,WH_Data[],8,FALSE),"")</f>
        <v>ICU FH</v>
      </c>
      <c r="P240" s="8">
        <v>1</v>
      </c>
      <c r="Q240" s="209">
        <f>Mon_ILR2[[#This Row],[Qty Required]]-Mon_ILR2[[#This Row],[QTY Transfer]]</f>
        <v>0</v>
      </c>
      <c r="R240" s="66" t="s">
        <v>905</v>
      </c>
      <c r="S240" s="66" t="s">
        <v>952</v>
      </c>
      <c r="T240" s="210">
        <v>1175</v>
      </c>
      <c r="U240" s="210">
        <v>777</v>
      </c>
      <c r="V240" s="210">
        <v>500</v>
      </c>
      <c r="W240" s="210">
        <v>2452</v>
      </c>
      <c r="X240" s="246" t="s">
        <v>954</v>
      </c>
      <c r="Y240" s="246" t="s">
        <v>1068</v>
      </c>
      <c r="Z240" s="6" t="s">
        <v>45</v>
      </c>
      <c r="AA240" s="6" t="s">
        <v>46</v>
      </c>
      <c r="AB240" s="6" t="s">
        <v>47</v>
      </c>
      <c r="AC240" s="6" t="s">
        <v>48</v>
      </c>
      <c r="AD240" s="6" t="s">
        <v>49</v>
      </c>
      <c r="AE240" s="6" t="s">
        <v>50</v>
      </c>
      <c r="AF240" s="6" t="s">
        <v>50</v>
      </c>
      <c r="AG240" s="6" t="s">
        <v>50</v>
      </c>
      <c r="AH240" s="6" t="s">
        <v>50</v>
      </c>
      <c r="AI240" s="6" t="s">
        <v>51</v>
      </c>
      <c r="AJ240" s="6" t="s">
        <v>50</v>
      </c>
      <c r="AK240" s="6" t="s">
        <v>50</v>
      </c>
      <c r="AL240" s="6" t="s">
        <v>52</v>
      </c>
      <c r="AM240" s="6" t="s">
        <v>53</v>
      </c>
      <c r="AN240" s="6" t="s">
        <v>50</v>
      </c>
      <c r="AO240" s="6" t="s">
        <v>54</v>
      </c>
    </row>
    <row r="241" spans="2:41" ht="60" customHeight="1" x14ac:dyDescent="0.25">
      <c r="B241" s="207" t="s">
        <v>299</v>
      </c>
      <c r="C241" s="66" t="s">
        <v>174</v>
      </c>
      <c r="D241" s="4" t="s">
        <v>300</v>
      </c>
      <c r="E241" s="4" t="s">
        <v>1027</v>
      </c>
      <c r="F241" s="4" t="s">
        <v>301</v>
      </c>
      <c r="G241" s="4" t="s">
        <v>177</v>
      </c>
      <c r="H241" s="208">
        <v>1</v>
      </c>
      <c r="I241" s="4"/>
      <c r="J241" s="46" t="s">
        <v>1069</v>
      </c>
      <c r="K241" s="4" t="str">
        <f>_xlfn.IFNA(VLOOKUP($J241,WH_Data[],6,FALSE),"")</f>
        <v>MULTI-PARAMETERS MODULE, PHYSIOLOGICAL</v>
      </c>
      <c r="L241" s="4" t="str">
        <f>_xlfn.IFNA(VLOOKUP($J241,WH_Data[],3,FALSE),"")</f>
        <v>PHILIPS MEDICAL SYSTEMS AUSTRA</v>
      </c>
      <c r="M241" s="4" t="str">
        <f>_xlfn.IFNA(VLOOKUP($J241,WH_Data[],5,FALSE),"")</f>
        <v>IntelliVue X3</v>
      </c>
      <c r="N241" s="4" t="str">
        <f>_xlfn.IFNA(VLOOKUP($J241,WH_Data[],7,FALSE),"")</f>
        <v>DE694H5708</v>
      </c>
      <c r="O241" s="4" t="str">
        <f>_xlfn.IFNA(VLOOKUP($J241,WH_Data[],8,FALSE),"")</f>
        <v>ICU FH</v>
      </c>
      <c r="P241" s="8">
        <v>1</v>
      </c>
      <c r="Q241" s="209">
        <f>Mon_ILR2[[#This Row],[Qty Required]]-Mon_ILR2[[#This Row],[QTY Transfer]]</f>
        <v>0</v>
      </c>
      <c r="R241" s="66" t="s">
        <v>905</v>
      </c>
      <c r="S241" s="66" t="s">
        <v>952</v>
      </c>
      <c r="T241" s="210">
        <v>1175</v>
      </c>
      <c r="U241" s="210">
        <v>777</v>
      </c>
      <c r="V241" s="210">
        <v>500</v>
      </c>
      <c r="W241" s="210">
        <v>2452</v>
      </c>
      <c r="X241" s="246" t="s">
        <v>954</v>
      </c>
      <c r="Y241" s="246" t="s">
        <v>1068</v>
      </c>
      <c r="Z241" s="6" t="s">
        <v>45</v>
      </c>
      <c r="AA241" s="6" t="s">
        <v>46</v>
      </c>
      <c r="AB241" s="6" t="s">
        <v>47</v>
      </c>
      <c r="AC241" s="6" t="s">
        <v>48</v>
      </c>
      <c r="AD241" s="6" t="s">
        <v>49</v>
      </c>
      <c r="AE241" s="6" t="s">
        <v>50</v>
      </c>
      <c r="AF241" s="6" t="s">
        <v>50</v>
      </c>
      <c r="AG241" s="6" t="s">
        <v>50</v>
      </c>
      <c r="AH241" s="6" t="s">
        <v>50</v>
      </c>
      <c r="AI241" s="6" t="s">
        <v>51</v>
      </c>
      <c r="AJ241" s="6" t="s">
        <v>50</v>
      </c>
      <c r="AK241" s="6" t="s">
        <v>50</v>
      </c>
      <c r="AL241" s="6" t="s">
        <v>52</v>
      </c>
      <c r="AM241" s="6" t="s">
        <v>53</v>
      </c>
      <c r="AN241" s="6" t="s">
        <v>50</v>
      </c>
      <c r="AO241" s="6" t="s">
        <v>54</v>
      </c>
    </row>
    <row r="242" spans="2:41" ht="60" customHeight="1" x14ac:dyDescent="0.25">
      <c r="B242" s="207" t="s">
        <v>299</v>
      </c>
      <c r="C242" s="66" t="s">
        <v>174</v>
      </c>
      <c r="D242" s="4" t="s">
        <v>300</v>
      </c>
      <c r="E242" s="4" t="s">
        <v>1027</v>
      </c>
      <c r="F242" s="4" t="s">
        <v>301</v>
      </c>
      <c r="G242" s="4" t="s">
        <v>177</v>
      </c>
      <c r="H242" s="208">
        <v>1</v>
      </c>
      <c r="I242" s="4"/>
      <c r="J242" s="46" t="s">
        <v>1070</v>
      </c>
      <c r="K242" s="4" t="str">
        <f>_xlfn.IFNA(VLOOKUP($J242,WH_Data[],6,FALSE),"")</f>
        <v>MULTI-PARAMETERS MODULE, PHYSIOLOGICAL</v>
      </c>
      <c r="L242" s="4" t="str">
        <f>_xlfn.IFNA(VLOOKUP($J242,WH_Data[],3,FALSE),"")</f>
        <v>PHILIPS MEDICAL SYSTEMS AUSTRA</v>
      </c>
      <c r="M242" s="4" t="str">
        <f>_xlfn.IFNA(VLOOKUP($J242,WH_Data[],5,FALSE),"")</f>
        <v>IntelliVue X3</v>
      </c>
      <c r="N242" s="4" t="str">
        <f>_xlfn.IFNA(VLOOKUP($J242,WH_Data[],7,FALSE),"")</f>
        <v>DE694H5710</v>
      </c>
      <c r="O242" s="4" t="str">
        <f>_xlfn.IFNA(VLOOKUP($J242,WH_Data[],8,FALSE),"")</f>
        <v>ICU FH</v>
      </c>
      <c r="P242" s="8">
        <v>1</v>
      </c>
      <c r="Q242" s="209">
        <f>Mon_ILR2[[#This Row],[Qty Required]]-Mon_ILR2[[#This Row],[QTY Transfer]]</f>
        <v>0</v>
      </c>
      <c r="R242" s="66" t="s">
        <v>905</v>
      </c>
      <c r="S242" s="66" t="s">
        <v>952</v>
      </c>
      <c r="T242" s="210">
        <v>1175</v>
      </c>
      <c r="U242" s="210">
        <v>777</v>
      </c>
      <c r="V242" s="210">
        <v>500</v>
      </c>
      <c r="W242" s="210">
        <v>2452</v>
      </c>
      <c r="X242" s="246" t="s">
        <v>954</v>
      </c>
      <c r="Y242" s="246" t="s">
        <v>1068</v>
      </c>
      <c r="Z242" s="6" t="s">
        <v>45</v>
      </c>
      <c r="AA242" s="6" t="s">
        <v>46</v>
      </c>
      <c r="AB242" s="6" t="s">
        <v>47</v>
      </c>
      <c r="AC242" s="6" t="s">
        <v>48</v>
      </c>
      <c r="AD242" s="6" t="s">
        <v>49</v>
      </c>
      <c r="AE242" s="6" t="s">
        <v>50</v>
      </c>
      <c r="AF242" s="6" t="s">
        <v>50</v>
      </c>
      <c r="AG242" s="6" t="s">
        <v>50</v>
      </c>
      <c r="AH242" s="6" t="s">
        <v>50</v>
      </c>
      <c r="AI242" s="6" t="s">
        <v>51</v>
      </c>
      <c r="AJ242" s="6" t="s">
        <v>50</v>
      </c>
      <c r="AK242" s="6" t="s">
        <v>50</v>
      </c>
      <c r="AL242" s="6" t="s">
        <v>52</v>
      </c>
      <c r="AM242" s="6" t="s">
        <v>53</v>
      </c>
      <c r="AN242" s="6" t="s">
        <v>50</v>
      </c>
      <c r="AO242" s="6" t="s">
        <v>54</v>
      </c>
    </row>
    <row r="243" spans="2:41" ht="60" customHeight="1" x14ac:dyDescent="0.25">
      <c r="B243" s="207" t="s">
        <v>299</v>
      </c>
      <c r="C243" s="66" t="s">
        <v>174</v>
      </c>
      <c r="D243" s="4" t="s">
        <v>300</v>
      </c>
      <c r="E243" s="4" t="s">
        <v>1027</v>
      </c>
      <c r="F243" s="4" t="s">
        <v>301</v>
      </c>
      <c r="G243" s="4" t="s">
        <v>177</v>
      </c>
      <c r="H243" s="208">
        <v>1</v>
      </c>
      <c r="I243" s="4"/>
      <c r="J243" s="46" t="s">
        <v>1071</v>
      </c>
      <c r="K243" s="4" t="str">
        <f>_xlfn.IFNA(VLOOKUP($J243,WH_Data[],6,FALSE),"")</f>
        <v>MULTI-PARAMETERS MODULE, PHYSIOLOGICAL</v>
      </c>
      <c r="L243" s="4" t="str">
        <f>_xlfn.IFNA(VLOOKUP($J243,WH_Data[],3,FALSE),"")</f>
        <v>PHILIPS MEDICAL SYSTEMS AUSTRA</v>
      </c>
      <c r="M243" s="4" t="str">
        <f>_xlfn.IFNA(VLOOKUP($J243,WH_Data[],5,FALSE),"")</f>
        <v>IntelliVue X3</v>
      </c>
      <c r="N243" s="4" t="str">
        <f>_xlfn.IFNA(VLOOKUP($J243,WH_Data[],7,FALSE),"")</f>
        <v>DE694H5783</v>
      </c>
      <c r="O243" s="4" t="str">
        <f>_xlfn.IFNA(VLOOKUP($J243,WH_Data[],8,FALSE),"")</f>
        <v>ICU FH</v>
      </c>
      <c r="P243" s="8">
        <v>1</v>
      </c>
      <c r="Q243" s="209">
        <f>Mon_ILR2[[#This Row],[Qty Required]]-Mon_ILR2[[#This Row],[QTY Transfer]]</f>
        <v>0</v>
      </c>
      <c r="R243" s="66" t="s">
        <v>905</v>
      </c>
      <c r="S243" s="66" t="s">
        <v>952</v>
      </c>
      <c r="T243" s="210">
        <v>1175</v>
      </c>
      <c r="U243" s="210">
        <v>777</v>
      </c>
      <c r="V243" s="210">
        <v>500</v>
      </c>
      <c r="W243" s="210">
        <v>2452</v>
      </c>
      <c r="X243" s="246" t="s">
        <v>954</v>
      </c>
      <c r="Y243" s="246" t="s">
        <v>1068</v>
      </c>
      <c r="Z243" s="6" t="s">
        <v>45</v>
      </c>
      <c r="AA243" s="6" t="s">
        <v>46</v>
      </c>
      <c r="AB243" s="6" t="s">
        <v>47</v>
      </c>
      <c r="AC243" s="6" t="s">
        <v>48</v>
      </c>
      <c r="AD243" s="6" t="s">
        <v>49</v>
      </c>
      <c r="AE243" s="6" t="s">
        <v>50</v>
      </c>
      <c r="AF243" s="6" t="s">
        <v>50</v>
      </c>
      <c r="AG243" s="6" t="s">
        <v>50</v>
      </c>
      <c r="AH243" s="6" t="s">
        <v>50</v>
      </c>
      <c r="AI243" s="6" t="s">
        <v>51</v>
      </c>
      <c r="AJ243" s="6" t="s">
        <v>50</v>
      </c>
      <c r="AK243" s="6" t="s">
        <v>50</v>
      </c>
      <c r="AL243" s="6" t="s">
        <v>52</v>
      </c>
      <c r="AM243" s="6" t="s">
        <v>53</v>
      </c>
      <c r="AN243" s="6" t="s">
        <v>50</v>
      </c>
      <c r="AO243" s="6" t="s">
        <v>54</v>
      </c>
    </row>
    <row r="244" spans="2:41" ht="60" customHeight="1" x14ac:dyDescent="0.25">
      <c r="B244" s="207" t="s">
        <v>35</v>
      </c>
      <c r="C244" s="66" t="s">
        <v>887</v>
      </c>
      <c r="D244" s="4" t="s">
        <v>888</v>
      </c>
      <c r="E244" s="4" t="s">
        <v>1027</v>
      </c>
      <c r="F244" s="4" t="s">
        <v>301</v>
      </c>
      <c r="G244" s="4" t="s">
        <v>177</v>
      </c>
      <c r="H244" s="208">
        <v>1</v>
      </c>
      <c r="I244" s="4"/>
      <c r="J244" s="15"/>
      <c r="K244" s="4" t="str">
        <f>_xlfn.IFNA(VLOOKUP($J244,WH_Data[],6,FALSE),"")</f>
        <v/>
      </c>
      <c r="L244" s="4" t="str">
        <f>_xlfn.IFNA(VLOOKUP($J244,WH_Data[],3,FALSE),"")</f>
        <v/>
      </c>
      <c r="M244" s="4" t="str">
        <f>_xlfn.IFNA(VLOOKUP($J244,WH_Data[],5,FALSE),"")</f>
        <v/>
      </c>
      <c r="N244" s="4" t="str">
        <f>_xlfn.IFNA(VLOOKUP($J244,WH_Data[],7,FALSE),"")</f>
        <v/>
      </c>
      <c r="O244" s="4" t="str">
        <f>_xlfn.IFNA(VLOOKUP($J244,WH_Data[],8,FALSE),"")</f>
        <v/>
      </c>
      <c r="P244" s="8"/>
      <c r="Q244" s="209">
        <f>Mon_ILR2[[#This Row],[Qty Required]]-Mon_ILR2[[#This Row],[QTY Transfer]]</f>
        <v>1</v>
      </c>
      <c r="R244" s="66" t="s">
        <v>905</v>
      </c>
      <c r="S244" s="66" t="s">
        <v>946</v>
      </c>
      <c r="T244" s="210">
        <f>_xlfn.IFNA(VLOOKUP(Mon_ILR2[[#This Row],[New Model]],PhilipsLibary[],4,FALSE),"0")</f>
        <v>7999</v>
      </c>
      <c r="U244" s="210">
        <v>777</v>
      </c>
      <c r="V244" s="210">
        <f>_xlfn.IFNA(VLOOKUP(Mon_ILR2[[#This Row],[New Model]],PhilipsLibary[],5,FALSE),"0")</f>
        <v>0</v>
      </c>
      <c r="W244" s="210">
        <f>Mon_ILR2[[#This Row],[Accessory Rate]]+Mon_ILR2[[#This Row],[Mounting Rate]]+Mon_ILR2[[#This Row],[Unit Rate]]*Mon_ILR2[[#This Row],[New Quantity Required ]]</f>
        <v>8776</v>
      </c>
      <c r="X244" s="8"/>
      <c r="Y244" s="246"/>
      <c r="Z244" s="6" t="s">
        <v>45</v>
      </c>
      <c r="AA244" s="6" t="s">
        <v>46</v>
      </c>
      <c r="AB244" s="6" t="s">
        <v>47</v>
      </c>
      <c r="AC244" s="6" t="s">
        <v>48</v>
      </c>
      <c r="AD244" s="6" t="s">
        <v>49</v>
      </c>
      <c r="AE244" s="6" t="s">
        <v>50</v>
      </c>
      <c r="AF244" s="6" t="s">
        <v>50</v>
      </c>
      <c r="AG244" s="6" t="s">
        <v>50</v>
      </c>
      <c r="AH244" s="6" t="s">
        <v>50</v>
      </c>
      <c r="AI244" s="6" t="s">
        <v>51</v>
      </c>
      <c r="AJ244" s="6" t="s">
        <v>50</v>
      </c>
      <c r="AK244" s="6" t="s">
        <v>50</v>
      </c>
      <c r="AL244" s="6" t="s">
        <v>52</v>
      </c>
      <c r="AM244" s="6" t="s">
        <v>53</v>
      </c>
      <c r="AN244" s="6" t="s">
        <v>50</v>
      </c>
      <c r="AO244" s="6" t="s">
        <v>54</v>
      </c>
    </row>
    <row r="245" spans="2:41" ht="60" customHeight="1" x14ac:dyDescent="0.25">
      <c r="B245" s="207" t="s">
        <v>299</v>
      </c>
      <c r="C245" s="66" t="s">
        <v>305</v>
      </c>
      <c r="D245" s="4" t="s">
        <v>306</v>
      </c>
      <c r="E245" s="4" t="s">
        <v>1072</v>
      </c>
      <c r="F245" s="4" t="s">
        <v>981</v>
      </c>
      <c r="G245" s="4" t="s">
        <v>1073</v>
      </c>
      <c r="H245" s="208">
        <v>1</v>
      </c>
      <c r="I245" s="4"/>
      <c r="J245" s="46" t="s">
        <v>1074</v>
      </c>
      <c r="K245" s="4" t="str">
        <f>_xlfn.IFNA(VLOOKUP($J245,WH_Data[],6,FALSE),"")</f>
        <v>FLEXIBLE MODULE SERVER</v>
      </c>
      <c r="L245" s="4" t="str">
        <f>_xlfn.IFNA(VLOOKUP($J245,WH_Data[],3,FALSE),"")</f>
        <v>PHILIPS MEDICAL SYSTEMS AUSTRA</v>
      </c>
      <c r="M245" s="4" t="str">
        <f>_xlfn.IFNA(VLOOKUP($J245,WH_Data[],5,FALSE),"")</f>
        <v>Flexible Module Server FMX-4</v>
      </c>
      <c r="N245" s="4" t="str">
        <f>_xlfn.IFNA(VLOOKUP($J245,WH_Data[],7,FALSE),"")</f>
        <v>DE61617323</v>
      </c>
      <c r="O245" s="4" t="str">
        <f>_xlfn.IFNA(VLOOKUP($J245,WH_Data[],8,FALSE),"")</f>
        <v>ICU FH</v>
      </c>
      <c r="P245" s="8">
        <v>1</v>
      </c>
      <c r="Q245" s="209">
        <f>Mon_ILR2[[#This Row],[Qty Required]]-Mon_ILR2[[#This Row],[QTY Transfer]]</f>
        <v>0</v>
      </c>
      <c r="R245" s="66" t="s">
        <v>905</v>
      </c>
      <c r="S245" s="66" t="s">
        <v>980</v>
      </c>
      <c r="T245" s="210">
        <f>_xlfn.IFNA(VLOOKUP(Mon_ILR2[[#This Row],[New Model]],PhilipsLibary[],4,FALSE),"0")</f>
        <v>418</v>
      </c>
      <c r="U245" s="210">
        <f>_xlfn.IFNA(VLOOKUP(Mon_ILR2[[#This Row],[New Model]],PhilipsLibary[],5,FALSE),"0")</f>
        <v>0</v>
      </c>
      <c r="V245" s="210">
        <f>_xlfn.IFNA(VLOOKUP(Mon_ILR2[[#This Row],[New Model]],PhilipsLibary[],5,FALSE),"0")</f>
        <v>0</v>
      </c>
      <c r="W245" s="210">
        <f>Mon_ILR2[[#This Row],[Accessory Rate]]+Mon_ILR2[[#This Row],[Mounting Rate]]+Mon_ILR2[[#This Row],[Unit Rate]]*Mon_ILR2[[#This Row],[New Quantity Required ]]</f>
        <v>0</v>
      </c>
      <c r="X245" s="8"/>
      <c r="Y245" s="246"/>
    </row>
    <row r="246" spans="2:41" ht="15.75" customHeight="1" x14ac:dyDescent="0.25">
      <c r="B246" s="207" t="s">
        <v>299</v>
      </c>
      <c r="C246" s="66" t="s">
        <v>305</v>
      </c>
      <c r="D246" s="4" t="s">
        <v>309</v>
      </c>
      <c r="E246" s="4" t="s">
        <v>1072</v>
      </c>
      <c r="F246" s="4" t="s">
        <v>981</v>
      </c>
      <c r="G246" s="4" t="s">
        <v>1073</v>
      </c>
      <c r="H246" s="208">
        <v>1</v>
      </c>
      <c r="I246" s="4"/>
      <c r="J246" s="46" t="s">
        <v>1075</v>
      </c>
      <c r="K246" s="4" t="str">
        <f>_xlfn.IFNA(VLOOKUP($J246,WH_Data[],6,FALSE),"")</f>
        <v>FLEXIBLE MODULE SERVER</v>
      </c>
      <c r="L246" s="4" t="str">
        <f>_xlfn.IFNA(VLOOKUP($J246,WH_Data[],3,FALSE),"")</f>
        <v>PHILIPS MEDICAL SYSTEMS AUSTRA</v>
      </c>
      <c r="M246" s="4" t="str">
        <f>_xlfn.IFNA(VLOOKUP($J246,WH_Data[],5,FALSE),"")</f>
        <v>Flexible Module Server FMX-4</v>
      </c>
      <c r="N246" s="4" t="str">
        <f>_xlfn.IFNA(VLOOKUP($J246,WH_Data[],7,FALSE),"")</f>
        <v>DE61617396</v>
      </c>
      <c r="O246" s="4" t="str">
        <f>_xlfn.IFNA(VLOOKUP($J246,WH_Data[],8,FALSE),"")</f>
        <v>ICU FH</v>
      </c>
      <c r="P246" s="8">
        <v>1</v>
      </c>
      <c r="Q246" s="209">
        <f>Mon_ILR2[[#This Row],[Qty Required]]-Mon_ILR2[[#This Row],[QTY Transfer]]</f>
        <v>0</v>
      </c>
      <c r="R246" s="66" t="s">
        <v>905</v>
      </c>
      <c r="S246" s="66" t="s">
        <v>980</v>
      </c>
      <c r="T246" s="210">
        <f>_xlfn.IFNA(VLOOKUP(Mon_ILR2[[#This Row],[New Model]],PhilipsLibary[],4,FALSE),"0")</f>
        <v>418</v>
      </c>
      <c r="U246" s="210">
        <f>_xlfn.IFNA(VLOOKUP(Mon_ILR2[[#This Row],[New Model]],PhilipsLibary[],5,FALSE),"0")</f>
        <v>0</v>
      </c>
      <c r="V246" s="210">
        <f>_xlfn.IFNA(VLOOKUP(Mon_ILR2[[#This Row],[New Model]],PhilipsLibary[],5,FALSE),"0")</f>
        <v>0</v>
      </c>
      <c r="W246" s="210">
        <f>Mon_ILR2[[#This Row],[Accessory Rate]]+Mon_ILR2[[#This Row],[Mounting Rate]]+Mon_ILR2[[#This Row],[Unit Rate]]*Mon_ILR2[[#This Row],[New Quantity Required ]]</f>
        <v>0</v>
      </c>
      <c r="X246" s="8"/>
      <c r="Y246" s="246"/>
    </row>
    <row r="247" spans="2:41" ht="15.75" customHeight="1" x14ac:dyDescent="0.25">
      <c r="B247" s="207" t="s">
        <v>299</v>
      </c>
      <c r="C247" s="66" t="s">
        <v>305</v>
      </c>
      <c r="D247" s="4" t="s">
        <v>311</v>
      </c>
      <c r="E247" s="4" t="s">
        <v>1072</v>
      </c>
      <c r="F247" s="4" t="s">
        <v>981</v>
      </c>
      <c r="G247" s="4" t="s">
        <v>1073</v>
      </c>
      <c r="H247" s="208">
        <v>1</v>
      </c>
      <c r="I247" s="4"/>
      <c r="J247" s="46" t="s">
        <v>1076</v>
      </c>
      <c r="K247" s="4" t="str">
        <f>_xlfn.IFNA(VLOOKUP($J247,WH_Data[],6,FALSE),"")</f>
        <v>FLEXIBLE MODULE SERVER</v>
      </c>
      <c r="L247" s="4" t="str">
        <f>_xlfn.IFNA(VLOOKUP($J247,WH_Data[],3,FALSE),"")</f>
        <v>PHILIPS MEDICAL SYSTEMS AUSTRA</v>
      </c>
      <c r="M247" s="4" t="str">
        <f>_xlfn.IFNA(VLOOKUP($J247,WH_Data[],5,FALSE),"")</f>
        <v>Flexible Module Server FMX-4</v>
      </c>
      <c r="N247" s="4" t="str">
        <f>_xlfn.IFNA(VLOOKUP($J247,WH_Data[],7,FALSE),"")</f>
        <v>DE61617350</v>
      </c>
      <c r="O247" s="4" t="str">
        <f>_xlfn.IFNA(VLOOKUP($J247,WH_Data[],8,FALSE),"")</f>
        <v>ICU FH</v>
      </c>
      <c r="P247" s="8">
        <v>1</v>
      </c>
      <c r="Q247" s="209">
        <f>Mon_ILR2[[#This Row],[Qty Required]]-Mon_ILR2[[#This Row],[QTY Transfer]]</f>
        <v>0</v>
      </c>
      <c r="R247" s="66" t="s">
        <v>905</v>
      </c>
      <c r="S247" s="66" t="s">
        <v>980</v>
      </c>
      <c r="T247" s="210">
        <f>_xlfn.IFNA(VLOOKUP(Mon_ILR2[[#This Row],[New Model]],PhilipsLibary[],4,FALSE),"0")</f>
        <v>418</v>
      </c>
      <c r="U247" s="210">
        <f>_xlfn.IFNA(VLOOKUP(Mon_ILR2[[#This Row],[New Model]],PhilipsLibary[],5,FALSE),"0")</f>
        <v>0</v>
      </c>
      <c r="V247" s="210">
        <f>_xlfn.IFNA(VLOOKUP(Mon_ILR2[[#This Row],[New Model]],PhilipsLibary[],5,FALSE),"0")</f>
        <v>0</v>
      </c>
      <c r="W247" s="210">
        <f>Mon_ILR2[[#This Row],[Accessory Rate]]+Mon_ILR2[[#This Row],[Mounting Rate]]+Mon_ILR2[[#This Row],[Unit Rate]]*Mon_ILR2[[#This Row],[New Quantity Required ]]</f>
        <v>0</v>
      </c>
      <c r="X247" s="8"/>
      <c r="Y247" s="246"/>
    </row>
    <row r="248" spans="2:41" ht="15.75" customHeight="1" x14ac:dyDescent="0.25">
      <c r="B248" s="207" t="s">
        <v>299</v>
      </c>
      <c r="C248" s="66" t="s">
        <v>313</v>
      </c>
      <c r="D248" s="4" t="s">
        <v>314</v>
      </c>
      <c r="E248" s="4" t="s">
        <v>1072</v>
      </c>
      <c r="F248" s="4" t="s">
        <v>981</v>
      </c>
      <c r="G248" s="4" t="s">
        <v>1073</v>
      </c>
      <c r="H248" s="208">
        <v>1</v>
      </c>
      <c r="I248" s="4"/>
      <c r="J248" s="46" t="s">
        <v>1077</v>
      </c>
      <c r="K248" s="4" t="str">
        <f>_xlfn.IFNA(VLOOKUP($J248,WH_Data[],6,FALSE),"")</f>
        <v>FLEXIBLE MODULE SERVER</v>
      </c>
      <c r="L248" s="4" t="str">
        <f>_xlfn.IFNA(VLOOKUP($J248,WH_Data[],3,FALSE),"")</f>
        <v>PHILIPS MEDICAL SYSTEMS AUSTRA</v>
      </c>
      <c r="M248" s="4" t="str">
        <f>_xlfn.IFNA(VLOOKUP($J248,WH_Data[],5,FALSE),"")</f>
        <v>Flexible Module Server FMX-4</v>
      </c>
      <c r="N248" s="4" t="str">
        <f>_xlfn.IFNA(VLOOKUP($J248,WH_Data[],7,FALSE),"")</f>
        <v>DE61617354</v>
      </c>
      <c r="O248" s="4" t="str">
        <f>_xlfn.IFNA(VLOOKUP($J248,WH_Data[],8,FALSE),"")</f>
        <v>ICU FH</v>
      </c>
      <c r="P248" s="8">
        <v>1</v>
      </c>
      <c r="Q248" s="209">
        <f>Mon_ILR2[[#This Row],[Qty Required]]-Mon_ILR2[[#This Row],[QTY Transfer]]</f>
        <v>0</v>
      </c>
      <c r="R248" s="66" t="s">
        <v>905</v>
      </c>
      <c r="S248" s="66" t="s">
        <v>980</v>
      </c>
      <c r="T248" s="210">
        <f>_xlfn.IFNA(VLOOKUP(Mon_ILR2[[#This Row],[New Model]],PhilipsLibary[],4,FALSE),"0")</f>
        <v>418</v>
      </c>
      <c r="U248" s="210">
        <f>_xlfn.IFNA(VLOOKUP(Mon_ILR2[[#This Row],[New Model]],PhilipsLibary[],5,FALSE),"0")</f>
        <v>0</v>
      </c>
      <c r="V248" s="210">
        <f>_xlfn.IFNA(VLOOKUP(Mon_ILR2[[#This Row],[New Model]],PhilipsLibary[],5,FALSE),"0")</f>
        <v>0</v>
      </c>
      <c r="W248" s="210">
        <f>Mon_ILR2[[#This Row],[Accessory Rate]]+Mon_ILR2[[#This Row],[Mounting Rate]]+Mon_ILR2[[#This Row],[Unit Rate]]*Mon_ILR2[[#This Row],[New Quantity Required ]]</f>
        <v>0</v>
      </c>
      <c r="X248" s="8"/>
      <c r="Y248" s="246"/>
    </row>
    <row r="249" spans="2:41" ht="15.75" customHeight="1" x14ac:dyDescent="0.25">
      <c r="B249" s="207" t="s">
        <v>299</v>
      </c>
      <c r="C249" s="66" t="s">
        <v>313</v>
      </c>
      <c r="D249" s="4" t="s">
        <v>317</v>
      </c>
      <c r="E249" s="4" t="s">
        <v>1072</v>
      </c>
      <c r="F249" s="4" t="s">
        <v>981</v>
      </c>
      <c r="G249" s="4" t="s">
        <v>1073</v>
      </c>
      <c r="H249" s="208">
        <v>1</v>
      </c>
      <c r="I249" s="4"/>
      <c r="J249" s="46" t="s">
        <v>1078</v>
      </c>
      <c r="K249" s="4" t="str">
        <f>_xlfn.IFNA(VLOOKUP($J249,WH_Data[],6,FALSE),"")</f>
        <v>FLEXIBLE MODULE SERVER</v>
      </c>
      <c r="L249" s="4" t="str">
        <f>_xlfn.IFNA(VLOOKUP($J249,WH_Data[],3,FALSE),"")</f>
        <v>PHILIPS MEDICAL SYSTEMS AUSTRA</v>
      </c>
      <c r="M249" s="4" t="str">
        <f>_xlfn.IFNA(VLOOKUP($J249,WH_Data[],5,FALSE),"")</f>
        <v>Flexible Module Server FMX-4</v>
      </c>
      <c r="N249" s="4" t="str">
        <f>_xlfn.IFNA(VLOOKUP($J249,WH_Data[],7,FALSE),"")</f>
        <v>DE61617355</v>
      </c>
      <c r="O249" s="4" t="str">
        <f>_xlfn.IFNA(VLOOKUP($J249,WH_Data[],8,FALSE),"")</f>
        <v>ICU FH</v>
      </c>
      <c r="P249" s="8">
        <v>1</v>
      </c>
      <c r="Q249" s="209">
        <f>Mon_ILR2[[#This Row],[Qty Required]]-Mon_ILR2[[#This Row],[QTY Transfer]]</f>
        <v>0</v>
      </c>
      <c r="R249" s="66" t="s">
        <v>905</v>
      </c>
      <c r="S249" s="66" t="s">
        <v>980</v>
      </c>
      <c r="T249" s="210">
        <f>_xlfn.IFNA(VLOOKUP(Mon_ILR2[[#This Row],[New Model]],PhilipsLibary[],4,FALSE),"0")</f>
        <v>418</v>
      </c>
      <c r="U249" s="210">
        <f>_xlfn.IFNA(VLOOKUP(Mon_ILR2[[#This Row],[New Model]],PhilipsLibary[],5,FALSE),"0")</f>
        <v>0</v>
      </c>
      <c r="V249" s="210">
        <f>_xlfn.IFNA(VLOOKUP(Mon_ILR2[[#This Row],[New Model]],PhilipsLibary[],5,FALSE),"0")</f>
        <v>0</v>
      </c>
      <c r="W249" s="210">
        <f>Mon_ILR2[[#This Row],[Accessory Rate]]+Mon_ILR2[[#This Row],[Mounting Rate]]+Mon_ILR2[[#This Row],[Unit Rate]]*Mon_ILR2[[#This Row],[New Quantity Required ]]</f>
        <v>0</v>
      </c>
      <c r="X249" s="8"/>
      <c r="Y249" s="246"/>
    </row>
    <row r="250" spans="2:41" ht="15.75" customHeight="1" x14ac:dyDescent="0.25">
      <c r="B250" s="207" t="s">
        <v>299</v>
      </c>
      <c r="C250" s="66" t="s">
        <v>313</v>
      </c>
      <c r="D250" s="4" t="s">
        <v>319</v>
      </c>
      <c r="E250" s="4" t="s">
        <v>1072</v>
      </c>
      <c r="F250" s="4" t="s">
        <v>981</v>
      </c>
      <c r="G250" s="4" t="s">
        <v>1073</v>
      </c>
      <c r="H250" s="208">
        <v>1</v>
      </c>
      <c r="I250" s="4"/>
      <c r="J250" s="46" t="s">
        <v>1079</v>
      </c>
      <c r="K250" s="4" t="str">
        <f>_xlfn.IFNA(VLOOKUP($J250,WH_Data[],6,FALSE),"")</f>
        <v>FLEXIBLE MODULE SERVER</v>
      </c>
      <c r="L250" s="4" t="str">
        <f>_xlfn.IFNA(VLOOKUP($J250,WH_Data[],3,FALSE),"")</f>
        <v>PHILIPS MEDICAL SYSTEMS AUSTRA</v>
      </c>
      <c r="M250" s="4" t="str">
        <f>_xlfn.IFNA(VLOOKUP($J250,WH_Data[],5,FALSE),"")</f>
        <v>Flexible Module Server FMX-4</v>
      </c>
      <c r="N250" s="4" t="str">
        <f>_xlfn.IFNA(VLOOKUP($J250,WH_Data[],7,FALSE),"")</f>
        <v>DE61617397</v>
      </c>
      <c r="O250" s="4" t="str">
        <f>_xlfn.IFNA(VLOOKUP($J250,WH_Data[],8,FALSE),"")</f>
        <v>ICU FH</v>
      </c>
      <c r="P250" s="8">
        <v>1</v>
      </c>
      <c r="Q250" s="209">
        <f>Mon_ILR2[[#This Row],[Qty Required]]-Mon_ILR2[[#This Row],[QTY Transfer]]</f>
        <v>0</v>
      </c>
      <c r="R250" s="66" t="s">
        <v>905</v>
      </c>
      <c r="S250" s="66" t="s">
        <v>980</v>
      </c>
      <c r="T250" s="210">
        <f>_xlfn.IFNA(VLOOKUP(Mon_ILR2[[#This Row],[New Model]],PhilipsLibary[],4,FALSE),"0")</f>
        <v>418</v>
      </c>
      <c r="U250" s="210">
        <f>_xlfn.IFNA(VLOOKUP(Mon_ILR2[[#This Row],[New Model]],PhilipsLibary[],5,FALSE),"0")</f>
        <v>0</v>
      </c>
      <c r="V250" s="210">
        <f>_xlfn.IFNA(VLOOKUP(Mon_ILR2[[#This Row],[New Model]],PhilipsLibary[],5,FALSE),"0")</f>
        <v>0</v>
      </c>
      <c r="W250" s="210">
        <f>Mon_ILR2[[#This Row],[Accessory Rate]]+Mon_ILR2[[#This Row],[Mounting Rate]]+Mon_ILR2[[#This Row],[Unit Rate]]*Mon_ILR2[[#This Row],[New Quantity Required ]]</f>
        <v>0</v>
      </c>
      <c r="X250" s="8"/>
      <c r="Y250" s="246"/>
    </row>
    <row r="251" spans="2:41" ht="15.75" customHeight="1" x14ac:dyDescent="0.25">
      <c r="B251" s="207" t="s">
        <v>299</v>
      </c>
      <c r="C251" s="66" t="s">
        <v>313</v>
      </c>
      <c r="D251" s="4" t="s">
        <v>322</v>
      </c>
      <c r="E251" s="4" t="s">
        <v>1072</v>
      </c>
      <c r="F251" s="4" t="s">
        <v>981</v>
      </c>
      <c r="G251" s="4" t="s">
        <v>1073</v>
      </c>
      <c r="H251" s="208">
        <v>1</v>
      </c>
      <c r="I251" s="4"/>
      <c r="J251" s="46" t="s">
        <v>1080</v>
      </c>
      <c r="K251" s="4" t="str">
        <f>_xlfn.IFNA(VLOOKUP($J251,WH_Data[],6,FALSE),"")</f>
        <v>FLEXIBLE MODULE SERVER</v>
      </c>
      <c r="L251" s="4" t="str">
        <f>_xlfn.IFNA(VLOOKUP($J251,WH_Data[],3,FALSE),"")</f>
        <v>PHILIPS MEDICAL SYSTEMS AUSTRA</v>
      </c>
      <c r="M251" s="4" t="str">
        <f>_xlfn.IFNA(VLOOKUP($J251,WH_Data[],5,FALSE),"")</f>
        <v>Flexible Module Server FMX-4</v>
      </c>
      <c r="N251" s="4" t="str">
        <f>_xlfn.IFNA(VLOOKUP($J251,WH_Data[],7,FALSE),"")</f>
        <v>DE61617353</v>
      </c>
      <c r="O251" s="4" t="str">
        <f>_xlfn.IFNA(VLOOKUP($J251,WH_Data[],8,FALSE),"")</f>
        <v>ICU FH</v>
      </c>
      <c r="P251" s="8">
        <v>1</v>
      </c>
      <c r="Q251" s="209">
        <f>Mon_ILR2[[#This Row],[Qty Required]]-Mon_ILR2[[#This Row],[QTY Transfer]]</f>
        <v>0</v>
      </c>
      <c r="R251" s="66" t="s">
        <v>905</v>
      </c>
      <c r="S251" s="66" t="s">
        <v>980</v>
      </c>
      <c r="T251" s="210">
        <f>_xlfn.IFNA(VLOOKUP(Mon_ILR2[[#This Row],[New Model]],PhilipsLibary[],4,FALSE),"0")</f>
        <v>418</v>
      </c>
      <c r="U251" s="210">
        <f>_xlfn.IFNA(VLOOKUP(Mon_ILR2[[#This Row],[New Model]],PhilipsLibary[],5,FALSE),"0")</f>
        <v>0</v>
      </c>
      <c r="V251" s="210">
        <f>_xlfn.IFNA(VLOOKUP(Mon_ILR2[[#This Row],[New Model]],PhilipsLibary[],5,FALSE),"0")</f>
        <v>0</v>
      </c>
      <c r="W251" s="210">
        <f>Mon_ILR2[[#This Row],[Accessory Rate]]+Mon_ILR2[[#This Row],[Mounting Rate]]+Mon_ILR2[[#This Row],[Unit Rate]]*Mon_ILR2[[#This Row],[New Quantity Required ]]</f>
        <v>0</v>
      </c>
      <c r="X251" s="8"/>
      <c r="Y251" s="246"/>
    </row>
    <row r="252" spans="2:41" ht="15.75" customHeight="1" x14ac:dyDescent="0.25">
      <c r="B252" s="207" t="s">
        <v>299</v>
      </c>
      <c r="C252" s="66" t="s">
        <v>324</v>
      </c>
      <c r="D252" s="4" t="s">
        <v>325</v>
      </c>
      <c r="E252" s="4" t="s">
        <v>1072</v>
      </c>
      <c r="F252" s="4" t="s">
        <v>981</v>
      </c>
      <c r="G252" s="4" t="s">
        <v>1073</v>
      </c>
      <c r="H252" s="208">
        <v>1</v>
      </c>
      <c r="I252" s="4"/>
      <c r="J252" s="46" t="s">
        <v>1081</v>
      </c>
      <c r="K252" s="4" t="str">
        <f>_xlfn.IFNA(VLOOKUP($J252,WH_Data[],6,FALSE),"")</f>
        <v>FLEXIBLE MODULE SERVER</v>
      </c>
      <c r="L252" s="4" t="str">
        <f>_xlfn.IFNA(VLOOKUP($J252,WH_Data[],3,FALSE),"")</f>
        <v>PHILIPS MEDICAL SYSTEMS AUSTRA</v>
      </c>
      <c r="M252" s="4" t="str">
        <f>_xlfn.IFNA(VLOOKUP($J252,WH_Data[],5,FALSE),"")</f>
        <v>Flexible Module Server FMX-4</v>
      </c>
      <c r="N252" s="4" t="str">
        <f>_xlfn.IFNA(VLOOKUP($J252,WH_Data[],7,FALSE),"")</f>
        <v>DE61617310</v>
      </c>
      <c r="O252" s="4" t="str">
        <f>_xlfn.IFNA(VLOOKUP($J252,WH_Data[],8,FALSE),"")</f>
        <v>ICU FH</v>
      </c>
      <c r="P252" s="8">
        <v>1</v>
      </c>
      <c r="Q252" s="209">
        <f>Mon_ILR2[[#This Row],[Qty Required]]-Mon_ILR2[[#This Row],[QTY Transfer]]</f>
        <v>0</v>
      </c>
      <c r="R252" s="66" t="s">
        <v>905</v>
      </c>
      <c r="S252" s="66" t="s">
        <v>980</v>
      </c>
      <c r="T252" s="210">
        <f>_xlfn.IFNA(VLOOKUP(Mon_ILR2[[#This Row],[New Model]],PhilipsLibary[],4,FALSE),"0")</f>
        <v>418</v>
      </c>
      <c r="U252" s="210">
        <f>_xlfn.IFNA(VLOOKUP(Mon_ILR2[[#This Row],[New Model]],PhilipsLibary[],5,FALSE),"0")</f>
        <v>0</v>
      </c>
      <c r="V252" s="210">
        <f>_xlfn.IFNA(VLOOKUP(Mon_ILR2[[#This Row],[New Model]],PhilipsLibary[],5,FALSE),"0")</f>
        <v>0</v>
      </c>
      <c r="W252" s="210">
        <f>Mon_ILR2[[#This Row],[Accessory Rate]]+Mon_ILR2[[#This Row],[Mounting Rate]]+Mon_ILR2[[#This Row],[Unit Rate]]*Mon_ILR2[[#This Row],[New Quantity Required ]]</f>
        <v>0</v>
      </c>
      <c r="X252" s="8"/>
      <c r="Y252" s="246"/>
    </row>
    <row r="253" spans="2:41" ht="15.75" customHeight="1" x14ac:dyDescent="0.25">
      <c r="B253" s="207" t="s">
        <v>299</v>
      </c>
      <c r="C253" s="66" t="s">
        <v>305</v>
      </c>
      <c r="D253" s="4" t="s">
        <v>327</v>
      </c>
      <c r="E253" s="4" t="s">
        <v>1072</v>
      </c>
      <c r="F253" s="4" t="s">
        <v>981</v>
      </c>
      <c r="G253" s="4" t="s">
        <v>1073</v>
      </c>
      <c r="H253" s="208">
        <v>1</v>
      </c>
      <c r="I253" s="4"/>
      <c r="J253" s="46" t="s">
        <v>1082</v>
      </c>
      <c r="K253" s="4" t="str">
        <f>_xlfn.IFNA(VLOOKUP($J253,WH_Data[],6,FALSE),"")</f>
        <v>FLEXIBLE MODULE SERVER</v>
      </c>
      <c r="L253" s="4" t="str">
        <f>_xlfn.IFNA(VLOOKUP($J253,WH_Data[],3,FALSE),"")</f>
        <v>PHILIPS MEDICAL SYSTEMS AUSTRA</v>
      </c>
      <c r="M253" s="4" t="str">
        <f>_xlfn.IFNA(VLOOKUP($J253,WH_Data[],5,FALSE),"")</f>
        <v>Flexible Module Server FMX-4</v>
      </c>
      <c r="N253" s="4" t="str">
        <f>_xlfn.IFNA(VLOOKUP($J253,WH_Data[],7,FALSE),"")</f>
        <v>DE61617391</v>
      </c>
      <c r="O253" s="4" t="str">
        <f>_xlfn.IFNA(VLOOKUP($J253,WH_Data[],8,FALSE),"")</f>
        <v>ICU FH</v>
      </c>
      <c r="P253" s="8">
        <v>1</v>
      </c>
      <c r="Q253" s="209">
        <f>Mon_ILR2[[#This Row],[Qty Required]]-Mon_ILR2[[#This Row],[QTY Transfer]]</f>
        <v>0</v>
      </c>
      <c r="R253" s="66" t="s">
        <v>905</v>
      </c>
      <c r="S253" s="66" t="s">
        <v>980</v>
      </c>
      <c r="T253" s="210">
        <f>_xlfn.IFNA(VLOOKUP(Mon_ILR2[[#This Row],[New Model]],PhilipsLibary[],4,FALSE),"0")</f>
        <v>418</v>
      </c>
      <c r="U253" s="210">
        <f>_xlfn.IFNA(VLOOKUP(Mon_ILR2[[#This Row],[New Model]],PhilipsLibary[],5,FALSE),"0")</f>
        <v>0</v>
      </c>
      <c r="V253" s="210">
        <f>_xlfn.IFNA(VLOOKUP(Mon_ILR2[[#This Row],[New Model]],PhilipsLibary[],5,FALSE),"0")</f>
        <v>0</v>
      </c>
      <c r="W253" s="210">
        <f>Mon_ILR2[[#This Row],[Accessory Rate]]+Mon_ILR2[[#This Row],[Mounting Rate]]+Mon_ILR2[[#This Row],[Unit Rate]]*Mon_ILR2[[#This Row],[New Quantity Required ]]</f>
        <v>0</v>
      </c>
      <c r="X253" s="8"/>
      <c r="Y253" s="246"/>
    </row>
    <row r="254" spans="2:41" ht="15.75" customHeight="1" x14ac:dyDescent="0.25">
      <c r="B254" s="207" t="s">
        <v>299</v>
      </c>
      <c r="C254" s="66" t="s">
        <v>305</v>
      </c>
      <c r="D254" s="4" t="s">
        <v>329</v>
      </c>
      <c r="E254" s="4" t="s">
        <v>1072</v>
      </c>
      <c r="F254" s="4" t="s">
        <v>981</v>
      </c>
      <c r="G254" s="4" t="s">
        <v>1073</v>
      </c>
      <c r="H254" s="208">
        <v>1</v>
      </c>
      <c r="I254" s="4"/>
      <c r="J254" s="46" t="s">
        <v>1083</v>
      </c>
      <c r="K254" s="4" t="str">
        <f>_xlfn.IFNA(VLOOKUP($J254,WH_Data[],6,FALSE),"")</f>
        <v>FLEXIBLE MODULE SERVER</v>
      </c>
      <c r="L254" s="4" t="str">
        <f>_xlfn.IFNA(VLOOKUP($J254,WH_Data[],3,FALSE),"")</f>
        <v>PHILIPS MEDICAL SYSTEMS AUSTRA</v>
      </c>
      <c r="M254" s="4" t="str">
        <f>_xlfn.IFNA(VLOOKUP($J254,WH_Data[],5,FALSE),"")</f>
        <v>Flexible Module Server FMX-4</v>
      </c>
      <c r="N254" s="4" t="str">
        <f>_xlfn.IFNA(VLOOKUP($J254,WH_Data[],7,FALSE),"")</f>
        <v>DE61617351</v>
      </c>
      <c r="O254" s="4" t="str">
        <f>_xlfn.IFNA(VLOOKUP($J254,WH_Data[],8,FALSE),"")</f>
        <v>ICU FH</v>
      </c>
      <c r="P254" s="8">
        <v>1</v>
      </c>
      <c r="Q254" s="209">
        <f>Mon_ILR2[[#This Row],[Qty Required]]-Mon_ILR2[[#This Row],[QTY Transfer]]</f>
        <v>0</v>
      </c>
      <c r="R254" s="66" t="s">
        <v>905</v>
      </c>
      <c r="S254" s="66" t="s">
        <v>980</v>
      </c>
      <c r="T254" s="210">
        <f>_xlfn.IFNA(VLOOKUP(Mon_ILR2[[#This Row],[New Model]],PhilipsLibary[],4,FALSE),"0")</f>
        <v>418</v>
      </c>
      <c r="U254" s="210">
        <f>_xlfn.IFNA(VLOOKUP(Mon_ILR2[[#This Row],[New Model]],PhilipsLibary[],5,FALSE),"0")</f>
        <v>0</v>
      </c>
      <c r="V254" s="210">
        <f>_xlfn.IFNA(VLOOKUP(Mon_ILR2[[#This Row],[New Model]],PhilipsLibary[],5,FALSE),"0")</f>
        <v>0</v>
      </c>
      <c r="W254" s="210">
        <f>Mon_ILR2[[#This Row],[Accessory Rate]]+Mon_ILR2[[#This Row],[Mounting Rate]]+Mon_ILR2[[#This Row],[Unit Rate]]*Mon_ILR2[[#This Row],[New Quantity Required ]]</f>
        <v>0</v>
      </c>
      <c r="X254" s="8"/>
      <c r="Y254" s="246"/>
    </row>
    <row r="255" spans="2:41" ht="15.75" customHeight="1" x14ac:dyDescent="0.25">
      <c r="B255" s="207" t="s">
        <v>299</v>
      </c>
      <c r="C255" s="66" t="s">
        <v>305</v>
      </c>
      <c r="D255" s="4" t="s">
        <v>331</v>
      </c>
      <c r="E255" s="4" t="s">
        <v>1072</v>
      </c>
      <c r="F255" s="4" t="s">
        <v>981</v>
      </c>
      <c r="G255" s="4" t="s">
        <v>1073</v>
      </c>
      <c r="H255" s="208">
        <v>1</v>
      </c>
      <c r="I255" s="4"/>
      <c r="J255" s="46" t="s">
        <v>1084</v>
      </c>
      <c r="K255" s="4" t="str">
        <f>_xlfn.IFNA(VLOOKUP($J255,WH_Data[],6,FALSE),"")</f>
        <v>FLEXIBLE MODULE SERVER</v>
      </c>
      <c r="L255" s="4" t="str">
        <f>_xlfn.IFNA(VLOOKUP($J255,WH_Data[],3,FALSE),"")</f>
        <v>PHILIPS MEDICAL SYSTEMS AUSTRA</v>
      </c>
      <c r="M255" s="4" t="str">
        <f>_xlfn.IFNA(VLOOKUP($J255,WH_Data[],5,FALSE),"")</f>
        <v>Flexible Module Server FMX-4</v>
      </c>
      <c r="N255" s="4" t="str">
        <f>_xlfn.IFNA(VLOOKUP($J255,WH_Data[],7,FALSE),"")</f>
        <v>DE61617352</v>
      </c>
      <c r="O255" s="4" t="str">
        <f>_xlfn.IFNA(VLOOKUP($J255,WH_Data[],8,FALSE),"")</f>
        <v>ICU FH</v>
      </c>
      <c r="P255" s="8">
        <v>1</v>
      </c>
      <c r="Q255" s="209">
        <f>Mon_ILR2[[#This Row],[Qty Required]]-Mon_ILR2[[#This Row],[QTY Transfer]]</f>
        <v>0</v>
      </c>
      <c r="R255" s="66" t="s">
        <v>905</v>
      </c>
      <c r="S255" s="66" t="s">
        <v>980</v>
      </c>
      <c r="T255" s="210">
        <f>_xlfn.IFNA(VLOOKUP(Mon_ILR2[[#This Row],[New Model]],PhilipsLibary[],4,FALSE),"0")</f>
        <v>418</v>
      </c>
      <c r="U255" s="210">
        <f>_xlfn.IFNA(VLOOKUP(Mon_ILR2[[#This Row],[New Model]],PhilipsLibary[],5,FALSE),"0")</f>
        <v>0</v>
      </c>
      <c r="V255" s="210">
        <f>_xlfn.IFNA(VLOOKUP(Mon_ILR2[[#This Row],[New Model]],PhilipsLibary[],5,FALSE),"0")</f>
        <v>0</v>
      </c>
      <c r="W255" s="210">
        <f>Mon_ILR2[[#This Row],[Accessory Rate]]+Mon_ILR2[[#This Row],[Mounting Rate]]+Mon_ILR2[[#This Row],[Unit Rate]]*Mon_ILR2[[#This Row],[New Quantity Required ]]</f>
        <v>0</v>
      </c>
      <c r="X255" s="8"/>
      <c r="Y255" s="246"/>
    </row>
    <row r="256" spans="2:41" ht="15.75" customHeight="1" x14ac:dyDescent="0.25">
      <c r="B256" s="207" t="s">
        <v>299</v>
      </c>
      <c r="C256" s="66" t="s">
        <v>333</v>
      </c>
      <c r="D256" s="4" t="s">
        <v>334</v>
      </c>
      <c r="E256" s="4" t="s">
        <v>1072</v>
      </c>
      <c r="F256" s="4" t="s">
        <v>981</v>
      </c>
      <c r="G256" s="4" t="s">
        <v>1073</v>
      </c>
      <c r="H256" s="208">
        <v>1</v>
      </c>
      <c r="I256" s="4"/>
      <c r="J256" s="46" t="s">
        <v>1085</v>
      </c>
      <c r="K256" s="4" t="str">
        <f>_xlfn.IFNA(VLOOKUP($J256,WH_Data[],6,FALSE),"")</f>
        <v>FLEXIBLE MODULE SERVER</v>
      </c>
      <c r="L256" s="4" t="str">
        <f>_xlfn.IFNA(VLOOKUP($J256,WH_Data[],3,FALSE),"")</f>
        <v>PHILIPS MEDICAL SYSTEMS AUSTRA</v>
      </c>
      <c r="M256" s="4" t="str">
        <f>_xlfn.IFNA(VLOOKUP($J256,WH_Data[],5,FALSE),"")</f>
        <v>Flexible Module Server FMX-4</v>
      </c>
      <c r="N256" s="4" t="str">
        <f>_xlfn.IFNA(VLOOKUP($J256,WH_Data[],7,FALSE),"")</f>
        <v>DE61617313</v>
      </c>
      <c r="O256" s="4" t="str">
        <f>_xlfn.IFNA(VLOOKUP($J256,WH_Data[],8,FALSE),"")</f>
        <v>ICU FH</v>
      </c>
      <c r="P256" s="8">
        <v>1</v>
      </c>
      <c r="Q256" s="209">
        <f>Mon_ILR2[[#This Row],[Qty Required]]-Mon_ILR2[[#This Row],[QTY Transfer]]</f>
        <v>0</v>
      </c>
      <c r="R256" s="66" t="s">
        <v>905</v>
      </c>
      <c r="S256" s="66" t="s">
        <v>980</v>
      </c>
      <c r="T256" s="210">
        <f>_xlfn.IFNA(VLOOKUP(Mon_ILR2[[#This Row],[New Model]],PhilipsLibary[],4,FALSE),"0")</f>
        <v>418</v>
      </c>
      <c r="U256" s="210">
        <f>_xlfn.IFNA(VLOOKUP(Mon_ILR2[[#This Row],[New Model]],PhilipsLibary[],5,FALSE),"0")</f>
        <v>0</v>
      </c>
      <c r="V256" s="210">
        <f>_xlfn.IFNA(VLOOKUP(Mon_ILR2[[#This Row],[New Model]],PhilipsLibary[],5,FALSE),"0")</f>
        <v>0</v>
      </c>
      <c r="W256" s="210">
        <f>Mon_ILR2[[#This Row],[Accessory Rate]]+Mon_ILR2[[#This Row],[Mounting Rate]]+Mon_ILR2[[#This Row],[Unit Rate]]*Mon_ILR2[[#This Row],[New Quantity Required ]]</f>
        <v>0</v>
      </c>
      <c r="X256" s="8"/>
      <c r="Y256" s="246"/>
    </row>
    <row r="257" spans="2:25" ht="15.75" customHeight="1" x14ac:dyDescent="0.25">
      <c r="B257" s="207" t="s">
        <v>299</v>
      </c>
      <c r="C257" s="66" t="s">
        <v>333</v>
      </c>
      <c r="D257" s="4" t="s">
        <v>336</v>
      </c>
      <c r="E257" s="4" t="s">
        <v>1072</v>
      </c>
      <c r="F257" s="4" t="s">
        <v>981</v>
      </c>
      <c r="G257" s="4" t="s">
        <v>1073</v>
      </c>
      <c r="H257" s="208">
        <v>1</v>
      </c>
      <c r="I257" s="4"/>
      <c r="J257" s="46" t="s">
        <v>1086</v>
      </c>
      <c r="K257" s="4" t="str">
        <f>_xlfn.IFNA(VLOOKUP($J257,WH_Data[],6,FALSE),"")</f>
        <v>FLEXIBLE MODULE SERVER</v>
      </c>
      <c r="L257" s="4" t="str">
        <f>_xlfn.IFNA(VLOOKUP($J257,WH_Data[],3,FALSE),"")</f>
        <v>PHILIPS MEDICAL SYSTEMS AUSTRA</v>
      </c>
      <c r="M257" s="4" t="str">
        <f>_xlfn.IFNA(VLOOKUP($J257,WH_Data[],5,FALSE),"")</f>
        <v>Flexible Module Server FMX-4</v>
      </c>
      <c r="N257" s="4" t="str">
        <f>_xlfn.IFNA(VLOOKUP($J257,WH_Data[],7,FALSE),"")</f>
        <v>DE61617323</v>
      </c>
      <c r="O257" s="4" t="str">
        <f>_xlfn.IFNA(VLOOKUP($J257,WH_Data[],8,FALSE),"")</f>
        <v>ICU FH</v>
      </c>
      <c r="P257" s="8">
        <v>1</v>
      </c>
      <c r="Q257" s="209">
        <f>Mon_ILR2[[#This Row],[Qty Required]]-Mon_ILR2[[#This Row],[QTY Transfer]]</f>
        <v>0</v>
      </c>
      <c r="R257" s="66" t="s">
        <v>905</v>
      </c>
      <c r="S257" s="66" t="s">
        <v>980</v>
      </c>
      <c r="T257" s="210">
        <f>_xlfn.IFNA(VLOOKUP(Mon_ILR2[[#This Row],[New Model]],PhilipsLibary[],4,FALSE),"0")</f>
        <v>418</v>
      </c>
      <c r="U257" s="210">
        <f>_xlfn.IFNA(VLOOKUP(Mon_ILR2[[#This Row],[New Model]],PhilipsLibary[],5,FALSE),"0")</f>
        <v>0</v>
      </c>
      <c r="V257" s="210">
        <f>_xlfn.IFNA(VLOOKUP(Mon_ILR2[[#This Row],[New Model]],PhilipsLibary[],5,FALSE),"0")</f>
        <v>0</v>
      </c>
      <c r="W257" s="210">
        <f>Mon_ILR2[[#This Row],[Accessory Rate]]+Mon_ILR2[[#This Row],[Mounting Rate]]+Mon_ILR2[[#This Row],[Unit Rate]]*Mon_ILR2[[#This Row],[New Quantity Required ]]</f>
        <v>0</v>
      </c>
      <c r="X257" s="8"/>
      <c r="Y257" s="246"/>
    </row>
    <row r="258" spans="2:25" ht="15.75" customHeight="1" x14ac:dyDescent="0.25">
      <c r="B258" s="207" t="s">
        <v>299</v>
      </c>
      <c r="C258" s="66" t="s">
        <v>305</v>
      </c>
      <c r="D258" s="4" t="s">
        <v>338</v>
      </c>
      <c r="E258" s="4" t="s">
        <v>1072</v>
      </c>
      <c r="F258" s="4" t="s">
        <v>981</v>
      </c>
      <c r="G258" s="4" t="s">
        <v>1073</v>
      </c>
      <c r="H258" s="208">
        <v>1</v>
      </c>
      <c r="I258" s="4"/>
      <c r="J258" s="46" t="s">
        <v>1087</v>
      </c>
      <c r="K258" s="4" t="str">
        <f>_xlfn.IFNA(VLOOKUP($J258,WH_Data[],6,FALSE),"")</f>
        <v>MODULE RACK</v>
      </c>
      <c r="L258" s="4" t="str">
        <f>_xlfn.IFNA(VLOOKUP($J258,WH_Data[],3,FALSE),"")</f>
        <v>PHILIPS MEDICAL SYSTEMS AUSTRA</v>
      </c>
      <c r="M258" s="4" t="str">
        <f>_xlfn.IFNA(VLOOKUP($J258,WH_Data[],5,FALSE),"")</f>
        <v>IntelliVue FMX-4</v>
      </c>
      <c r="N258" s="4" t="str">
        <f>_xlfn.IFNA(VLOOKUP($J258,WH_Data[],7,FALSE),"")</f>
        <v>DE61637308</v>
      </c>
      <c r="O258" s="4" t="str">
        <f>_xlfn.IFNA(VLOOKUP($J258,WH_Data[],8,FALSE),"")</f>
        <v>ICU expansion</v>
      </c>
      <c r="P258" s="8">
        <v>1</v>
      </c>
      <c r="Q258" s="209">
        <f>Mon_ILR2[[#This Row],[Qty Required]]-Mon_ILR2[[#This Row],[QTY Transfer]]</f>
        <v>0</v>
      </c>
      <c r="R258" s="66" t="s">
        <v>905</v>
      </c>
      <c r="S258" s="66" t="s">
        <v>980</v>
      </c>
      <c r="T258" s="210">
        <f>_xlfn.IFNA(VLOOKUP(Mon_ILR2[[#This Row],[New Model]],PhilipsLibary[],4,FALSE),"0")</f>
        <v>418</v>
      </c>
      <c r="U258" s="210">
        <f>_xlfn.IFNA(VLOOKUP(Mon_ILR2[[#This Row],[New Model]],PhilipsLibary[],5,FALSE),"0")</f>
        <v>0</v>
      </c>
      <c r="V258" s="210">
        <f>_xlfn.IFNA(VLOOKUP(Mon_ILR2[[#This Row],[New Model]],PhilipsLibary[],5,FALSE),"0")</f>
        <v>0</v>
      </c>
      <c r="W258" s="210">
        <f>Mon_ILR2[[#This Row],[Accessory Rate]]+Mon_ILR2[[#This Row],[Mounting Rate]]+Mon_ILR2[[#This Row],[Unit Rate]]*Mon_ILR2[[#This Row],[New Quantity Required ]]</f>
        <v>0</v>
      </c>
      <c r="X258" s="8"/>
      <c r="Y258" s="246"/>
    </row>
    <row r="259" spans="2:25" ht="15.75" customHeight="1" x14ac:dyDescent="0.25">
      <c r="B259" s="207" t="s">
        <v>299</v>
      </c>
      <c r="C259" s="66" t="s">
        <v>305</v>
      </c>
      <c r="D259" s="4" t="s">
        <v>342</v>
      </c>
      <c r="E259" s="4" t="s">
        <v>1072</v>
      </c>
      <c r="F259" s="4" t="s">
        <v>981</v>
      </c>
      <c r="G259" s="4" t="s">
        <v>1073</v>
      </c>
      <c r="H259" s="208">
        <v>1</v>
      </c>
      <c r="I259" s="4"/>
      <c r="J259" s="46" t="s">
        <v>1088</v>
      </c>
      <c r="K259" s="4" t="str">
        <f>_xlfn.IFNA(VLOOKUP($J259,WH_Data[],6,FALSE),"")</f>
        <v>MODULE RACK</v>
      </c>
      <c r="L259" s="4" t="str">
        <f>_xlfn.IFNA(VLOOKUP($J259,WH_Data[],3,FALSE),"")</f>
        <v>PHILIPS MEDICAL SYSTEMS AUSTRA</v>
      </c>
      <c r="M259" s="4" t="str">
        <f>_xlfn.IFNA(VLOOKUP($J259,WH_Data[],5,FALSE),"")</f>
        <v>IntelliVue FMX-4</v>
      </c>
      <c r="N259" s="4" t="str">
        <f>_xlfn.IFNA(VLOOKUP($J259,WH_Data[],7,FALSE),"")</f>
        <v>DE61637299</v>
      </c>
      <c r="O259" s="4" t="str">
        <f>_xlfn.IFNA(VLOOKUP($J259,WH_Data[],8,FALSE),"")</f>
        <v>ICU expansion</v>
      </c>
      <c r="P259" s="8">
        <v>1</v>
      </c>
      <c r="Q259" s="209">
        <f>Mon_ILR2[[#This Row],[Qty Required]]-Mon_ILR2[[#This Row],[QTY Transfer]]</f>
        <v>0</v>
      </c>
      <c r="R259" s="66" t="s">
        <v>905</v>
      </c>
      <c r="S259" s="66" t="s">
        <v>980</v>
      </c>
      <c r="T259" s="210">
        <f>_xlfn.IFNA(VLOOKUP(Mon_ILR2[[#This Row],[New Model]],PhilipsLibary[],4,FALSE),"0")</f>
        <v>418</v>
      </c>
      <c r="U259" s="210">
        <f>_xlfn.IFNA(VLOOKUP(Mon_ILR2[[#This Row],[New Model]],PhilipsLibary[],5,FALSE),"0")</f>
        <v>0</v>
      </c>
      <c r="V259" s="210">
        <f>_xlfn.IFNA(VLOOKUP(Mon_ILR2[[#This Row],[New Model]],PhilipsLibary[],5,FALSE),"0")</f>
        <v>0</v>
      </c>
      <c r="W259" s="210">
        <f>Mon_ILR2[[#This Row],[Accessory Rate]]+Mon_ILR2[[#This Row],[Mounting Rate]]+Mon_ILR2[[#This Row],[Unit Rate]]*Mon_ILR2[[#This Row],[New Quantity Required ]]</f>
        <v>0</v>
      </c>
      <c r="X259" s="8"/>
      <c r="Y259" s="246"/>
    </row>
    <row r="260" spans="2:25" ht="15.75" customHeight="1" x14ac:dyDescent="0.25">
      <c r="B260" s="207" t="s">
        <v>299</v>
      </c>
      <c r="C260" s="66" t="s">
        <v>305</v>
      </c>
      <c r="D260" s="4" t="s">
        <v>345</v>
      </c>
      <c r="E260" s="4" t="s">
        <v>1072</v>
      </c>
      <c r="F260" s="4" t="s">
        <v>981</v>
      </c>
      <c r="G260" s="4" t="s">
        <v>1073</v>
      </c>
      <c r="H260" s="208">
        <v>1</v>
      </c>
      <c r="I260" s="4"/>
      <c r="J260" s="46" t="s">
        <v>1089</v>
      </c>
      <c r="K260" s="4" t="str">
        <f>_xlfn.IFNA(VLOOKUP($J260,WH_Data[],6,FALSE),"")</f>
        <v>MODULE RACK</v>
      </c>
      <c r="L260" s="4" t="str">
        <f>_xlfn.IFNA(VLOOKUP($J260,WH_Data[],3,FALSE),"")</f>
        <v>PHILIPS MEDICAL SYSTEMS AUSTRA</v>
      </c>
      <c r="M260" s="4" t="str">
        <f>_xlfn.IFNA(VLOOKUP($J260,WH_Data[],5,FALSE),"")</f>
        <v>IntelliVue FMX-4</v>
      </c>
      <c r="N260" s="4" t="str">
        <f>_xlfn.IFNA(VLOOKUP($J260,WH_Data[],7,FALSE),"")</f>
        <v>DE61637305</v>
      </c>
      <c r="O260" s="4" t="str">
        <f>_xlfn.IFNA(VLOOKUP($J260,WH_Data[],8,FALSE),"")</f>
        <v>ICU expansion</v>
      </c>
      <c r="P260" s="8">
        <v>1</v>
      </c>
      <c r="Q260" s="209">
        <f>Mon_ILR2[[#This Row],[Qty Required]]-Mon_ILR2[[#This Row],[QTY Transfer]]</f>
        <v>0</v>
      </c>
      <c r="R260" s="66" t="s">
        <v>905</v>
      </c>
      <c r="S260" s="66" t="s">
        <v>980</v>
      </c>
      <c r="T260" s="210">
        <f>_xlfn.IFNA(VLOOKUP(Mon_ILR2[[#This Row],[New Model]],PhilipsLibary[],4,FALSE),"0")</f>
        <v>418</v>
      </c>
      <c r="U260" s="210">
        <f>_xlfn.IFNA(VLOOKUP(Mon_ILR2[[#This Row],[New Model]],PhilipsLibary[],5,FALSE),"0")</f>
        <v>0</v>
      </c>
      <c r="V260" s="210">
        <f>_xlfn.IFNA(VLOOKUP(Mon_ILR2[[#This Row],[New Model]],PhilipsLibary[],5,FALSE),"0")</f>
        <v>0</v>
      </c>
      <c r="W260" s="210">
        <f>Mon_ILR2[[#This Row],[Accessory Rate]]+Mon_ILR2[[#This Row],[Mounting Rate]]+Mon_ILR2[[#This Row],[Unit Rate]]*Mon_ILR2[[#This Row],[New Quantity Required ]]</f>
        <v>0</v>
      </c>
      <c r="X260" s="8"/>
      <c r="Y260" s="246"/>
    </row>
    <row r="261" spans="2:25" ht="15.75" customHeight="1" x14ac:dyDescent="0.25">
      <c r="B261" s="207" t="s">
        <v>299</v>
      </c>
      <c r="C261" s="66" t="s">
        <v>324</v>
      </c>
      <c r="D261" s="4" t="s">
        <v>348</v>
      </c>
      <c r="E261" s="4" t="s">
        <v>1072</v>
      </c>
      <c r="F261" s="4" t="s">
        <v>981</v>
      </c>
      <c r="G261" s="4" t="s">
        <v>1073</v>
      </c>
      <c r="H261" s="208">
        <v>1</v>
      </c>
      <c r="I261" s="4"/>
      <c r="J261" s="46" t="s">
        <v>1090</v>
      </c>
      <c r="K261" s="4" t="str">
        <f>_xlfn.IFNA(VLOOKUP($J261,WH_Data[],6,FALSE),"")</f>
        <v>MODULE RACK</v>
      </c>
      <c r="L261" s="4" t="str">
        <f>_xlfn.IFNA(VLOOKUP($J261,WH_Data[],3,FALSE),"")</f>
        <v>PHILIPS MEDICAL SYSTEMS AUSTRA</v>
      </c>
      <c r="M261" s="4" t="str">
        <f>_xlfn.IFNA(VLOOKUP($J261,WH_Data[],5,FALSE),"")</f>
        <v>IntelliVue FMX-4</v>
      </c>
      <c r="N261" s="4" t="str">
        <f>_xlfn.IFNA(VLOOKUP($J261,WH_Data[],7,FALSE),"")</f>
        <v>DE61637301</v>
      </c>
      <c r="O261" s="4" t="str">
        <f>_xlfn.IFNA(VLOOKUP($J261,WH_Data[],8,FALSE),"")</f>
        <v>ICU expansion</v>
      </c>
      <c r="P261" s="8">
        <v>1</v>
      </c>
      <c r="Q261" s="209">
        <f>Mon_ILR2[[#This Row],[Qty Required]]-Mon_ILR2[[#This Row],[QTY Transfer]]</f>
        <v>0</v>
      </c>
      <c r="R261" s="66" t="s">
        <v>905</v>
      </c>
      <c r="S261" s="66" t="s">
        <v>980</v>
      </c>
      <c r="T261" s="210">
        <f>_xlfn.IFNA(VLOOKUP(Mon_ILR2[[#This Row],[New Model]],PhilipsLibary[],4,FALSE),"0")</f>
        <v>418</v>
      </c>
      <c r="U261" s="210">
        <f>_xlfn.IFNA(VLOOKUP(Mon_ILR2[[#This Row],[New Model]],PhilipsLibary[],5,FALSE),"0")</f>
        <v>0</v>
      </c>
      <c r="V261" s="210">
        <f>_xlfn.IFNA(VLOOKUP(Mon_ILR2[[#This Row],[New Model]],PhilipsLibary[],5,FALSE),"0")</f>
        <v>0</v>
      </c>
      <c r="W261" s="210">
        <f>Mon_ILR2[[#This Row],[Accessory Rate]]+Mon_ILR2[[#This Row],[Mounting Rate]]+Mon_ILR2[[#This Row],[Unit Rate]]*Mon_ILR2[[#This Row],[New Quantity Required ]]</f>
        <v>0</v>
      </c>
      <c r="X261" s="8"/>
      <c r="Y261" s="246"/>
    </row>
    <row r="262" spans="2:25" ht="15.75" customHeight="1" x14ac:dyDescent="0.25">
      <c r="B262" s="207" t="s">
        <v>299</v>
      </c>
      <c r="C262" s="66" t="s">
        <v>305</v>
      </c>
      <c r="D262" s="4" t="s">
        <v>350</v>
      </c>
      <c r="E262" s="4" t="s">
        <v>1072</v>
      </c>
      <c r="F262" s="4" t="s">
        <v>981</v>
      </c>
      <c r="G262" s="4" t="s">
        <v>1073</v>
      </c>
      <c r="H262" s="208">
        <v>1</v>
      </c>
      <c r="I262" s="4"/>
      <c r="J262" s="46" t="s">
        <v>1091</v>
      </c>
      <c r="K262" s="4" t="str">
        <f>_xlfn.IFNA(VLOOKUP($J262,WH_Data[],6,FALSE),"")</f>
        <v>MODULE RACK</v>
      </c>
      <c r="L262" s="4" t="str">
        <f>_xlfn.IFNA(VLOOKUP($J262,WH_Data[],3,FALSE),"")</f>
        <v>PHILIPS MEDICAL SYSTEMS AUSTRA</v>
      </c>
      <c r="M262" s="4" t="str">
        <f>_xlfn.IFNA(VLOOKUP($J262,WH_Data[],5,FALSE),"")</f>
        <v>IntelliVue FMX-4</v>
      </c>
      <c r="N262" s="4" t="str">
        <f>_xlfn.IFNA(VLOOKUP($J262,WH_Data[],7,FALSE),"")</f>
        <v>DE61637307</v>
      </c>
      <c r="O262" s="4" t="str">
        <f>_xlfn.IFNA(VLOOKUP($J262,WH_Data[],8,FALSE),"")</f>
        <v>ICU expansion</v>
      </c>
      <c r="P262" s="8">
        <v>1</v>
      </c>
      <c r="Q262" s="209">
        <f>Mon_ILR2[[#This Row],[Qty Required]]-Mon_ILR2[[#This Row],[QTY Transfer]]</f>
        <v>0</v>
      </c>
      <c r="R262" s="66" t="s">
        <v>905</v>
      </c>
      <c r="S262" s="66" t="s">
        <v>980</v>
      </c>
      <c r="T262" s="210">
        <f>_xlfn.IFNA(VLOOKUP(Mon_ILR2[[#This Row],[New Model]],PhilipsLibary[],4,FALSE),"0")</f>
        <v>418</v>
      </c>
      <c r="U262" s="210">
        <f>_xlfn.IFNA(VLOOKUP(Mon_ILR2[[#This Row],[New Model]],PhilipsLibary[],5,FALSE),"0")</f>
        <v>0</v>
      </c>
      <c r="V262" s="210">
        <f>_xlfn.IFNA(VLOOKUP(Mon_ILR2[[#This Row],[New Model]],PhilipsLibary[],5,FALSE),"0")</f>
        <v>0</v>
      </c>
      <c r="W262" s="210">
        <f>Mon_ILR2[[#This Row],[Accessory Rate]]+Mon_ILR2[[#This Row],[Mounting Rate]]+Mon_ILR2[[#This Row],[Unit Rate]]*Mon_ILR2[[#This Row],[New Quantity Required ]]</f>
        <v>0</v>
      </c>
      <c r="X262" s="8"/>
      <c r="Y262" s="246"/>
    </row>
    <row r="263" spans="2:25" ht="15.75" customHeight="1" x14ac:dyDescent="0.25">
      <c r="B263" s="207" t="s">
        <v>299</v>
      </c>
      <c r="C263" s="66" t="s">
        <v>333</v>
      </c>
      <c r="D263" s="4" t="s">
        <v>353</v>
      </c>
      <c r="E263" s="4" t="s">
        <v>1072</v>
      </c>
      <c r="F263" s="4" t="s">
        <v>981</v>
      </c>
      <c r="G263" s="4" t="s">
        <v>1073</v>
      </c>
      <c r="H263" s="208">
        <v>1</v>
      </c>
      <c r="I263" s="4"/>
      <c r="J263" s="15"/>
      <c r="K263" s="4" t="str">
        <f>_xlfn.IFNA(VLOOKUP($J263,WH_Data[],6,FALSE),"")</f>
        <v/>
      </c>
      <c r="L263" s="4" t="str">
        <f>_xlfn.IFNA(VLOOKUP($J263,WH_Data[],3,FALSE),"")</f>
        <v/>
      </c>
      <c r="M263" s="4" t="str">
        <f>_xlfn.IFNA(VLOOKUP($J263,WH_Data[],5,FALSE),"")</f>
        <v/>
      </c>
      <c r="N263" s="4" t="str">
        <f>_xlfn.IFNA(VLOOKUP($J263,WH_Data[],7,FALSE),"")</f>
        <v/>
      </c>
      <c r="O263" s="4" t="str">
        <f>_xlfn.IFNA(VLOOKUP($J263,WH_Data[],8,FALSE),"")</f>
        <v/>
      </c>
      <c r="P263" s="8"/>
      <c r="Q263" s="209">
        <f>Mon_ILR2[[#This Row],[Qty Required]]-Mon_ILR2[[#This Row],[QTY Transfer]]</f>
        <v>1</v>
      </c>
      <c r="R263" s="66" t="s">
        <v>905</v>
      </c>
      <c r="S263" s="66" t="s">
        <v>980</v>
      </c>
      <c r="T263" s="210">
        <f>_xlfn.IFNA(VLOOKUP(Mon_ILR2[[#This Row],[New Model]],PhilipsLibary[],4,FALSE),"0")</f>
        <v>418</v>
      </c>
      <c r="U263" s="210">
        <f>_xlfn.IFNA(VLOOKUP(Mon_ILR2[[#This Row],[New Model]],PhilipsLibary[],5,FALSE),"0")</f>
        <v>0</v>
      </c>
      <c r="V263" s="210">
        <f>_xlfn.IFNA(VLOOKUP(Mon_ILR2[[#This Row],[New Model]],PhilipsLibary[],5,FALSE),"0")</f>
        <v>0</v>
      </c>
      <c r="W263" s="210">
        <f>Mon_ILR2[[#This Row],[Accessory Rate]]+Mon_ILR2[[#This Row],[Mounting Rate]]+Mon_ILR2[[#This Row],[Unit Rate]]*Mon_ILR2[[#This Row],[New Quantity Required ]]</f>
        <v>418</v>
      </c>
      <c r="X263" s="8"/>
      <c r="Y263" s="246"/>
    </row>
    <row r="264" spans="2:25" ht="15.75" customHeight="1" x14ac:dyDescent="0.25">
      <c r="B264" s="207" t="s">
        <v>299</v>
      </c>
      <c r="C264" s="66" t="s">
        <v>305</v>
      </c>
      <c r="D264" s="4" t="s">
        <v>355</v>
      </c>
      <c r="E264" s="4" t="s">
        <v>1072</v>
      </c>
      <c r="F264" s="4" t="s">
        <v>981</v>
      </c>
      <c r="G264" s="4" t="s">
        <v>1073</v>
      </c>
      <c r="H264" s="208">
        <v>1</v>
      </c>
      <c r="I264" s="4"/>
      <c r="J264" s="15"/>
      <c r="K264" s="4" t="str">
        <f>_xlfn.IFNA(VLOOKUP($J264,WH_Data[],6,FALSE),"")</f>
        <v/>
      </c>
      <c r="L264" s="4" t="str">
        <f>_xlfn.IFNA(VLOOKUP($J264,WH_Data[],3,FALSE),"")</f>
        <v/>
      </c>
      <c r="M264" s="4" t="str">
        <f>_xlfn.IFNA(VLOOKUP($J264,WH_Data[],5,FALSE),"")</f>
        <v/>
      </c>
      <c r="N264" s="4" t="str">
        <f>_xlfn.IFNA(VLOOKUP($J264,WH_Data[],7,FALSE),"")</f>
        <v/>
      </c>
      <c r="O264" s="4" t="str">
        <f>_xlfn.IFNA(VLOOKUP($J264,WH_Data[],8,FALSE),"")</f>
        <v/>
      </c>
      <c r="P264" s="8"/>
      <c r="Q264" s="209">
        <f>Mon_ILR2[[#This Row],[Qty Required]]-Mon_ILR2[[#This Row],[QTY Transfer]]</f>
        <v>1</v>
      </c>
      <c r="R264" s="66" t="s">
        <v>905</v>
      </c>
      <c r="S264" s="66" t="s">
        <v>980</v>
      </c>
      <c r="T264" s="210">
        <f>_xlfn.IFNA(VLOOKUP(Mon_ILR2[[#This Row],[New Model]],PhilipsLibary[],4,FALSE),"0")</f>
        <v>418</v>
      </c>
      <c r="U264" s="210">
        <f>_xlfn.IFNA(VLOOKUP(Mon_ILR2[[#This Row],[New Model]],PhilipsLibary[],5,FALSE),"0")</f>
        <v>0</v>
      </c>
      <c r="V264" s="210">
        <f>_xlfn.IFNA(VLOOKUP(Mon_ILR2[[#This Row],[New Model]],PhilipsLibary[],5,FALSE),"0")</f>
        <v>0</v>
      </c>
      <c r="W264" s="210">
        <f>Mon_ILR2[[#This Row],[Accessory Rate]]+Mon_ILR2[[#This Row],[Mounting Rate]]+Mon_ILR2[[#This Row],[Unit Rate]]*Mon_ILR2[[#This Row],[New Quantity Required ]]</f>
        <v>418</v>
      </c>
      <c r="X264" s="8"/>
      <c r="Y264" s="246"/>
    </row>
    <row r="265" spans="2:25" ht="15.75" customHeight="1" x14ac:dyDescent="0.25">
      <c r="B265" s="207" t="s">
        <v>299</v>
      </c>
      <c r="C265" s="66" t="s">
        <v>305</v>
      </c>
      <c r="D265" s="4" t="s">
        <v>358</v>
      </c>
      <c r="E265" s="4" t="s">
        <v>1072</v>
      </c>
      <c r="F265" s="4" t="s">
        <v>981</v>
      </c>
      <c r="G265" s="4" t="s">
        <v>1073</v>
      </c>
      <c r="H265" s="208">
        <v>1</v>
      </c>
      <c r="I265" s="4"/>
      <c r="J265" s="15"/>
      <c r="K265" s="4" t="str">
        <f>_xlfn.IFNA(VLOOKUP($J265,WH_Data[],6,FALSE),"")</f>
        <v/>
      </c>
      <c r="L265" s="4" t="str">
        <f>_xlfn.IFNA(VLOOKUP($J265,WH_Data[],3,FALSE),"")</f>
        <v/>
      </c>
      <c r="M265" s="4" t="str">
        <f>_xlfn.IFNA(VLOOKUP($J265,WH_Data[],5,FALSE),"")</f>
        <v/>
      </c>
      <c r="N265" s="4" t="str">
        <f>_xlfn.IFNA(VLOOKUP($J265,WH_Data[],7,FALSE),"")</f>
        <v/>
      </c>
      <c r="O265" s="4" t="str">
        <f>_xlfn.IFNA(VLOOKUP($J265,WH_Data[],8,FALSE),"")</f>
        <v/>
      </c>
      <c r="P265" s="8"/>
      <c r="Q265" s="209">
        <f>Mon_ILR2[[#This Row],[Qty Required]]-Mon_ILR2[[#This Row],[QTY Transfer]]</f>
        <v>1</v>
      </c>
      <c r="R265" s="66" t="s">
        <v>905</v>
      </c>
      <c r="S265" s="66" t="s">
        <v>980</v>
      </c>
      <c r="T265" s="210">
        <f>_xlfn.IFNA(VLOOKUP(Mon_ILR2[[#This Row],[New Model]],PhilipsLibary[],4,FALSE),"0")</f>
        <v>418</v>
      </c>
      <c r="U265" s="210">
        <f>_xlfn.IFNA(VLOOKUP(Mon_ILR2[[#This Row],[New Model]],PhilipsLibary[],5,FALSE),"0")</f>
        <v>0</v>
      </c>
      <c r="V265" s="210">
        <f>_xlfn.IFNA(VLOOKUP(Mon_ILR2[[#This Row],[New Model]],PhilipsLibary[],5,FALSE),"0")</f>
        <v>0</v>
      </c>
      <c r="W265" s="210">
        <f>Mon_ILR2[[#This Row],[Accessory Rate]]+Mon_ILR2[[#This Row],[Mounting Rate]]+Mon_ILR2[[#This Row],[Unit Rate]]*Mon_ILR2[[#This Row],[New Quantity Required ]]</f>
        <v>418</v>
      </c>
      <c r="X265" s="8"/>
      <c r="Y265" s="246"/>
    </row>
    <row r="266" spans="2:25" ht="15.75" customHeight="1" x14ac:dyDescent="0.25">
      <c r="B266" s="207" t="s">
        <v>299</v>
      </c>
      <c r="C266" s="66" t="s">
        <v>333</v>
      </c>
      <c r="D266" s="4" t="s">
        <v>361</v>
      </c>
      <c r="E266" s="4" t="s">
        <v>1072</v>
      </c>
      <c r="F266" s="4" t="s">
        <v>981</v>
      </c>
      <c r="G266" s="4" t="s">
        <v>1073</v>
      </c>
      <c r="H266" s="208">
        <v>1</v>
      </c>
      <c r="I266" s="4"/>
      <c r="J266" s="15"/>
      <c r="K266" s="4" t="str">
        <f>_xlfn.IFNA(VLOOKUP($J266,WH_Data[],6,FALSE),"")</f>
        <v/>
      </c>
      <c r="L266" s="4" t="str">
        <f>_xlfn.IFNA(VLOOKUP($J266,WH_Data[],3,FALSE),"")</f>
        <v/>
      </c>
      <c r="M266" s="4" t="str">
        <f>_xlfn.IFNA(VLOOKUP($J266,WH_Data[],5,FALSE),"")</f>
        <v/>
      </c>
      <c r="N266" s="4" t="str">
        <f>_xlfn.IFNA(VLOOKUP($J266,WH_Data[],7,FALSE),"")</f>
        <v/>
      </c>
      <c r="O266" s="4" t="str">
        <f>_xlfn.IFNA(VLOOKUP($J266,WH_Data[],8,FALSE),"")</f>
        <v/>
      </c>
      <c r="P266" s="8"/>
      <c r="Q266" s="209">
        <f>Mon_ILR2[[#This Row],[Qty Required]]-Mon_ILR2[[#This Row],[QTY Transfer]]</f>
        <v>1</v>
      </c>
      <c r="R266" s="66" t="s">
        <v>905</v>
      </c>
      <c r="S266" s="66" t="s">
        <v>980</v>
      </c>
      <c r="T266" s="210">
        <f>_xlfn.IFNA(VLOOKUP(Mon_ILR2[[#This Row],[New Model]],PhilipsLibary[],4,FALSE),"0")</f>
        <v>418</v>
      </c>
      <c r="U266" s="210">
        <f>_xlfn.IFNA(VLOOKUP(Mon_ILR2[[#This Row],[New Model]],PhilipsLibary[],5,FALSE),"0")</f>
        <v>0</v>
      </c>
      <c r="V266" s="210">
        <f>_xlfn.IFNA(VLOOKUP(Mon_ILR2[[#This Row],[New Model]],PhilipsLibary[],5,FALSE),"0")</f>
        <v>0</v>
      </c>
      <c r="W266" s="210">
        <f>Mon_ILR2[[#This Row],[Accessory Rate]]+Mon_ILR2[[#This Row],[Mounting Rate]]+Mon_ILR2[[#This Row],[Unit Rate]]*Mon_ILR2[[#This Row],[New Quantity Required ]]</f>
        <v>418</v>
      </c>
      <c r="X266" s="8"/>
      <c r="Y266" s="246"/>
    </row>
    <row r="267" spans="2:25" ht="15.75" customHeight="1" x14ac:dyDescent="0.25">
      <c r="B267" s="207" t="s">
        <v>299</v>
      </c>
      <c r="C267" s="66" t="s">
        <v>305</v>
      </c>
      <c r="D267" s="4" t="s">
        <v>306</v>
      </c>
      <c r="E267" s="4" t="s">
        <v>1072</v>
      </c>
      <c r="F267" s="4" t="s">
        <v>1092</v>
      </c>
      <c r="G267" s="4" t="s">
        <v>1093</v>
      </c>
      <c r="H267" s="208">
        <v>1</v>
      </c>
      <c r="I267" s="4"/>
      <c r="J267" s="46" t="s">
        <v>1094</v>
      </c>
      <c r="K267" s="4" t="str">
        <f>_xlfn.IFNA(VLOOKUP($J267,WH_Data[],6,FALSE),"")</f>
        <v>MODULE, DEVICE DRIVER</v>
      </c>
      <c r="L267" s="4" t="str">
        <f>_xlfn.IFNA(VLOOKUP($J267,WH_Data[],3,FALSE),"")</f>
        <v>PHILIPS MEDICAL SYSTEMS AUSTRA</v>
      </c>
      <c r="M267" s="4" t="str">
        <f>_xlfn.IFNA(VLOOKUP($J267,WH_Data[],5,FALSE),"")</f>
        <v>EC5 IntelliBridge Interface Module</v>
      </c>
      <c r="N267" s="4" t="str">
        <f>_xlfn.IFNA(VLOOKUP($J267,WH_Data[],7,FALSE),"")</f>
        <v>DE411E8913</v>
      </c>
      <c r="O267" s="4" t="str">
        <f>_xlfn.IFNA(VLOOKUP($J267,WH_Data[],8,FALSE),"")</f>
        <v>ICU</v>
      </c>
      <c r="P267" s="8">
        <v>1</v>
      </c>
      <c r="Q267" s="209">
        <f>Mon_ILR2[[#This Row],[Qty Required]]-Mon_ILR2[[#This Row],[QTY Transfer]]</f>
        <v>0</v>
      </c>
      <c r="R267" s="66" t="s">
        <v>905</v>
      </c>
      <c r="S267" s="66" t="s">
        <v>925</v>
      </c>
      <c r="T267" s="210">
        <f>_xlfn.IFNA(VLOOKUP(Mon_ILR2[[#This Row],[New Model]],PhilipsLibary[],4,FALSE),"0")</f>
        <v>325</v>
      </c>
      <c r="U267" s="210">
        <f>_xlfn.IFNA(VLOOKUP(Mon_ILR2[[#This Row],[New Model]],PhilipsLibary[],5,FALSE),"0")</f>
        <v>0</v>
      </c>
      <c r="V267" s="210">
        <f>_xlfn.IFNA(VLOOKUP(Mon_ILR2[[#This Row],[New Model]],PhilipsLibary[],5,FALSE),"0")</f>
        <v>0</v>
      </c>
      <c r="W267" s="210">
        <f>Mon_ILR2[[#This Row],[Accessory Rate]]+Mon_ILR2[[#This Row],[Mounting Rate]]+Mon_ILR2[[#This Row],[Unit Rate]]*Mon_ILR2[[#This Row],[New Quantity Required ]]</f>
        <v>0</v>
      </c>
      <c r="X267" s="8"/>
      <c r="Y267" s="246"/>
    </row>
    <row r="268" spans="2:25" ht="15.75" customHeight="1" x14ac:dyDescent="0.25">
      <c r="B268" s="207" t="s">
        <v>299</v>
      </c>
      <c r="C268" s="66" t="s">
        <v>305</v>
      </c>
      <c r="D268" s="4" t="s">
        <v>309</v>
      </c>
      <c r="E268" s="4" t="s">
        <v>1072</v>
      </c>
      <c r="F268" s="4" t="s">
        <v>1092</v>
      </c>
      <c r="G268" s="4" t="s">
        <v>1093</v>
      </c>
      <c r="H268" s="208">
        <v>1</v>
      </c>
      <c r="I268" s="4"/>
      <c r="J268" s="46" t="s">
        <v>1095</v>
      </c>
      <c r="K268" s="4" t="str">
        <f>_xlfn.IFNA(VLOOKUP($J268,WH_Data[],6,FALSE),"")</f>
        <v>MODULE, DEVICE DRIVER</v>
      </c>
      <c r="L268" s="4" t="str">
        <f>_xlfn.IFNA(VLOOKUP($J268,WH_Data[],3,FALSE),"")</f>
        <v>PHILIPS MEDICAL SYSTEMS AUSTRA</v>
      </c>
      <c r="M268" s="4" t="str">
        <f>_xlfn.IFNA(VLOOKUP($J268,WH_Data[],5,FALSE),"")</f>
        <v>EC5 IntelliBridge Interface Module</v>
      </c>
      <c r="N268" s="4" t="str">
        <f>_xlfn.IFNA(VLOOKUP($J268,WH_Data[],7,FALSE),"")</f>
        <v>DE411E8914</v>
      </c>
      <c r="O268" s="4" t="str">
        <f>_xlfn.IFNA(VLOOKUP($J268,WH_Data[],8,FALSE),"")</f>
        <v>ICU</v>
      </c>
      <c r="P268" s="8">
        <v>1</v>
      </c>
      <c r="Q268" s="209">
        <f>Mon_ILR2[[#This Row],[Qty Required]]-Mon_ILR2[[#This Row],[QTY Transfer]]</f>
        <v>0</v>
      </c>
      <c r="R268" s="66" t="s">
        <v>905</v>
      </c>
      <c r="S268" s="66" t="s">
        <v>925</v>
      </c>
      <c r="T268" s="210">
        <f>_xlfn.IFNA(VLOOKUP(Mon_ILR2[[#This Row],[New Model]],PhilipsLibary[],4,FALSE),"0")</f>
        <v>325</v>
      </c>
      <c r="U268" s="210">
        <f>_xlfn.IFNA(VLOOKUP(Mon_ILR2[[#This Row],[New Model]],PhilipsLibary[],5,FALSE),"0")</f>
        <v>0</v>
      </c>
      <c r="V268" s="210">
        <f>_xlfn.IFNA(VLOOKUP(Mon_ILR2[[#This Row],[New Model]],PhilipsLibary[],5,FALSE),"0")</f>
        <v>0</v>
      </c>
      <c r="W268" s="210">
        <f>Mon_ILR2[[#This Row],[Accessory Rate]]+Mon_ILR2[[#This Row],[Mounting Rate]]+Mon_ILR2[[#This Row],[Unit Rate]]*Mon_ILR2[[#This Row],[New Quantity Required ]]</f>
        <v>0</v>
      </c>
      <c r="X268" s="8"/>
      <c r="Y268" s="246"/>
    </row>
    <row r="269" spans="2:25" ht="15.75" customHeight="1" x14ac:dyDescent="0.25">
      <c r="B269" s="207" t="s">
        <v>299</v>
      </c>
      <c r="C269" s="66" t="s">
        <v>305</v>
      </c>
      <c r="D269" s="4" t="s">
        <v>311</v>
      </c>
      <c r="E269" s="4" t="s">
        <v>1072</v>
      </c>
      <c r="F269" s="4" t="s">
        <v>1092</v>
      </c>
      <c r="G269" s="4" t="s">
        <v>1093</v>
      </c>
      <c r="H269" s="208">
        <v>1</v>
      </c>
      <c r="I269" s="4"/>
      <c r="J269" s="46" t="s">
        <v>1096</v>
      </c>
      <c r="K269" s="4" t="str">
        <f>_xlfn.IFNA(VLOOKUP($J269,WH_Data[],6,FALSE),"")</f>
        <v>MODULE, DEVICE DRIVER</v>
      </c>
      <c r="L269" s="4" t="str">
        <f>_xlfn.IFNA(VLOOKUP($J269,WH_Data[],3,FALSE),"")</f>
        <v>PHILIPS MEDICAL SYSTEMS AUSTRA</v>
      </c>
      <c r="M269" s="4" t="str">
        <f>_xlfn.IFNA(VLOOKUP($J269,WH_Data[],5,FALSE),"")</f>
        <v>EC5 IntelliBridge Interface Module</v>
      </c>
      <c r="N269" s="4" t="str">
        <f>_xlfn.IFNA(VLOOKUP($J269,WH_Data[],7,FALSE),"")</f>
        <v>DE411E8909</v>
      </c>
      <c r="O269" s="4" t="str">
        <f>_xlfn.IFNA(VLOOKUP($J269,WH_Data[],8,FALSE),"")</f>
        <v>ICU</v>
      </c>
      <c r="P269" s="8">
        <v>1</v>
      </c>
      <c r="Q269" s="209">
        <f>Mon_ILR2[[#This Row],[Qty Required]]-Mon_ILR2[[#This Row],[QTY Transfer]]</f>
        <v>0</v>
      </c>
      <c r="R269" s="66" t="s">
        <v>905</v>
      </c>
      <c r="S269" s="66" t="s">
        <v>925</v>
      </c>
      <c r="T269" s="210">
        <f>_xlfn.IFNA(VLOOKUP(Mon_ILR2[[#This Row],[New Model]],PhilipsLibary[],4,FALSE),"0")</f>
        <v>325</v>
      </c>
      <c r="U269" s="210">
        <f>_xlfn.IFNA(VLOOKUP(Mon_ILR2[[#This Row],[New Model]],PhilipsLibary[],5,FALSE),"0")</f>
        <v>0</v>
      </c>
      <c r="V269" s="210">
        <f>_xlfn.IFNA(VLOOKUP(Mon_ILR2[[#This Row],[New Model]],PhilipsLibary[],5,FALSE),"0")</f>
        <v>0</v>
      </c>
      <c r="W269" s="210">
        <f>Mon_ILR2[[#This Row],[Accessory Rate]]+Mon_ILR2[[#This Row],[Mounting Rate]]+Mon_ILR2[[#This Row],[Unit Rate]]*Mon_ILR2[[#This Row],[New Quantity Required ]]</f>
        <v>0</v>
      </c>
      <c r="X269" s="8"/>
      <c r="Y269" s="246"/>
    </row>
    <row r="270" spans="2:25" ht="15.75" customHeight="1" x14ac:dyDescent="0.25">
      <c r="B270" s="207" t="s">
        <v>299</v>
      </c>
      <c r="C270" s="66" t="s">
        <v>313</v>
      </c>
      <c r="D270" s="4" t="s">
        <v>314</v>
      </c>
      <c r="E270" s="4" t="s">
        <v>1072</v>
      </c>
      <c r="F270" s="4" t="s">
        <v>1092</v>
      </c>
      <c r="G270" s="4" t="s">
        <v>1093</v>
      </c>
      <c r="H270" s="208">
        <v>1</v>
      </c>
      <c r="I270" s="4"/>
      <c r="J270" s="46" t="s">
        <v>1097</v>
      </c>
      <c r="K270" s="4" t="str">
        <f>_xlfn.IFNA(VLOOKUP($J270,WH_Data[],6,FALSE),"")</f>
        <v>MODULE, DEVICE DRIVER</v>
      </c>
      <c r="L270" s="4" t="str">
        <f>_xlfn.IFNA(VLOOKUP($J270,WH_Data[],3,FALSE),"")</f>
        <v>PHILIPS MEDICAL SYSTEMS AUSTRA</v>
      </c>
      <c r="M270" s="4" t="str">
        <f>_xlfn.IFNA(VLOOKUP($J270,WH_Data[],5,FALSE),"")</f>
        <v>EC5 IntelliBridge Interface Module</v>
      </c>
      <c r="N270" s="4" t="str">
        <f>_xlfn.IFNA(VLOOKUP($J270,WH_Data[],7,FALSE),"")</f>
        <v>DE411E8892</v>
      </c>
      <c r="O270" s="4" t="str">
        <f>_xlfn.IFNA(VLOOKUP($J270,WH_Data[],8,FALSE),"")</f>
        <v>ICU</v>
      </c>
      <c r="P270" s="8">
        <v>1</v>
      </c>
      <c r="Q270" s="209">
        <f>Mon_ILR2[[#This Row],[Qty Required]]-Mon_ILR2[[#This Row],[QTY Transfer]]</f>
        <v>0</v>
      </c>
      <c r="R270" s="66" t="s">
        <v>905</v>
      </c>
      <c r="S270" s="66" t="s">
        <v>925</v>
      </c>
      <c r="T270" s="210">
        <f>_xlfn.IFNA(VLOOKUP(Mon_ILR2[[#This Row],[New Model]],PhilipsLibary[],4,FALSE),"0")</f>
        <v>325</v>
      </c>
      <c r="U270" s="210">
        <f>_xlfn.IFNA(VLOOKUP(Mon_ILR2[[#This Row],[New Model]],PhilipsLibary[],5,FALSE),"0")</f>
        <v>0</v>
      </c>
      <c r="V270" s="210">
        <f>_xlfn.IFNA(VLOOKUP(Mon_ILR2[[#This Row],[New Model]],PhilipsLibary[],5,FALSE),"0")</f>
        <v>0</v>
      </c>
      <c r="W270" s="210">
        <f>Mon_ILR2[[#This Row],[Accessory Rate]]+Mon_ILR2[[#This Row],[Mounting Rate]]+Mon_ILR2[[#This Row],[Unit Rate]]*Mon_ILR2[[#This Row],[New Quantity Required ]]</f>
        <v>0</v>
      </c>
      <c r="X270" s="8"/>
      <c r="Y270" s="246"/>
    </row>
    <row r="271" spans="2:25" ht="15.75" customHeight="1" x14ac:dyDescent="0.25">
      <c r="B271" s="207" t="s">
        <v>299</v>
      </c>
      <c r="C271" s="66" t="s">
        <v>313</v>
      </c>
      <c r="D271" s="4" t="s">
        <v>317</v>
      </c>
      <c r="E271" s="4" t="s">
        <v>1072</v>
      </c>
      <c r="F271" s="4" t="s">
        <v>1092</v>
      </c>
      <c r="G271" s="4" t="s">
        <v>1093</v>
      </c>
      <c r="H271" s="208">
        <v>1</v>
      </c>
      <c r="I271" s="4"/>
      <c r="J271" s="46" t="s">
        <v>1098</v>
      </c>
      <c r="K271" s="4" t="str">
        <f>_xlfn.IFNA(VLOOKUP($J271,WH_Data[],6,FALSE),"")</f>
        <v>MODULE, DEVICE DRIVER</v>
      </c>
      <c r="L271" s="4" t="str">
        <f>_xlfn.IFNA(VLOOKUP($J271,WH_Data[],3,FALSE),"")</f>
        <v>PHILIPS MEDICAL SYSTEMS AUSTRA</v>
      </c>
      <c r="M271" s="4" t="str">
        <f>_xlfn.IFNA(VLOOKUP($J271,WH_Data[],5,FALSE),"")</f>
        <v>EC5 IntelliBridge Interface Module</v>
      </c>
      <c r="N271" s="4" t="str">
        <f>_xlfn.IFNA(VLOOKUP($J271,WH_Data[],7,FALSE),"")</f>
        <v>DE411E8915</v>
      </c>
      <c r="O271" s="4" t="str">
        <f>_xlfn.IFNA(VLOOKUP($J271,WH_Data[],8,FALSE),"")</f>
        <v>ICU</v>
      </c>
      <c r="P271" s="8">
        <v>1</v>
      </c>
      <c r="Q271" s="209">
        <f>Mon_ILR2[[#This Row],[Qty Required]]-Mon_ILR2[[#This Row],[QTY Transfer]]</f>
        <v>0</v>
      </c>
      <c r="R271" s="66" t="s">
        <v>905</v>
      </c>
      <c r="S271" s="66" t="s">
        <v>925</v>
      </c>
      <c r="T271" s="210">
        <f>_xlfn.IFNA(VLOOKUP(Mon_ILR2[[#This Row],[New Model]],PhilipsLibary[],4,FALSE),"0")</f>
        <v>325</v>
      </c>
      <c r="U271" s="210">
        <f>_xlfn.IFNA(VLOOKUP(Mon_ILR2[[#This Row],[New Model]],PhilipsLibary[],5,FALSE),"0")</f>
        <v>0</v>
      </c>
      <c r="V271" s="210">
        <f>_xlfn.IFNA(VLOOKUP(Mon_ILR2[[#This Row],[New Model]],PhilipsLibary[],5,FALSE),"0")</f>
        <v>0</v>
      </c>
      <c r="W271" s="210">
        <f>Mon_ILR2[[#This Row],[Accessory Rate]]+Mon_ILR2[[#This Row],[Mounting Rate]]+Mon_ILR2[[#This Row],[Unit Rate]]*Mon_ILR2[[#This Row],[New Quantity Required ]]</f>
        <v>0</v>
      </c>
      <c r="X271" s="8"/>
      <c r="Y271" s="246"/>
    </row>
    <row r="272" spans="2:25" ht="15.75" customHeight="1" x14ac:dyDescent="0.25">
      <c r="B272" s="207" t="s">
        <v>299</v>
      </c>
      <c r="C272" s="66" t="s">
        <v>313</v>
      </c>
      <c r="D272" s="4" t="s">
        <v>319</v>
      </c>
      <c r="E272" s="4" t="s">
        <v>1072</v>
      </c>
      <c r="F272" s="4" t="s">
        <v>1092</v>
      </c>
      <c r="G272" s="4" t="s">
        <v>1093</v>
      </c>
      <c r="H272" s="208">
        <v>1</v>
      </c>
      <c r="I272" s="4"/>
      <c r="J272" s="46" t="s">
        <v>1099</v>
      </c>
      <c r="K272" s="4" t="str">
        <f>_xlfn.IFNA(VLOOKUP($J272,WH_Data[],6,FALSE),"")</f>
        <v>MODULE, DEVICE DRIVER</v>
      </c>
      <c r="L272" s="4" t="str">
        <f>_xlfn.IFNA(VLOOKUP($J272,WH_Data[],3,FALSE),"")</f>
        <v>PHILIPS MEDICAL SYSTEMS AUSTRA</v>
      </c>
      <c r="M272" s="4" t="str">
        <f>_xlfn.IFNA(VLOOKUP($J272,WH_Data[],5,FALSE),"")</f>
        <v>EC5 IntelliBridge Interface Module</v>
      </c>
      <c r="N272" s="4" t="str">
        <f>_xlfn.IFNA(VLOOKUP($J272,WH_Data[],7,FALSE),"")</f>
        <v>DE411E8910</v>
      </c>
      <c r="O272" s="4" t="str">
        <f>_xlfn.IFNA(VLOOKUP($J272,WH_Data[],8,FALSE),"")</f>
        <v>ICU</v>
      </c>
      <c r="P272" s="8">
        <v>1</v>
      </c>
      <c r="Q272" s="209">
        <f>Mon_ILR2[[#This Row],[Qty Required]]-Mon_ILR2[[#This Row],[QTY Transfer]]</f>
        <v>0</v>
      </c>
      <c r="R272" s="66" t="s">
        <v>905</v>
      </c>
      <c r="S272" s="66" t="s">
        <v>925</v>
      </c>
      <c r="T272" s="210">
        <f>_xlfn.IFNA(VLOOKUP(Mon_ILR2[[#This Row],[New Model]],PhilipsLibary[],4,FALSE),"0")</f>
        <v>325</v>
      </c>
      <c r="U272" s="210">
        <f>_xlfn.IFNA(VLOOKUP(Mon_ILR2[[#This Row],[New Model]],PhilipsLibary[],5,FALSE),"0")</f>
        <v>0</v>
      </c>
      <c r="V272" s="210">
        <f>_xlfn.IFNA(VLOOKUP(Mon_ILR2[[#This Row],[New Model]],PhilipsLibary[],5,FALSE),"0")</f>
        <v>0</v>
      </c>
      <c r="W272" s="210">
        <f>Mon_ILR2[[#This Row],[Accessory Rate]]+Mon_ILR2[[#This Row],[Mounting Rate]]+Mon_ILR2[[#This Row],[Unit Rate]]*Mon_ILR2[[#This Row],[New Quantity Required ]]</f>
        <v>0</v>
      </c>
      <c r="X272" s="8"/>
      <c r="Y272" s="246"/>
    </row>
    <row r="273" spans="2:25" ht="15.75" customHeight="1" x14ac:dyDescent="0.25">
      <c r="B273" s="207" t="s">
        <v>299</v>
      </c>
      <c r="C273" s="66" t="s">
        <v>313</v>
      </c>
      <c r="D273" s="4" t="s">
        <v>322</v>
      </c>
      <c r="E273" s="4" t="s">
        <v>1072</v>
      </c>
      <c r="F273" s="4" t="s">
        <v>1092</v>
      </c>
      <c r="G273" s="4" t="s">
        <v>1093</v>
      </c>
      <c r="H273" s="208">
        <v>1</v>
      </c>
      <c r="I273" s="4"/>
      <c r="J273" s="46" t="s">
        <v>1100</v>
      </c>
      <c r="K273" s="4" t="str">
        <f>_xlfn.IFNA(VLOOKUP($J273,WH_Data[],6,FALSE),"")</f>
        <v>MODULE, DEVICE DRIVER</v>
      </c>
      <c r="L273" s="4" t="str">
        <f>_xlfn.IFNA(VLOOKUP($J273,WH_Data[],3,FALSE),"")</f>
        <v>PHILIPS MEDICAL SYSTEMS AUSTRA</v>
      </c>
      <c r="M273" s="4" t="str">
        <f>_xlfn.IFNA(VLOOKUP($J273,WH_Data[],5,FALSE),"")</f>
        <v>EC5 IntelliBridge Interface Module</v>
      </c>
      <c r="N273" s="4" t="str">
        <f>_xlfn.IFNA(VLOOKUP($J273,WH_Data[],7,FALSE),"")</f>
        <v>DE411E8905</v>
      </c>
      <c r="O273" s="4" t="str">
        <f>_xlfn.IFNA(VLOOKUP($J273,WH_Data[],8,FALSE),"")</f>
        <v>ICU</v>
      </c>
      <c r="P273" s="8">
        <v>1</v>
      </c>
      <c r="Q273" s="209">
        <f>Mon_ILR2[[#This Row],[Qty Required]]-Mon_ILR2[[#This Row],[QTY Transfer]]</f>
        <v>0</v>
      </c>
      <c r="R273" s="66" t="s">
        <v>905</v>
      </c>
      <c r="S273" s="66" t="s">
        <v>925</v>
      </c>
      <c r="T273" s="210">
        <f>_xlfn.IFNA(VLOOKUP(Mon_ILR2[[#This Row],[New Model]],PhilipsLibary[],4,FALSE),"0")</f>
        <v>325</v>
      </c>
      <c r="U273" s="210">
        <f>_xlfn.IFNA(VLOOKUP(Mon_ILR2[[#This Row],[New Model]],PhilipsLibary[],5,FALSE),"0")</f>
        <v>0</v>
      </c>
      <c r="V273" s="210">
        <f>_xlfn.IFNA(VLOOKUP(Mon_ILR2[[#This Row],[New Model]],PhilipsLibary[],5,FALSE),"0")</f>
        <v>0</v>
      </c>
      <c r="W273" s="210">
        <f>Mon_ILR2[[#This Row],[Accessory Rate]]+Mon_ILR2[[#This Row],[Mounting Rate]]+Mon_ILR2[[#This Row],[Unit Rate]]*Mon_ILR2[[#This Row],[New Quantity Required ]]</f>
        <v>0</v>
      </c>
      <c r="X273" s="8"/>
      <c r="Y273" s="246"/>
    </row>
    <row r="274" spans="2:25" ht="15.75" customHeight="1" x14ac:dyDescent="0.25">
      <c r="B274" s="207" t="s">
        <v>299</v>
      </c>
      <c r="C274" s="66" t="s">
        <v>324</v>
      </c>
      <c r="D274" s="4" t="s">
        <v>325</v>
      </c>
      <c r="E274" s="4" t="s">
        <v>1072</v>
      </c>
      <c r="F274" s="4" t="s">
        <v>1092</v>
      </c>
      <c r="G274" s="4" t="s">
        <v>1093</v>
      </c>
      <c r="H274" s="208">
        <v>1</v>
      </c>
      <c r="I274" s="4"/>
      <c r="J274" s="46" t="s">
        <v>1101</v>
      </c>
      <c r="K274" s="4" t="str">
        <f>_xlfn.IFNA(VLOOKUP($J274,WH_Data[],6,FALSE),"")</f>
        <v>MODULE, DEVICE DRIVER</v>
      </c>
      <c r="L274" s="4" t="str">
        <f>_xlfn.IFNA(VLOOKUP($J274,WH_Data[],3,FALSE),"")</f>
        <v>PHILIPS MEDICAL SYSTEMS AUSTRA</v>
      </c>
      <c r="M274" s="4" t="str">
        <f>_xlfn.IFNA(VLOOKUP($J274,WH_Data[],5,FALSE),"")</f>
        <v>EC5 IntelliBridge Interface Module</v>
      </c>
      <c r="N274" s="4" t="str">
        <f>_xlfn.IFNA(VLOOKUP($J274,WH_Data[],7,FALSE),"")</f>
        <v>DE411E8906</v>
      </c>
      <c r="O274" s="4" t="str">
        <f>_xlfn.IFNA(VLOOKUP($J274,WH_Data[],8,FALSE),"")</f>
        <v>ICU</v>
      </c>
      <c r="P274" s="8">
        <v>1</v>
      </c>
      <c r="Q274" s="209">
        <f>Mon_ILR2[[#This Row],[Qty Required]]-Mon_ILR2[[#This Row],[QTY Transfer]]</f>
        <v>0</v>
      </c>
      <c r="R274" s="66" t="s">
        <v>905</v>
      </c>
      <c r="S274" s="66" t="s">
        <v>925</v>
      </c>
      <c r="T274" s="210">
        <f>_xlfn.IFNA(VLOOKUP(Mon_ILR2[[#This Row],[New Model]],PhilipsLibary[],4,FALSE),"0")</f>
        <v>325</v>
      </c>
      <c r="U274" s="210">
        <f>_xlfn.IFNA(VLOOKUP(Mon_ILR2[[#This Row],[New Model]],PhilipsLibary[],5,FALSE),"0")</f>
        <v>0</v>
      </c>
      <c r="V274" s="210">
        <f>_xlfn.IFNA(VLOOKUP(Mon_ILR2[[#This Row],[New Model]],PhilipsLibary[],5,FALSE),"0")</f>
        <v>0</v>
      </c>
      <c r="W274" s="210">
        <f>Mon_ILR2[[#This Row],[Accessory Rate]]+Mon_ILR2[[#This Row],[Mounting Rate]]+Mon_ILR2[[#This Row],[Unit Rate]]*Mon_ILR2[[#This Row],[New Quantity Required ]]</f>
        <v>0</v>
      </c>
      <c r="X274" s="8"/>
      <c r="Y274" s="246"/>
    </row>
    <row r="275" spans="2:25" ht="15.75" customHeight="1" x14ac:dyDescent="0.25">
      <c r="B275" s="207" t="s">
        <v>299</v>
      </c>
      <c r="C275" s="66" t="s">
        <v>305</v>
      </c>
      <c r="D275" s="4" t="s">
        <v>327</v>
      </c>
      <c r="E275" s="4" t="s">
        <v>1072</v>
      </c>
      <c r="F275" s="4" t="s">
        <v>1092</v>
      </c>
      <c r="G275" s="4" t="s">
        <v>1093</v>
      </c>
      <c r="H275" s="208">
        <v>1</v>
      </c>
      <c r="I275" s="4"/>
      <c r="J275" s="46" t="s">
        <v>1102</v>
      </c>
      <c r="K275" s="4" t="str">
        <f>_xlfn.IFNA(VLOOKUP($J275,WH_Data[],6,FALSE),"")</f>
        <v>MODULE, DEVICE DRIVER</v>
      </c>
      <c r="L275" s="4" t="str">
        <f>_xlfn.IFNA(VLOOKUP($J275,WH_Data[],3,FALSE),"")</f>
        <v>PHILIPS MEDICAL SYSTEMS AUSTRA</v>
      </c>
      <c r="M275" s="4" t="str">
        <f>_xlfn.IFNA(VLOOKUP($J275,WH_Data[],5,FALSE),"")</f>
        <v>EC5 IntelliBridge Interface Module</v>
      </c>
      <c r="N275" s="4" t="str">
        <f>_xlfn.IFNA(VLOOKUP($J275,WH_Data[],7,FALSE),"")</f>
        <v>DE411E8898</v>
      </c>
      <c r="O275" s="4" t="str">
        <f>_xlfn.IFNA(VLOOKUP($J275,WH_Data[],8,FALSE),"")</f>
        <v>ICU</v>
      </c>
      <c r="P275" s="8">
        <v>1</v>
      </c>
      <c r="Q275" s="209">
        <f>Mon_ILR2[[#This Row],[Qty Required]]-Mon_ILR2[[#This Row],[QTY Transfer]]</f>
        <v>0</v>
      </c>
      <c r="R275" s="66" t="s">
        <v>905</v>
      </c>
      <c r="S275" s="66" t="s">
        <v>925</v>
      </c>
      <c r="T275" s="210">
        <f>_xlfn.IFNA(VLOOKUP(Mon_ILR2[[#This Row],[New Model]],PhilipsLibary[],4,FALSE),"0")</f>
        <v>325</v>
      </c>
      <c r="U275" s="210">
        <f>_xlfn.IFNA(VLOOKUP(Mon_ILR2[[#This Row],[New Model]],PhilipsLibary[],5,FALSE),"0")</f>
        <v>0</v>
      </c>
      <c r="V275" s="210">
        <f>_xlfn.IFNA(VLOOKUP(Mon_ILR2[[#This Row],[New Model]],PhilipsLibary[],5,FALSE),"0")</f>
        <v>0</v>
      </c>
      <c r="W275" s="210">
        <f>Mon_ILR2[[#This Row],[Accessory Rate]]+Mon_ILR2[[#This Row],[Mounting Rate]]+Mon_ILR2[[#This Row],[Unit Rate]]*Mon_ILR2[[#This Row],[New Quantity Required ]]</f>
        <v>0</v>
      </c>
      <c r="X275" s="8"/>
      <c r="Y275" s="246"/>
    </row>
    <row r="276" spans="2:25" ht="15.75" customHeight="1" x14ac:dyDescent="0.25">
      <c r="B276" s="207" t="s">
        <v>299</v>
      </c>
      <c r="C276" s="66" t="s">
        <v>305</v>
      </c>
      <c r="D276" s="4" t="s">
        <v>329</v>
      </c>
      <c r="E276" s="4" t="s">
        <v>1072</v>
      </c>
      <c r="F276" s="4" t="s">
        <v>1092</v>
      </c>
      <c r="G276" s="4" t="s">
        <v>1093</v>
      </c>
      <c r="H276" s="208">
        <v>1</v>
      </c>
      <c r="I276" s="4"/>
      <c r="J276" s="46" t="s">
        <v>1103</v>
      </c>
      <c r="K276" s="4" t="str">
        <f>_xlfn.IFNA(VLOOKUP($J276,WH_Data[],6,FALSE),"")</f>
        <v>MODULE, DEVICE DRIVER</v>
      </c>
      <c r="L276" s="4" t="str">
        <f>_xlfn.IFNA(VLOOKUP($J276,WH_Data[],3,FALSE),"")</f>
        <v>PHILIPS MEDICAL SYSTEMS AUSTRA</v>
      </c>
      <c r="M276" s="4" t="str">
        <f>_xlfn.IFNA(VLOOKUP($J276,WH_Data[],5,FALSE),"")</f>
        <v>EC5 IntelliBridge Interface Module</v>
      </c>
      <c r="N276" s="4" t="str">
        <f>_xlfn.IFNA(VLOOKUP($J276,WH_Data[],7,FALSE),"")</f>
        <v>DE411E8900</v>
      </c>
      <c r="O276" s="4" t="str">
        <f>_xlfn.IFNA(VLOOKUP($J276,WH_Data[],8,FALSE),"")</f>
        <v>ICU</v>
      </c>
      <c r="P276" s="8">
        <v>1</v>
      </c>
      <c r="Q276" s="209">
        <f>Mon_ILR2[[#This Row],[Qty Required]]-Mon_ILR2[[#This Row],[QTY Transfer]]</f>
        <v>0</v>
      </c>
      <c r="R276" s="66" t="s">
        <v>905</v>
      </c>
      <c r="S276" s="66" t="s">
        <v>925</v>
      </c>
      <c r="T276" s="210">
        <f>_xlfn.IFNA(VLOOKUP(Mon_ILR2[[#This Row],[New Model]],PhilipsLibary[],4,FALSE),"0")</f>
        <v>325</v>
      </c>
      <c r="U276" s="210">
        <f>_xlfn.IFNA(VLOOKUP(Mon_ILR2[[#This Row],[New Model]],PhilipsLibary[],5,FALSE),"0")</f>
        <v>0</v>
      </c>
      <c r="V276" s="210">
        <f>_xlfn.IFNA(VLOOKUP(Mon_ILR2[[#This Row],[New Model]],PhilipsLibary[],5,FALSE),"0")</f>
        <v>0</v>
      </c>
      <c r="W276" s="210">
        <f>Mon_ILR2[[#This Row],[Accessory Rate]]+Mon_ILR2[[#This Row],[Mounting Rate]]+Mon_ILR2[[#This Row],[Unit Rate]]*Mon_ILR2[[#This Row],[New Quantity Required ]]</f>
        <v>0</v>
      </c>
      <c r="X276" s="8"/>
      <c r="Y276" s="246"/>
    </row>
    <row r="277" spans="2:25" ht="15.75" customHeight="1" x14ac:dyDescent="0.25">
      <c r="B277" s="207" t="s">
        <v>299</v>
      </c>
      <c r="C277" s="66" t="s">
        <v>305</v>
      </c>
      <c r="D277" s="4" t="s">
        <v>331</v>
      </c>
      <c r="E277" s="4" t="s">
        <v>1072</v>
      </c>
      <c r="F277" s="4" t="s">
        <v>1092</v>
      </c>
      <c r="G277" s="4" t="s">
        <v>1093</v>
      </c>
      <c r="H277" s="208">
        <v>1</v>
      </c>
      <c r="I277" s="4"/>
      <c r="J277" s="46" t="s">
        <v>1104</v>
      </c>
      <c r="K277" s="4" t="str">
        <f>_xlfn.IFNA(VLOOKUP($J277,WH_Data[],6,FALSE),"")</f>
        <v>MODULE, DEVICE DRIVER</v>
      </c>
      <c r="L277" s="4" t="str">
        <f>_xlfn.IFNA(VLOOKUP($J277,WH_Data[],3,FALSE),"")</f>
        <v>PHILIPS MEDICAL SYSTEMS AUSTRA</v>
      </c>
      <c r="M277" s="4" t="str">
        <f>_xlfn.IFNA(VLOOKUP($J277,WH_Data[],5,FALSE),"")</f>
        <v>EC5 IntelliBridge Interface Module</v>
      </c>
      <c r="N277" s="4" t="str">
        <f>_xlfn.IFNA(VLOOKUP($J277,WH_Data[],7,FALSE),"")</f>
        <v>DE411E8897</v>
      </c>
      <c r="O277" s="4" t="str">
        <f>_xlfn.IFNA(VLOOKUP($J277,WH_Data[],8,FALSE),"")</f>
        <v>ICU</v>
      </c>
      <c r="P277" s="8">
        <v>1</v>
      </c>
      <c r="Q277" s="209">
        <f>Mon_ILR2[[#This Row],[Qty Required]]-Mon_ILR2[[#This Row],[QTY Transfer]]</f>
        <v>0</v>
      </c>
      <c r="R277" s="66" t="s">
        <v>905</v>
      </c>
      <c r="S277" s="66" t="s">
        <v>925</v>
      </c>
      <c r="T277" s="210">
        <f>_xlfn.IFNA(VLOOKUP(Mon_ILR2[[#This Row],[New Model]],PhilipsLibary[],4,FALSE),"0")</f>
        <v>325</v>
      </c>
      <c r="U277" s="210">
        <f>_xlfn.IFNA(VLOOKUP(Mon_ILR2[[#This Row],[New Model]],PhilipsLibary[],5,FALSE),"0")</f>
        <v>0</v>
      </c>
      <c r="V277" s="210">
        <f>_xlfn.IFNA(VLOOKUP(Mon_ILR2[[#This Row],[New Model]],PhilipsLibary[],5,FALSE),"0")</f>
        <v>0</v>
      </c>
      <c r="W277" s="210">
        <f>Mon_ILR2[[#This Row],[Accessory Rate]]+Mon_ILR2[[#This Row],[Mounting Rate]]+Mon_ILR2[[#This Row],[Unit Rate]]*Mon_ILR2[[#This Row],[New Quantity Required ]]</f>
        <v>0</v>
      </c>
      <c r="X277" s="8"/>
      <c r="Y277" s="246"/>
    </row>
    <row r="278" spans="2:25" ht="15.75" customHeight="1" x14ac:dyDescent="0.25">
      <c r="B278" s="207" t="s">
        <v>299</v>
      </c>
      <c r="C278" s="66" t="s">
        <v>333</v>
      </c>
      <c r="D278" s="4" t="s">
        <v>334</v>
      </c>
      <c r="E278" s="4" t="s">
        <v>1072</v>
      </c>
      <c r="F278" s="4" t="s">
        <v>1092</v>
      </c>
      <c r="G278" s="4" t="s">
        <v>1093</v>
      </c>
      <c r="H278" s="208">
        <v>1</v>
      </c>
      <c r="I278" s="4"/>
      <c r="J278" s="46" t="s">
        <v>1105</v>
      </c>
      <c r="K278" s="4" t="str">
        <f>_xlfn.IFNA(VLOOKUP($J278,WH_Data[],6,FALSE),"")</f>
        <v>MODULE, DEVICE DRIVER</v>
      </c>
      <c r="L278" s="4" t="str">
        <f>_xlfn.IFNA(VLOOKUP($J278,WH_Data[],3,FALSE),"")</f>
        <v>PHILIPS MEDICAL SYSTEMS AUSTRA</v>
      </c>
      <c r="M278" s="4" t="str">
        <f>_xlfn.IFNA(VLOOKUP($J278,WH_Data[],5,FALSE),"")</f>
        <v>EC5 IntelliBridge Interface Module</v>
      </c>
      <c r="N278" s="4" t="str">
        <f>_xlfn.IFNA(VLOOKUP($J278,WH_Data[],7,FALSE),"")</f>
        <v>DE411E8895</v>
      </c>
      <c r="O278" s="4" t="str">
        <f>_xlfn.IFNA(VLOOKUP($J278,WH_Data[],8,FALSE),"")</f>
        <v>ICU</v>
      </c>
      <c r="P278" s="8">
        <v>1</v>
      </c>
      <c r="Q278" s="209">
        <f>Mon_ILR2[[#This Row],[Qty Required]]-Mon_ILR2[[#This Row],[QTY Transfer]]</f>
        <v>0</v>
      </c>
      <c r="R278" s="66" t="s">
        <v>905</v>
      </c>
      <c r="S278" s="66" t="s">
        <v>925</v>
      </c>
      <c r="T278" s="210">
        <f>_xlfn.IFNA(VLOOKUP(Mon_ILR2[[#This Row],[New Model]],PhilipsLibary[],4,FALSE),"0")</f>
        <v>325</v>
      </c>
      <c r="U278" s="210">
        <f>_xlfn.IFNA(VLOOKUP(Mon_ILR2[[#This Row],[New Model]],PhilipsLibary[],5,FALSE),"0")</f>
        <v>0</v>
      </c>
      <c r="V278" s="210">
        <f>_xlfn.IFNA(VLOOKUP(Mon_ILR2[[#This Row],[New Model]],PhilipsLibary[],5,FALSE),"0")</f>
        <v>0</v>
      </c>
      <c r="W278" s="210">
        <f>Mon_ILR2[[#This Row],[Accessory Rate]]+Mon_ILR2[[#This Row],[Mounting Rate]]+Mon_ILR2[[#This Row],[Unit Rate]]*Mon_ILR2[[#This Row],[New Quantity Required ]]</f>
        <v>0</v>
      </c>
      <c r="X278" s="8"/>
      <c r="Y278" s="246"/>
    </row>
    <row r="279" spans="2:25" ht="15.75" customHeight="1" x14ac:dyDescent="0.25">
      <c r="B279" s="207" t="s">
        <v>299</v>
      </c>
      <c r="C279" s="66" t="s">
        <v>333</v>
      </c>
      <c r="D279" s="4" t="s">
        <v>336</v>
      </c>
      <c r="E279" s="4" t="s">
        <v>1072</v>
      </c>
      <c r="F279" s="4" t="s">
        <v>1092</v>
      </c>
      <c r="G279" s="4" t="s">
        <v>1093</v>
      </c>
      <c r="H279" s="208">
        <v>1</v>
      </c>
      <c r="I279" s="4"/>
      <c r="J279" s="46" t="s">
        <v>1106</v>
      </c>
      <c r="K279" s="4" t="str">
        <f>_xlfn.IFNA(VLOOKUP($J279,WH_Data[],6,FALSE),"")</f>
        <v>MODULE, DEVICE DRIVER</v>
      </c>
      <c r="L279" s="4" t="str">
        <f>_xlfn.IFNA(VLOOKUP($J279,WH_Data[],3,FALSE),"")</f>
        <v>PHILIPS MEDICAL SYSTEMS AUSTRA</v>
      </c>
      <c r="M279" s="4" t="str">
        <f>_xlfn.IFNA(VLOOKUP($J279,WH_Data[],5,FALSE),"")</f>
        <v>EC5 IntelliBridge Interface Module</v>
      </c>
      <c r="N279" s="4" t="str">
        <f>_xlfn.IFNA(VLOOKUP($J279,WH_Data[],7,FALSE),"")</f>
        <v>DE411E8901</v>
      </c>
      <c r="O279" s="4" t="str">
        <f>_xlfn.IFNA(VLOOKUP($J279,WH_Data[],8,FALSE),"")</f>
        <v>ICU</v>
      </c>
      <c r="P279" s="8">
        <v>1</v>
      </c>
      <c r="Q279" s="209">
        <f>Mon_ILR2[[#This Row],[Qty Required]]-Mon_ILR2[[#This Row],[QTY Transfer]]</f>
        <v>0</v>
      </c>
      <c r="R279" s="66" t="s">
        <v>905</v>
      </c>
      <c r="S279" s="66" t="s">
        <v>925</v>
      </c>
      <c r="T279" s="210">
        <f>_xlfn.IFNA(VLOOKUP(Mon_ILR2[[#This Row],[New Model]],PhilipsLibary[],4,FALSE),"0")</f>
        <v>325</v>
      </c>
      <c r="U279" s="210">
        <f>_xlfn.IFNA(VLOOKUP(Mon_ILR2[[#This Row],[New Model]],PhilipsLibary[],5,FALSE),"0")</f>
        <v>0</v>
      </c>
      <c r="V279" s="210">
        <f>_xlfn.IFNA(VLOOKUP(Mon_ILR2[[#This Row],[New Model]],PhilipsLibary[],5,FALSE),"0")</f>
        <v>0</v>
      </c>
      <c r="W279" s="210">
        <f>Mon_ILR2[[#This Row],[Accessory Rate]]+Mon_ILR2[[#This Row],[Mounting Rate]]+Mon_ILR2[[#This Row],[Unit Rate]]*Mon_ILR2[[#This Row],[New Quantity Required ]]</f>
        <v>0</v>
      </c>
      <c r="X279" s="8"/>
      <c r="Y279" s="246"/>
    </row>
    <row r="280" spans="2:25" ht="15.75" customHeight="1" x14ac:dyDescent="0.25">
      <c r="B280" s="207" t="s">
        <v>299</v>
      </c>
      <c r="C280" s="66" t="s">
        <v>305</v>
      </c>
      <c r="D280" s="4" t="s">
        <v>338</v>
      </c>
      <c r="E280" s="4" t="s">
        <v>1072</v>
      </c>
      <c r="F280" s="4" t="s">
        <v>1092</v>
      </c>
      <c r="G280" s="4" t="s">
        <v>1093</v>
      </c>
      <c r="H280" s="208">
        <v>1</v>
      </c>
      <c r="I280" s="4"/>
      <c r="J280" s="46" t="s">
        <v>1107</v>
      </c>
      <c r="K280" s="4" t="str">
        <f>_xlfn.IFNA(VLOOKUP($J280,WH_Data[],6,FALSE),"")</f>
        <v>MODULE, DEVICE DRIVER</v>
      </c>
      <c r="L280" s="4" t="str">
        <f>_xlfn.IFNA(VLOOKUP($J280,WH_Data[],3,FALSE),"")</f>
        <v>PHILIPS MEDICAL SYSTEMS AUSTRA</v>
      </c>
      <c r="M280" s="4" t="str">
        <f>_xlfn.IFNA(VLOOKUP($J280,WH_Data[],5,FALSE),"")</f>
        <v>EC5 IntelliBridge Interface Module</v>
      </c>
      <c r="N280" s="4" t="str">
        <f>_xlfn.IFNA(VLOOKUP($J280,WH_Data[],7,FALSE),"")</f>
        <v>DE411E8907</v>
      </c>
      <c r="O280" s="4" t="str">
        <f>_xlfn.IFNA(VLOOKUP($J280,WH_Data[],8,FALSE),"")</f>
        <v>ICU</v>
      </c>
      <c r="P280" s="8">
        <v>1</v>
      </c>
      <c r="Q280" s="209">
        <f>Mon_ILR2[[#This Row],[Qty Required]]-Mon_ILR2[[#This Row],[QTY Transfer]]</f>
        <v>0</v>
      </c>
      <c r="R280" s="66" t="s">
        <v>905</v>
      </c>
      <c r="S280" s="66" t="s">
        <v>925</v>
      </c>
      <c r="T280" s="210">
        <f>_xlfn.IFNA(VLOOKUP(Mon_ILR2[[#This Row],[New Model]],PhilipsLibary[],4,FALSE),"0")</f>
        <v>325</v>
      </c>
      <c r="U280" s="210">
        <f>_xlfn.IFNA(VLOOKUP(Mon_ILR2[[#This Row],[New Model]],PhilipsLibary[],5,FALSE),"0")</f>
        <v>0</v>
      </c>
      <c r="V280" s="210">
        <f>_xlfn.IFNA(VLOOKUP(Mon_ILR2[[#This Row],[New Model]],PhilipsLibary[],5,FALSE),"0")</f>
        <v>0</v>
      </c>
      <c r="W280" s="210">
        <f>Mon_ILR2[[#This Row],[Accessory Rate]]+Mon_ILR2[[#This Row],[Mounting Rate]]+Mon_ILR2[[#This Row],[Unit Rate]]*Mon_ILR2[[#This Row],[New Quantity Required ]]</f>
        <v>0</v>
      </c>
      <c r="X280" s="8"/>
      <c r="Y280" s="246"/>
    </row>
    <row r="281" spans="2:25" ht="30" x14ac:dyDescent="0.25">
      <c r="B281" s="207" t="s">
        <v>299</v>
      </c>
      <c r="C281" s="66" t="s">
        <v>305</v>
      </c>
      <c r="D281" s="4" t="s">
        <v>342</v>
      </c>
      <c r="E281" s="4" t="s">
        <v>1072</v>
      </c>
      <c r="F281" s="4" t="s">
        <v>1092</v>
      </c>
      <c r="G281" s="4" t="s">
        <v>1093</v>
      </c>
      <c r="H281" s="208">
        <v>1</v>
      </c>
      <c r="I281" s="4"/>
      <c r="J281" s="15"/>
      <c r="K281" s="4" t="str">
        <f>_xlfn.IFNA(VLOOKUP($J281,WH_Data[],6,FALSE),"")</f>
        <v/>
      </c>
      <c r="L281" s="4" t="str">
        <f>_xlfn.IFNA(VLOOKUP($J281,WH_Data[],3,FALSE),"")</f>
        <v/>
      </c>
      <c r="M281" s="4" t="str">
        <f>_xlfn.IFNA(VLOOKUP($J281,WH_Data[],5,FALSE),"")</f>
        <v/>
      </c>
      <c r="N281" s="4" t="str">
        <f>_xlfn.IFNA(VLOOKUP($J281,WH_Data[],7,FALSE),"")</f>
        <v/>
      </c>
      <c r="O281" s="4" t="str">
        <f>_xlfn.IFNA(VLOOKUP($J281,WH_Data[],8,FALSE),"")</f>
        <v/>
      </c>
      <c r="P281" s="8"/>
      <c r="Q281" s="209">
        <f>Mon_ILR2[[#This Row],[Qty Required]]-Mon_ILR2[[#This Row],[QTY Transfer]]</f>
        <v>1</v>
      </c>
      <c r="R281" s="66" t="s">
        <v>905</v>
      </c>
      <c r="S281" s="66" t="s">
        <v>925</v>
      </c>
      <c r="T281" s="210">
        <f>_xlfn.IFNA(VLOOKUP(Mon_ILR2[[#This Row],[New Model]],PhilipsLibary[],4,FALSE),"0")</f>
        <v>325</v>
      </c>
      <c r="U281" s="210">
        <f>_xlfn.IFNA(VLOOKUP(Mon_ILR2[[#This Row],[New Model]],PhilipsLibary[],5,FALSE),"0")</f>
        <v>0</v>
      </c>
      <c r="V281" s="210">
        <f>_xlfn.IFNA(VLOOKUP(Mon_ILR2[[#This Row],[New Model]],PhilipsLibary[],5,FALSE),"0")</f>
        <v>0</v>
      </c>
      <c r="W281" s="210">
        <f>Mon_ILR2[[#This Row],[Accessory Rate]]+Mon_ILR2[[#This Row],[Mounting Rate]]+Mon_ILR2[[#This Row],[Unit Rate]]*Mon_ILR2[[#This Row],[New Quantity Required ]]</f>
        <v>325</v>
      </c>
      <c r="X281" s="8"/>
      <c r="Y281" s="289" t="s">
        <v>2144</v>
      </c>
    </row>
    <row r="282" spans="2:25" ht="30" x14ac:dyDescent="0.25">
      <c r="B282" s="207" t="s">
        <v>299</v>
      </c>
      <c r="C282" s="66" t="s">
        <v>305</v>
      </c>
      <c r="D282" s="4" t="s">
        <v>345</v>
      </c>
      <c r="E282" s="4" t="s">
        <v>1072</v>
      </c>
      <c r="F282" s="4" t="s">
        <v>1092</v>
      </c>
      <c r="G282" s="4" t="s">
        <v>1093</v>
      </c>
      <c r="H282" s="208">
        <v>1</v>
      </c>
      <c r="I282" s="4"/>
      <c r="J282" s="15"/>
      <c r="K282" s="4" t="str">
        <f>_xlfn.IFNA(VLOOKUP($J282,WH_Data[],6,FALSE),"")</f>
        <v/>
      </c>
      <c r="L282" s="4" t="str">
        <f>_xlfn.IFNA(VLOOKUP($J282,WH_Data[],3,FALSE),"")</f>
        <v/>
      </c>
      <c r="M282" s="4" t="str">
        <f>_xlfn.IFNA(VLOOKUP($J282,WH_Data[],5,FALSE),"")</f>
        <v/>
      </c>
      <c r="N282" s="4" t="str">
        <f>_xlfn.IFNA(VLOOKUP($J282,WH_Data[],7,FALSE),"")</f>
        <v/>
      </c>
      <c r="O282" s="4" t="str">
        <f>_xlfn.IFNA(VLOOKUP($J282,WH_Data[],8,FALSE),"")</f>
        <v/>
      </c>
      <c r="P282" s="8"/>
      <c r="Q282" s="209">
        <f>Mon_ILR2[[#This Row],[Qty Required]]-Mon_ILR2[[#This Row],[QTY Transfer]]</f>
        <v>1</v>
      </c>
      <c r="R282" s="66" t="s">
        <v>905</v>
      </c>
      <c r="S282" s="66" t="s">
        <v>925</v>
      </c>
      <c r="T282" s="210">
        <f>_xlfn.IFNA(VLOOKUP(Mon_ILR2[[#This Row],[New Model]],PhilipsLibary[],4,FALSE),"0")</f>
        <v>325</v>
      </c>
      <c r="U282" s="210">
        <f>_xlfn.IFNA(VLOOKUP(Mon_ILR2[[#This Row],[New Model]],PhilipsLibary[],5,FALSE),"0")</f>
        <v>0</v>
      </c>
      <c r="V282" s="210">
        <f>_xlfn.IFNA(VLOOKUP(Mon_ILR2[[#This Row],[New Model]],PhilipsLibary[],5,FALSE),"0")</f>
        <v>0</v>
      </c>
      <c r="W282" s="210">
        <f>Mon_ILR2[[#This Row],[Accessory Rate]]+Mon_ILR2[[#This Row],[Mounting Rate]]+Mon_ILR2[[#This Row],[Unit Rate]]*Mon_ILR2[[#This Row],[New Quantity Required ]]</f>
        <v>325</v>
      </c>
      <c r="X282" s="8"/>
      <c r="Y282" s="289" t="s">
        <v>2145</v>
      </c>
    </row>
    <row r="283" spans="2:25" ht="30" x14ac:dyDescent="0.25">
      <c r="B283" s="207" t="s">
        <v>299</v>
      </c>
      <c r="C283" s="66" t="s">
        <v>324</v>
      </c>
      <c r="D283" s="4" t="s">
        <v>348</v>
      </c>
      <c r="E283" s="4" t="s">
        <v>1072</v>
      </c>
      <c r="F283" s="4" t="s">
        <v>1092</v>
      </c>
      <c r="G283" s="4" t="s">
        <v>1093</v>
      </c>
      <c r="H283" s="208">
        <v>1</v>
      </c>
      <c r="I283" s="4"/>
      <c r="J283" s="15"/>
      <c r="K283" s="4" t="str">
        <f>_xlfn.IFNA(VLOOKUP($J283,WH_Data[],6,FALSE),"")</f>
        <v/>
      </c>
      <c r="L283" s="4" t="str">
        <f>_xlfn.IFNA(VLOOKUP($J283,WH_Data[],3,FALSE),"")</f>
        <v/>
      </c>
      <c r="M283" s="4" t="str">
        <f>_xlfn.IFNA(VLOOKUP($J283,WH_Data[],5,FALSE),"")</f>
        <v/>
      </c>
      <c r="N283" s="4" t="str">
        <f>_xlfn.IFNA(VLOOKUP($J283,WH_Data[],7,FALSE),"")</f>
        <v/>
      </c>
      <c r="O283" s="4" t="str">
        <f>_xlfn.IFNA(VLOOKUP($J283,WH_Data[],8,FALSE),"")</f>
        <v/>
      </c>
      <c r="P283" s="8"/>
      <c r="Q283" s="209">
        <f>Mon_ILR2[[#This Row],[Qty Required]]-Mon_ILR2[[#This Row],[QTY Transfer]]</f>
        <v>1</v>
      </c>
      <c r="R283" s="66" t="s">
        <v>905</v>
      </c>
      <c r="S283" s="66" t="s">
        <v>925</v>
      </c>
      <c r="T283" s="210">
        <f>_xlfn.IFNA(VLOOKUP(Mon_ILR2[[#This Row],[New Model]],PhilipsLibary[],4,FALSE),"0")</f>
        <v>325</v>
      </c>
      <c r="U283" s="210">
        <f>_xlfn.IFNA(VLOOKUP(Mon_ILR2[[#This Row],[New Model]],PhilipsLibary[],5,FALSE),"0")</f>
        <v>0</v>
      </c>
      <c r="V283" s="210">
        <f>_xlfn.IFNA(VLOOKUP(Mon_ILR2[[#This Row],[New Model]],PhilipsLibary[],5,FALSE),"0")</f>
        <v>0</v>
      </c>
      <c r="W283" s="210">
        <f>Mon_ILR2[[#This Row],[Accessory Rate]]+Mon_ILR2[[#This Row],[Mounting Rate]]+Mon_ILR2[[#This Row],[Unit Rate]]*Mon_ILR2[[#This Row],[New Quantity Required ]]</f>
        <v>325</v>
      </c>
      <c r="X283" s="8"/>
      <c r="Y283" s="289" t="s">
        <v>2146</v>
      </c>
    </row>
    <row r="284" spans="2:25" ht="30" x14ac:dyDescent="0.25">
      <c r="B284" s="207" t="s">
        <v>299</v>
      </c>
      <c r="C284" s="66" t="s">
        <v>305</v>
      </c>
      <c r="D284" s="4" t="s">
        <v>350</v>
      </c>
      <c r="E284" s="4" t="s">
        <v>1072</v>
      </c>
      <c r="F284" s="4" t="s">
        <v>1092</v>
      </c>
      <c r="G284" s="4" t="s">
        <v>1093</v>
      </c>
      <c r="H284" s="208">
        <v>1</v>
      </c>
      <c r="I284" s="4"/>
      <c r="J284" s="15"/>
      <c r="K284" s="4" t="str">
        <f>_xlfn.IFNA(VLOOKUP($J284,WH_Data[],6,FALSE),"")</f>
        <v/>
      </c>
      <c r="L284" s="4" t="str">
        <f>_xlfn.IFNA(VLOOKUP($J284,WH_Data[],3,FALSE),"")</f>
        <v/>
      </c>
      <c r="M284" s="4" t="str">
        <f>_xlfn.IFNA(VLOOKUP($J284,WH_Data[],5,FALSE),"")</f>
        <v/>
      </c>
      <c r="N284" s="4" t="str">
        <f>_xlfn.IFNA(VLOOKUP($J284,WH_Data[],7,FALSE),"")</f>
        <v/>
      </c>
      <c r="O284" s="4" t="str">
        <f>_xlfn.IFNA(VLOOKUP($J284,WH_Data[],8,FALSE),"")</f>
        <v/>
      </c>
      <c r="P284" s="8"/>
      <c r="Q284" s="209">
        <f>Mon_ILR2[[#This Row],[Qty Required]]-Mon_ILR2[[#This Row],[QTY Transfer]]</f>
        <v>1</v>
      </c>
      <c r="R284" s="66" t="s">
        <v>905</v>
      </c>
      <c r="S284" s="66" t="s">
        <v>925</v>
      </c>
      <c r="T284" s="210">
        <f>_xlfn.IFNA(VLOOKUP(Mon_ILR2[[#This Row],[New Model]],PhilipsLibary[],4,FALSE),"0")</f>
        <v>325</v>
      </c>
      <c r="U284" s="210">
        <f>_xlfn.IFNA(VLOOKUP(Mon_ILR2[[#This Row],[New Model]],PhilipsLibary[],5,FALSE),"0")</f>
        <v>0</v>
      </c>
      <c r="V284" s="210">
        <f>_xlfn.IFNA(VLOOKUP(Mon_ILR2[[#This Row],[New Model]],PhilipsLibary[],5,FALSE),"0")</f>
        <v>0</v>
      </c>
      <c r="W284" s="210">
        <f>Mon_ILR2[[#This Row],[Accessory Rate]]+Mon_ILR2[[#This Row],[Mounting Rate]]+Mon_ILR2[[#This Row],[Unit Rate]]*Mon_ILR2[[#This Row],[New Quantity Required ]]</f>
        <v>325</v>
      </c>
      <c r="X284" s="8"/>
      <c r="Y284" s="289" t="s">
        <v>2147</v>
      </c>
    </row>
    <row r="285" spans="2:25" ht="30" x14ac:dyDescent="0.25">
      <c r="B285" s="207" t="s">
        <v>299</v>
      </c>
      <c r="C285" s="66" t="s">
        <v>333</v>
      </c>
      <c r="D285" s="4" t="s">
        <v>353</v>
      </c>
      <c r="E285" s="4" t="s">
        <v>1072</v>
      </c>
      <c r="F285" s="4" t="s">
        <v>1092</v>
      </c>
      <c r="G285" s="4" t="s">
        <v>1093</v>
      </c>
      <c r="H285" s="208">
        <v>1</v>
      </c>
      <c r="I285" s="4"/>
      <c r="J285" s="15"/>
      <c r="K285" s="4" t="str">
        <f>_xlfn.IFNA(VLOOKUP($J285,WH_Data[],6,FALSE),"")</f>
        <v/>
      </c>
      <c r="L285" s="4" t="str">
        <f>_xlfn.IFNA(VLOOKUP($J285,WH_Data[],3,FALSE),"")</f>
        <v/>
      </c>
      <c r="M285" s="4" t="str">
        <f>_xlfn.IFNA(VLOOKUP($J285,WH_Data[],5,FALSE),"")</f>
        <v/>
      </c>
      <c r="N285" s="4" t="str">
        <f>_xlfn.IFNA(VLOOKUP($J285,WH_Data[],7,FALSE),"")</f>
        <v/>
      </c>
      <c r="O285" s="4" t="str">
        <f>_xlfn.IFNA(VLOOKUP($J285,WH_Data[],8,FALSE),"")</f>
        <v/>
      </c>
      <c r="P285" s="8"/>
      <c r="Q285" s="209">
        <f>Mon_ILR2[[#This Row],[Qty Required]]-Mon_ILR2[[#This Row],[QTY Transfer]]</f>
        <v>1</v>
      </c>
      <c r="R285" s="66" t="s">
        <v>905</v>
      </c>
      <c r="S285" s="66" t="s">
        <v>925</v>
      </c>
      <c r="T285" s="210">
        <f>_xlfn.IFNA(VLOOKUP(Mon_ILR2[[#This Row],[New Model]],PhilipsLibary[],4,FALSE),"0")</f>
        <v>325</v>
      </c>
      <c r="U285" s="210">
        <f>_xlfn.IFNA(VLOOKUP(Mon_ILR2[[#This Row],[New Model]],PhilipsLibary[],5,FALSE),"0")</f>
        <v>0</v>
      </c>
      <c r="V285" s="210">
        <f>_xlfn.IFNA(VLOOKUP(Mon_ILR2[[#This Row],[New Model]],PhilipsLibary[],5,FALSE),"0")</f>
        <v>0</v>
      </c>
      <c r="W285" s="210">
        <f>Mon_ILR2[[#This Row],[Accessory Rate]]+Mon_ILR2[[#This Row],[Mounting Rate]]+Mon_ILR2[[#This Row],[Unit Rate]]*Mon_ILR2[[#This Row],[New Quantity Required ]]</f>
        <v>325</v>
      </c>
      <c r="X285" s="8"/>
      <c r="Y285" s="289" t="s">
        <v>2147</v>
      </c>
    </row>
    <row r="286" spans="2:25" ht="30" x14ac:dyDescent="0.25">
      <c r="B286" s="207" t="s">
        <v>299</v>
      </c>
      <c r="C286" s="66" t="s">
        <v>305</v>
      </c>
      <c r="D286" s="4" t="s">
        <v>355</v>
      </c>
      <c r="E286" s="4" t="s">
        <v>1072</v>
      </c>
      <c r="F286" s="4" t="s">
        <v>1092</v>
      </c>
      <c r="G286" s="4" t="s">
        <v>1093</v>
      </c>
      <c r="H286" s="208">
        <v>1</v>
      </c>
      <c r="I286" s="4"/>
      <c r="J286" s="15"/>
      <c r="K286" s="4" t="str">
        <f>_xlfn.IFNA(VLOOKUP($J286,WH_Data[],6,FALSE),"")</f>
        <v/>
      </c>
      <c r="L286" s="4" t="str">
        <f>_xlfn.IFNA(VLOOKUP($J286,WH_Data[],3,FALSE),"")</f>
        <v/>
      </c>
      <c r="M286" s="4" t="str">
        <f>_xlfn.IFNA(VLOOKUP($J286,WH_Data[],5,FALSE),"")</f>
        <v/>
      </c>
      <c r="N286" s="4" t="str">
        <f>_xlfn.IFNA(VLOOKUP($J286,WH_Data[],7,FALSE),"")</f>
        <v/>
      </c>
      <c r="O286" s="4" t="str">
        <f>_xlfn.IFNA(VLOOKUP($J286,WH_Data[],8,FALSE),"")</f>
        <v/>
      </c>
      <c r="P286" s="8"/>
      <c r="Q286" s="209">
        <f>Mon_ILR2[[#This Row],[Qty Required]]-Mon_ILR2[[#This Row],[QTY Transfer]]</f>
        <v>1</v>
      </c>
      <c r="R286" s="66" t="s">
        <v>905</v>
      </c>
      <c r="S286" s="66" t="s">
        <v>925</v>
      </c>
      <c r="T286" s="210">
        <f>_xlfn.IFNA(VLOOKUP(Mon_ILR2[[#This Row],[New Model]],PhilipsLibary[],4,FALSE),"0")</f>
        <v>325</v>
      </c>
      <c r="U286" s="210">
        <f>_xlfn.IFNA(VLOOKUP(Mon_ILR2[[#This Row],[New Model]],PhilipsLibary[],5,FALSE),"0")</f>
        <v>0</v>
      </c>
      <c r="V286" s="210">
        <f>_xlfn.IFNA(VLOOKUP(Mon_ILR2[[#This Row],[New Model]],PhilipsLibary[],5,FALSE),"0")</f>
        <v>0</v>
      </c>
      <c r="W286" s="210">
        <f>Mon_ILR2[[#This Row],[Accessory Rate]]+Mon_ILR2[[#This Row],[Mounting Rate]]+Mon_ILR2[[#This Row],[Unit Rate]]*Mon_ILR2[[#This Row],[New Quantity Required ]]</f>
        <v>325</v>
      </c>
      <c r="X286" s="8"/>
      <c r="Y286" s="289" t="s">
        <v>2147</v>
      </c>
    </row>
    <row r="287" spans="2:25" ht="30" x14ac:dyDescent="0.25">
      <c r="B287" s="207" t="s">
        <v>299</v>
      </c>
      <c r="C287" s="66" t="s">
        <v>305</v>
      </c>
      <c r="D287" s="4" t="s">
        <v>358</v>
      </c>
      <c r="E287" s="4" t="s">
        <v>1072</v>
      </c>
      <c r="F287" s="4" t="s">
        <v>1092</v>
      </c>
      <c r="G287" s="4" t="s">
        <v>1093</v>
      </c>
      <c r="H287" s="208">
        <v>1</v>
      </c>
      <c r="I287" s="4"/>
      <c r="J287" s="15"/>
      <c r="K287" s="4" t="str">
        <f>_xlfn.IFNA(VLOOKUP($J287,WH_Data[],6,FALSE),"")</f>
        <v/>
      </c>
      <c r="L287" s="4" t="str">
        <f>_xlfn.IFNA(VLOOKUP($J287,WH_Data[],3,FALSE),"")</f>
        <v/>
      </c>
      <c r="M287" s="4" t="str">
        <f>_xlfn.IFNA(VLOOKUP($J287,WH_Data[],5,FALSE),"")</f>
        <v/>
      </c>
      <c r="N287" s="4" t="str">
        <f>_xlfn.IFNA(VLOOKUP($J287,WH_Data[],7,FALSE),"")</f>
        <v/>
      </c>
      <c r="O287" s="4" t="str">
        <f>_xlfn.IFNA(VLOOKUP($J287,WH_Data[],8,FALSE),"")</f>
        <v/>
      </c>
      <c r="P287" s="8"/>
      <c r="Q287" s="209">
        <f>Mon_ILR2[[#This Row],[Qty Required]]-Mon_ILR2[[#This Row],[QTY Transfer]]</f>
        <v>1</v>
      </c>
      <c r="R287" s="66" t="s">
        <v>905</v>
      </c>
      <c r="S287" s="66" t="s">
        <v>925</v>
      </c>
      <c r="T287" s="210">
        <f>_xlfn.IFNA(VLOOKUP(Mon_ILR2[[#This Row],[New Model]],PhilipsLibary[],4,FALSE),"0")</f>
        <v>325</v>
      </c>
      <c r="U287" s="210">
        <f>_xlfn.IFNA(VLOOKUP(Mon_ILR2[[#This Row],[New Model]],PhilipsLibary[],5,FALSE),"0")</f>
        <v>0</v>
      </c>
      <c r="V287" s="210">
        <f>_xlfn.IFNA(VLOOKUP(Mon_ILR2[[#This Row],[New Model]],PhilipsLibary[],5,FALSE),"0")</f>
        <v>0</v>
      </c>
      <c r="W287" s="210">
        <f>Mon_ILR2[[#This Row],[Accessory Rate]]+Mon_ILR2[[#This Row],[Mounting Rate]]+Mon_ILR2[[#This Row],[Unit Rate]]*Mon_ILR2[[#This Row],[New Quantity Required ]]</f>
        <v>325</v>
      </c>
      <c r="X287" s="8"/>
      <c r="Y287" s="289" t="s">
        <v>2147</v>
      </c>
    </row>
    <row r="288" spans="2:25" ht="30" x14ac:dyDescent="0.25">
      <c r="B288" s="207" t="s">
        <v>299</v>
      </c>
      <c r="C288" s="66" t="s">
        <v>333</v>
      </c>
      <c r="D288" s="4" t="s">
        <v>361</v>
      </c>
      <c r="E288" s="4" t="s">
        <v>1072</v>
      </c>
      <c r="F288" s="4" t="s">
        <v>1092</v>
      </c>
      <c r="G288" s="4" t="s">
        <v>1093</v>
      </c>
      <c r="H288" s="208">
        <v>1</v>
      </c>
      <c r="I288" s="4"/>
      <c r="J288" s="15"/>
      <c r="K288" s="4" t="str">
        <f>_xlfn.IFNA(VLOOKUP($J288,WH_Data[],6,FALSE),"")</f>
        <v/>
      </c>
      <c r="L288" s="4" t="str">
        <f>_xlfn.IFNA(VLOOKUP($J288,WH_Data[],3,FALSE),"")</f>
        <v/>
      </c>
      <c r="M288" s="4" t="str">
        <f>_xlfn.IFNA(VLOOKUP($J288,WH_Data[],5,FALSE),"")</f>
        <v/>
      </c>
      <c r="N288" s="4" t="str">
        <f>_xlfn.IFNA(VLOOKUP($J288,WH_Data[],7,FALSE),"")</f>
        <v/>
      </c>
      <c r="O288" s="4" t="str">
        <f>_xlfn.IFNA(VLOOKUP($J288,WH_Data[],8,FALSE),"")</f>
        <v/>
      </c>
      <c r="P288" s="8"/>
      <c r="Q288" s="209">
        <f>Mon_ILR2[[#This Row],[Qty Required]]-Mon_ILR2[[#This Row],[QTY Transfer]]</f>
        <v>1</v>
      </c>
      <c r="R288" s="66" t="s">
        <v>905</v>
      </c>
      <c r="S288" s="66" t="s">
        <v>925</v>
      </c>
      <c r="T288" s="210">
        <f>_xlfn.IFNA(VLOOKUP(Mon_ILR2[[#This Row],[New Model]],PhilipsLibary[],4,FALSE),"0")</f>
        <v>325</v>
      </c>
      <c r="U288" s="210">
        <f>_xlfn.IFNA(VLOOKUP(Mon_ILR2[[#This Row],[New Model]],PhilipsLibary[],5,FALSE),"0")</f>
        <v>0</v>
      </c>
      <c r="V288" s="210">
        <f>_xlfn.IFNA(VLOOKUP(Mon_ILR2[[#This Row],[New Model]],PhilipsLibary[],5,FALSE),"0")</f>
        <v>0</v>
      </c>
      <c r="W288" s="210">
        <f>Mon_ILR2[[#This Row],[Accessory Rate]]+Mon_ILR2[[#This Row],[Mounting Rate]]+Mon_ILR2[[#This Row],[Unit Rate]]*Mon_ILR2[[#This Row],[New Quantity Required ]]</f>
        <v>325</v>
      </c>
      <c r="X288" s="8"/>
      <c r="Y288" s="289" t="s">
        <v>2147</v>
      </c>
    </row>
    <row r="289" spans="2:25" ht="15.75" customHeight="1" x14ac:dyDescent="0.25">
      <c r="B289" s="207" t="s">
        <v>299</v>
      </c>
      <c r="C289" s="66" t="s">
        <v>305</v>
      </c>
      <c r="D289" s="4" t="s">
        <v>306</v>
      </c>
      <c r="E289" s="4" t="s">
        <v>1072</v>
      </c>
      <c r="F289" s="4" t="s">
        <v>1108</v>
      </c>
      <c r="G289" s="4" t="s">
        <v>1093</v>
      </c>
      <c r="H289" s="208">
        <v>1</v>
      </c>
      <c r="I289" s="4"/>
      <c r="J289" s="46" t="s">
        <v>1109</v>
      </c>
      <c r="K289" s="4" t="str">
        <f>_xlfn.IFNA(VLOOKUP($J289,WH_Data[],6,FALSE),"")</f>
        <v>MODULE, INTERFACE</v>
      </c>
      <c r="L289" s="4" t="str">
        <f>_xlfn.IFNA(VLOOKUP($J289,WH_Data[],3,FALSE),"")</f>
        <v>PHILIPS MEDICAL SYSTEMS AUSTRA</v>
      </c>
      <c r="M289" s="4" t="str">
        <f>_xlfn.IFNA(VLOOKUP($J289,WH_Data[],5,FALSE),"")</f>
        <v>Intellibridge EC10</v>
      </c>
      <c r="N289" s="4" t="str">
        <f>_xlfn.IFNA(VLOOKUP($J289,WH_Data[],7,FALSE),"")</f>
        <v>DE73785558</v>
      </c>
      <c r="O289" s="4" t="str">
        <f>_xlfn.IFNA(VLOOKUP($J289,WH_Data[],8,FALSE),"")</f>
        <v>ICU</v>
      </c>
      <c r="P289" s="8">
        <v>1</v>
      </c>
      <c r="Q289" s="209">
        <f>Mon_ILR2[[#This Row],[Qty Required]]-Mon_ILR2[[#This Row],[QTY Transfer]]</f>
        <v>0</v>
      </c>
      <c r="R289" s="66" t="s">
        <v>905</v>
      </c>
      <c r="S289" s="66" t="s">
        <v>922</v>
      </c>
      <c r="T289" s="210">
        <f>_xlfn.IFNA(VLOOKUP(Mon_ILR2[[#This Row],[New Model]],PhilipsLibary[],4,FALSE),"0")</f>
        <v>1088</v>
      </c>
      <c r="U289" s="210">
        <f>_xlfn.IFNA(VLOOKUP(Mon_ILR2[[#This Row],[New Model]],PhilipsLibary[],5,FALSE),"0")</f>
        <v>0</v>
      </c>
      <c r="V289" s="210">
        <f>_xlfn.IFNA(VLOOKUP(Mon_ILR2[[#This Row],[New Model]],PhilipsLibary[],5,FALSE),"0")</f>
        <v>0</v>
      </c>
      <c r="W289" s="210">
        <f>Mon_ILR2[[#This Row],[Accessory Rate]]+Mon_ILR2[[#This Row],[Mounting Rate]]+Mon_ILR2[[#This Row],[Unit Rate]]*Mon_ILR2[[#This Row],[New Quantity Required ]]</f>
        <v>0</v>
      </c>
      <c r="X289" s="8"/>
      <c r="Y289" s="246"/>
    </row>
    <row r="290" spans="2:25" ht="15.75" customHeight="1" x14ac:dyDescent="0.25">
      <c r="B290" s="207" t="s">
        <v>299</v>
      </c>
      <c r="C290" s="66" t="s">
        <v>305</v>
      </c>
      <c r="D290" s="4" t="s">
        <v>309</v>
      </c>
      <c r="E290" s="4" t="s">
        <v>1072</v>
      </c>
      <c r="F290" s="4" t="s">
        <v>1108</v>
      </c>
      <c r="G290" s="4" t="s">
        <v>1093</v>
      </c>
      <c r="H290" s="208">
        <v>1</v>
      </c>
      <c r="I290" s="4"/>
      <c r="J290" s="46" t="s">
        <v>1110</v>
      </c>
      <c r="K290" s="4" t="str">
        <f>_xlfn.IFNA(VLOOKUP($J290,WH_Data[],6,FALSE),"")</f>
        <v>MODULE, INTERFACE</v>
      </c>
      <c r="L290" s="4" t="str">
        <f>_xlfn.IFNA(VLOOKUP($J290,WH_Data[],3,FALSE),"")</f>
        <v>PHILIPS MEDICAL SYSTEMS AUSTRA</v>
      </c>
      <c r="M290" s="4" t="str">
        <f>_xlfn.IFNA(VLOOKUP($J290,WH_Data[],5,FALSE),"")</f>
        <v>Intellibridge EC10</v>
      </c>
      <c r="N290" s="4" t="str">
        <f>_xlfn.IFNA(VLOOKUP($J290,WH_Data[],7,FALSE),"")</f>
        <v>DE73785516</v>
      </c>
      <c r="O290" s="4" t="str">
        <f>_xlfn.IFNA(VLOOKUP($J290,WH_Data[],8,FALSE),"")</f>
        <v>ICU</v>
      </c>
      <c r="P290" s="8">
        <v>1</v>
      </c>
      <c r="Q290" s="209">
        <f>Mon_ILR2[[#This Row],[Qty Required]]-Mon_ILR2[[#This Row],[QTY Transfer]]</f>
        <v>0</v>
      </c>
      <c r="R290" s="66" t="s">
        <v>905</v>
      </c>
      <c r="S290" s="66" t="s">
        <v>922</v>
      </c>
      <c r="T290" s="210">
        <f>_xlfn.IFNA(VLOOKUP(Mon_ILR2[[#This Row],[New Model]],PhilipsLibary[],4,FALSE),"0")</f>
        <v>1088</v>
      </c>
      <c r="U290" s="210">
        <f>_xlfn.IFNA(VLOOKUP(Mon_ILR2[[#This Row],[New Model]],PhilipsLibary[],5,FALSE),"0")</f>
        <v>0</v>
      </c>
      <c r="V290" s="210">
        <f>_xlfn.IFNA(VLOOKUP(Mon_ILR2[[#This Row],[New Model]],PhilipsLibary[],5,FALSE),"0")</f>
        <v>0</v>
      </c>
      <c r="W290" s="210">
        <f>Mon_ILR2[[#This Row],[Accessory Rate]]+Mon_ILR2[[#This Row],[Mounting Rate]]+Mon_ILR2[[#This Row],[Unit Rate]]*Mon_ILR2[[#This Row],[New Quantity Required ]]</f>
        <v>0</v>
      </c>
      <c r="X290" s="8"/>
      <c r="Y290" s="246"/>
    </row>
    <row r="291" spans="2:25" ht="15.75" customHeight="1" x14ac:dyDescent="0.25">
      <c r="B291" s="207" t="s">
        <v>299</v>
      </c>
      <c r="C291" s="66" t="s">
        <v>305</v>
      </c>
      <c r="D291" s="4" t="s">
        <v>311</v>
      </c>
      <c r="E291" s="4" t="s">
        <v>1072</v>
      </c>
      <c r="F291" s="4" t="s">
        <v>1108</v>
      </c>
      <c r="G291" s="4" t="s">
        <v>1093</v>
      </c>
      <c r="H291" s="208">
        <v>1</v>
      </c>
      <c r="I291" s="4"/>
      <c r="J291" s="46" t="s">
        <v>1111</v>
      </c>
      <c r="K291" s="4" t="str">
        <f>_xlfn.IFNA(VLOOKUP($J291,WH_Data[],6,FALSE),"")</f>
        <v>MODULE, INTERFACE</v>
      </c>
      <c r="L291" s="4" t="str">
        <f>_xlfn.IFNA(VLOOKUP($J291,WH_Data[],3,FALSE),"")</f>
        <v>PHILIPS MEDICAL SYSTEMS AUSTRA</v>
      </c>
      <c r="M291" s="4" t="str">
        <f>_xlfn.IFNA(VLOOKUP($J291,WH_Data[],5,FALSE),"")</f>
        <v>Intellibridge EC10</v>
      </c>
      <c r="N291" s="4" t="str">
        <f>_xlfn.IFNA(VLOOKUP($J291,WH_Data[],7,FALSE),"")</f>
        <v>DE73785561</v>
      </c>
      <c r="O291" s="4" t="str">
        <f>_xlfn.IFNA(VLOOKUP($J291,WH_Data[],8,FALSE),"")</f>
        <v>ICU</v>
      </c>
      <c r="P291" s="8">
        <v>1</v>
      </c>
      <c r="Q291" s="209">
        <f>Mon_ILR2[[#This Row],[Qty Required]]-Mon_ILR2[[#This Row],[QTY Transfer]]</f>
        <v>0</v>
      </c>
      <c r="R291" s="66" t="s">
        <v>905</v>
      </c>
      <c r="S291" s="66" t="s">
        <v>922</v>
      </c>
      <c r="T291" s="210">
        <f>_xlfn.IFNA(VLOOKUP(Mon_ILR2[[#This Row],[New Model]],PhilipsLibary[],4,FALSE),"0")</f>
        <v>1088</v>
      </c>
      <c r="U291" s="210">
        <f>_xlfn.IFNA(VLOOKUP(Mon_ILR2[[#This Row],[New Model]],PhilipsLibary[],5,FALSE),"0")</f>
        <v>0</v>
      </c>
      <c r="V291" s="210">
        <f>_xlfn.IFNA(VLOOKUP(Mon_ILR2[[#This Row],[New Model]],PhilipsLibary[],5,FALSE),"0")</f>
        <v>0</v>
      </c>
      <c r="W291" s="210">
        <f>Mon_ILR2[[#This Row],[Accessory Rate]]+Mon_ILR2[[#This Row],[Mounting Rate]]+Mon_ILR2[[#This Row],[Unit Rate]]*Mon_ILR2[[#This Row],[New Quantity Required ]]</f>
        <v>0</v>
      </c>
      <c r="X291" s="8"/>
      <c r="Y291" s="246"/>
    </row>
    <row r="292" spans="2:25" ht="15.75" customHeight="1" x14ac:dyDescent="0.25">
      <c r="B292" s="207" t="s">
        <v>299</v>
      </c>
      <c r="C292" s="66" t="s">
        <v>313</v>
      </c>
      <c r="D292" s="4" t="s">
        <v>314</v>
      </c>
      <c r="E292" s="4" t="s">
        <v>1072</v>
      </c>
      <c r="F292" s="4" t="s">
        <v>1108</v>
      </c>
      <c r="G292" s="4" t="s">
        <v>1093</v>
      </c>
      <c r="H292" s="208">
        <v>1</v>
      </c>
      <c r="I292" s="4"/>
      <c r="J292" s="46" t="s">
        <v>1112</v>
      </c>
      <c r="K292" s="4" t="str">
        <f>_xlfn.IFNA(VLOOKUP($J292,WH_Data[],6,FALSE),"")</f>
        <v>MODULE, INTERFACE</v>
      </c>
      <c r="L292" s="4" t="str">
        <f>_xlfn.IFNA(VLOOKUP($J292,WH_Data[],3,FALSE),"")</f>
        <v>PHILIPS MEDICAL SYSTEMS AUSTRA</v>
      </c>
      <c r="M292" s="4" t="str">
        <f>_xlfn.IFNA(VLOOKUP($J292,WH_Data[],5,FALSE),"")</f>
        <v>Intellibridge EC10</v>
      </c>
      <c r="N292" s="4" t="str">
        <f>_xlfn.IFNA(VLOOKUP($J292,WH_Data[],7,FALSE),"")</f>
        <v>DE73785592</v>
      </c>
      <c r="O292" s="4" t="str">
        <f>_xlfn.IFNA(VLOOKUP($J292,WH_Data[],8,FALSE),"")</f>
        <v>ICU</v>
      </c>
      <c r="P292" s="8">
        <v>1</v>
      </c>
      <c r="Q292" s="209">
        <f>Mon_ILR2[[#This Row],[Qty Required]]-Mon_ILR2[[#This Row],[QTY Transfer]]</f>
        <v>0</v>
      </c>
      <c r="R292" s="66" t="s">
        <v>905</v>
      </c>
      <c r="S292" s="66" t="s">
        <v>922</v>
      </c>
      <c r="T292" s="210">
        <f>_xlfn.IFNA(VLOOKUP(Mon_ILR2[[#This Row],[New Model]],PhilipsLibary[],4,FALSE),"0")</f>
        <v>1088</v>
      </c>
      <c r="U292" s="210">
        <f>_xlfn.IFNA(VLOOKUP(Mon_ILR2[[#This Row],[New Model]],PhilipsLibary[],5,FALSE),"0")</f>
        <v>0</v>
      </c>
      <c r="V292" s="210">
        <f>_xlfn.IFNA(VLOOKUP(Mon_ILR2[[#This Row],[New Model]],PhilipsLibary[],5,FALSE),"0")</f>
        <v>0</v>
      </c>
      <c r="W292" s="210">
        <f>Mon_ILR2[[#This Row],[Accessory Rate]]+Mon_ILR2[[#This Row],[Mounting Rate]]+Mon_ILR2[[#This Row],[Unit Rate]]*Mon_ILR2[[#This Row],[New Quantity Required ]]</f>
        <v>0</v>
      </c>
      <c r="X292" s="8"/>
      <c r="Y292" s="246"/>
    </row>
    <row r="293" spans="2:25" ht="15.75" customHeight="1" x14ac:dyDescent="0.25">
      <c r="B293" s="207" t="s">
        <v>299</v>
      </c>
      <c r="C293" s="66" t="s">
        <v>313</v>
      </c>
      <c r="D293" s="4" t="s">
        <v>317</v>
      </c>
      <c r="E293" s="4" t="s">
        <v>1072</v>
      </c>
      <c r="F293" s="4" t="s">
        <v>1108</v>
      </c>
      <c r="G293" s="4" t="s">
        <v>1093</v>
      </c>
      <c r="H293" s="208">
        <v>1</v>
      </c>
      <c r="I293" s="4"/>
      <c r="J293" s="46" t="s">
        <v>1113</v>
      </c>
      <c r="K293" s="4" t="str">
        <f>_xlfn.IFNA(VLOOKUP($J293,WH_Data[],6,FALSE),"")</f>
        <v>MODULE, INTERFACE</v>
      </c>
      <c r="L293" s="4" t="str">
        <f>_xlfn.IFNA(VLOOKUP($J293,WH_Data[],3,FALSE),"")</f>
        <v>PHILIPS MEDICAL SYSTEMS AUSTRA</v>
      </c>
      <c r="M293" s="4" t="str">
        <f>_xlfn.IFNA(VLOOKUP($J293,WH_Data[],5,FALSE),"")</f>
        <v>Intellibridge EC10</v>
      </c>
      <c r="N293" s="4" t="str">
        <f>_xlfn.IFNA(VLOOKUP($J293,WH_Data[],7,FALSE),"")</f>
        <v>DE73785560</v>
      </c>
      <c r="O293" s="4" t="str">
        <f>_xlfn.IFNA(VLOOKUP($J293,WH_Data[],8,FALSE),"")</f>
        <v>ICU</v>
      </c>
      <c r="P293" s="8">
        <v>1</v>
      </c>
      <c r="Q293" s="209">
        <f>Mon_ILR2[[#This Row],[Qty Required]]-Mon_ILR2[[#This Row],[QTY Transfer]]</f>
        <v>0</v>
      </c>
      <c r="R293" s="66" t="s">
        <v>905</v>
      </c>
      <c r="S293" s="66" t="s">
        <v>922</v>
      </c>
      <c r="T293" s="210">
        <f>_xlfn.IFNA(VLOOKUP(Mon_ILR2[[#This Row],[New Model]],PhilipsLibary[],4,FALSE),"0")</f>
        <v>1088</v>
      </c>
      <c r="U293" s="210">
        <f>_xlfn.IFNA(VLOOKUP(Mon_ILR2[[#This Row],[New Model]],PhilipsLibary[],5,FALSE),"0")</f>
        <v>0</v>
      </c>
      <c r="V293" s="210">
        <f>_xlfn.IFNA(VLOOKUP(Mon_ILR2[[#This Row],[New Model]],PhilipsLibary[],5,FALSE),"0")</f>
        <v>0</v>
      </c>
      <c r="W293" s="210">
        <f>Mon_ILR2[[#This Row],[Accessory Rate]]+Mon_ILR2[[#This Row],[Mounting Rate]]+Mon_ILR2[[#This Row],[Unit Rate]]*Mon_ILR2[[#This Row],[New Quantity Required ]]</f>
        <v>0</v>
      </c>
      <c r="X293" s="8"/>
      <c r="Y293" s="246"/>
    </row>
    <row r="294" spans="2:25" ht="15.75" customHeight="1" x14ac:dyDescent="0.25">
      <c r="B294" s="207" t="s">
        <v>299</v>
      </c>
      <c r="C294" s="66" t="s">
        <v>313</v>
      </c>
      <c r="D294" s="4" t="s">
        <v>319</v>
      </c>
      <c r="E294" s="4" t="s">
        <v>1072</v>
      </c>
      <c r="F294" s="4" t="s">
        <v>1108</v>
      </c>
      <c r="G294" s="4" t="s">
        <v>1093</v>
      </c>
      <c r="H294" s="208">
        <v>1</v>
      </c>
      <c r="I294" s="4"/>
      <c r="J294" s="46" t="s">
        <v>1114</v>
      </c>
      <c r="K294" s="4" t="str">
        <f>_xlfn.IFNA(VLOOKUP($J294,WH_Data[],6,FALSE),"")</f>
        <v>MODULE, INTERFACE</v>
      </c>
      <c r="L294" s="4" t="str">
        <f>_xlfn.IFNA(VLOOKUP($J294,WH_Data[],3,FALSE),"")</f>
        <v>PHILIPS MEDICAL SYSTEMS AUSTRA</v>
      </c>
      <c r="M294" s="4" t="str">
        <f>_xlfn.IFNA(VLOOKUP($J294,WH_Data[],5,FALSE),"")</f>
        <v>Intellibridge EC10</v>
      </c>
      <c r="N294" s="4" t="str">
        <f>_xlfn.IFNA(VLOOKUP($J294,WH_Data[],7,FALSE),"")</f>
        <v>DE73785595</v>
      </c>
      <c r="O294" s="4" t="str">
        <f>_xlfn.IFNA(VLOOKUP($J294,WH_Data[],8,FALSE),"")</f>
        <v>ICU</v>
      </c>
      <c r="P294" s="8">
        <v>1</v>
      </c>
      <c r="Q294" s="209">
        <f>Mon_ILR2[[#This Row],[Qty Required]]-Mon_ILR2[[#This Row],[QTY Transfer]]</f>
        <v>0</v>
      </c>
      <c r="R294" s="66" t="s">
        <v>905</v>
      </c>
      <c r="S294" s="66" t="s">
        <v>922</v>
      </c>
      <c r="T294" s="210">
        <f>_xlfn.IFNA(VLOOKUP(Mon_ILR2[[#This Row],[New Model]],PhilipsLibary[],4,FALSE),"0")</f>
        <v>1088</v>
      </c>
      <c r="U294" s="210">
        <f>_xlfn.IFNA(VLOOKUP(Mon_ILR2[[#This Row],[New Model]],PhilipsLibary[],5,FALSE),"0")</f>
        <v>0</v>
      </c>
      <c r="V294" s="210">
        <f>_xlfn.IFNA(VLOOKUP(Mon_ILR2[[#This Row],[New Model]],PhilipsLibary[],5,FALSE),"0")</f>
        <v>0</v>
      </c>
      <c r="W294" s="210">
        <f>Mon_ILR2[[#This Row],[Accessory Rate]]+Mon_ILR2[[#This Row],[Mounting Rate]]+Mon_ILR2[[#This Row],[Unit Rate]]*Mon_ILR2[[#This Row],[New Quantity Required ]]</f>
        <v>0</v>
      </c>
      <c r="X294" s="8"/>
      <c r="Y294" s="246"/>
    </row>
    <row r="295" spans="2:25" ht="15.75" customHeight="1" x14ac:dyDescent="0.25">
      <c r="B295" s="207" t="s">
        <v>299</v>
      </c>
      <c r="C295" s="66" t="s">
        <v>313</v>
      </c>
      <c r="D295" s="4" t="s">
        <v>322</v>
      </c>
      <c r="E295" s="4" t="s">
        <v>1072</v>
      </c>
      <c r="F295" s="4" t="s">
        <v>1108</v>
      </c>
      <c r="G295" s="4" t="s">
        <v>1093</v>
      </c>
      <c r="H295" s="208">
        <v>1</v>
      </c>
      <c r="I295" s="4"/>
      <c r="J295" s="46" t="s">
        <v>1115</v>
      </c>
      <c r="K295" s="4" t="str">
        <f>_xlfn.IFNA(VLOOKUP($J295,WH_Data[],6,FALSE),"")</f>
        <v>MODULE, INTERFACE</v>
      </c>
      <c r="L295" s="4" t="str">
        <f>_xlfn.IFNA(VLOOKUP($J295,WH_Data[],3,FALSE),"")</f>
        <v>PHILIPS MEDICAL SYSTEMS AUSTRA</v>
      </c>
      <c r="M295" s="4" t="str">
        <f>_xlfn.IFNA(VLOOKUP($J295,WH_Data[],5,FALSE),"")</f>
        <v>Intellibridge EC10</v>
      </c>
      <c r="N295" s="4" t="str">
        <f>_xlfn.IFNA(VLOOKUP($J295,WH_Data[],7,FALSE),"")</f>
        <v>DE73785554</v>
      </c>
      <c r="O295" s="4" t="str">
        <f>_xlfn.IFNA(VLOOKUP($J295,WH_Data[],8,FALSE),"")</f>
        <v>ICU</v>
      </c>
      <c r="P295" s="8">
        <v>1</v>
      </c>
      <c r="Q295" s="209">
        <f>Mon_ILR2[[#This Row],[Qty Required]]-Mon_ILR2[[#This Row],[QTY Transfer]]</f>
        <v>0</v>
      </c>
      <c r="R295" s="66" t="s">
        <v>905</v>
      </c>
      <c r="S295" s="66" t="s">
        <v>922</v>
      </c>
      <c r="T295" s="210">
        <f>_xlfn.IFNA(VLOOKUP(Mon_ILR2[[#This Row],[New Model]],PhilipsLibary[],4,FALSE),"0")</f>
        <v>1088</v>
      </c>
      <c r="U295" s="210">
        <f>_xlfn.IFNA(VLOOKUP(Mon_ILR2[[#This Row],[New Model]],PhilipsLibary[],5,FALSE),"0")</f>
        <v>0</v>
      </c>
      <c r="V295" s="210">
        <f>_xlfn.IFNA(VLOOKUP(Mon_ILR2[[#This Row],[New Model]],PhilipsLibary[],5,FALSE),"0")</f>
        <v>0</v>
      </c>
      <c r="W295" s="210">
        <f>Mon_ILR2[[#This Row],[Accessory Rate]]+Mon_ILR2[[#This Row],[Mounting Rate]]+Mon_ILR2[[#This Row],[Unit Rate]]*Mon_ILR2[[#This Row],[New Quantity Required ]]</f>
        <v>0</v>
      </c>
      <c r="X295" s="8"/>
      <c r="Y295" s="246"/>
    </row>
    <row r="296" spans="2:25" ht="15.75" customHeight="1" x14ac:dyDescent="0.25">
      <c r="B296" s="207" t="s">
        <v>299</v>
      </c>
      <c r="C296" s="66" t="s">
        <v>324</v>
      </c>
      <c r="D296" s="4" t="s">
        <v>325</v>
      </c>
      <c r="E296" s="4" t="s">
        <v>1072</v>
      </c>
      <c r="F296" s="4" t="s">
        <v>1108</v>
      </c>
      <c r="G296" s="4" t="s">
        <v>1093</v>
      </c>
      <c r="H296" s="208">
        <v>1</v>
      </c>
      <c r="I296" s="4"/>
      <c r="J296" s="46" t="s">
        <v>1116</v>
      </c>
      <c r="K296" s="4" t="str">
        <f>_xlfn.IFNA(VLOOKUP($J296,WH_Data[],6,FALSE),"")</f>
        <v>MODULE, INTERFACE</v>
      </c>
      <c r="L296" s="4" t="str">
        <f>_xlfn.IFNA(VLOOKUP($J296,WH_Data[],3,FALSE),"")</f>
        <v>PHILIPS MEDICAL SYSTEMS AUSTRA</v>
      </c>
      <c r="M296" s="4" t="str">
        <f>_xlfn.IFNA(VLOOKUP($J296,WH_Data[],5,FALSE),"")</f>
        <v>Intellibridge EC10</v>
      </c>
      <c r="N296" s="4" t="str">
        <f>_xlfn.IFNA(VLOOKUP($J296,WH_Data[],7,FALSE),"")</f>
        <v>DE73785536</v>
      </c>
      <c r="O296" s="4" t="str">
        <f>_xlfn.IFNA(VLOOKUP($J296,WH_Data[],8,FALSE),"")</f>
        <v>ICU</v>
      </c>
      <c r="P296" s="8">
        <v>1</v>
      </c>
      <c r="Q296" s="209">
        <f>Mon_ILR2[[#This Row],[Qty Required]]-Mon_ILR2[[#This Row],[QTY Transfer]]</f>
        <v>0</v>
      </c>
      <c r="R296" s="66" t="s">
        <v>905</v>
      </c>
      <c r="S296" s="66" t="s">
        <v>922</v>
      </c>
      <c r="T296" s="210">
        <f>_xlfn.IFNA(VLOOKUP(Mon_ILR2[[#This Row],[New Model]],PhilipsLibary[],4,FALSE),"0")</f>
        <v>1088</v>
      </c>
      <c r="U296" s="210">
        <f>_xlfn.IFNA(VLOOKUP(Mon_ILR2[[#This Row],[New Model]],PhilipsLibary[],5,FALSE),"0")</f>
        <v>0</v>
      </c>
      <c r="V296" s="210">
        <f>_xlfn.IFNA(VLOOKUP(Mon_ILR2[[#This Row],[New Model]],PhilipsLibary[],5,FALSE),"0")</f>
        <v>0</v>
      </c>
      <c r="W296" s="210">
        <f>Mon_ILR2[[#This Row],[Accessory Rate]]+Mon_ILR2[[#This Row],[Mounting Rate]]+Mon_ILR2[[#This Row],[Unit Rate]]*Mon_ILR2[[#This Row],[New Quantity Required ]]</f>
        <v>0</v>
      </c>
      <c r="X296" s="8"/>
      <c r="Y296" s="246"/>
    </row>
    <row r="297" spans="2:25" ht="15.75" customHeight="1" x14ac:dyDescent="0.25">
      <c r="B297" s="207" t="s">
        <v>299</v>
      </c>
      <c r="C297" s="66" t="s">
        <v>305</v>
      </c>
      <c r="D297" s="4" t="s">
        <v>327</v>
      </c>
      <c r="E297" s="4" t="s">
        <v>1072</v>
      </c>
      <c r="F297" s="4" t="s">
        <v>1108</v>
      </c>
      <c r="G297" s="4" t="s">
        <v>1093</v>
      </c>
      <c r="H297" s="208">
        <v>1</v>
      </c>
      <c r="I297" s="4"/>
      <c r="J297" s="46" t="s">
        <v>1117</v>
      </c>
      <c r="K297" s="4" t="str">
        <f>_xlfn.IFNA(VLOOKUP($J297,WH_Data[],6,FALSE),"")</f>
        <v>MODULE, INTERFACE</v>
      </c>
      <c r="L297" s="4" t="str">
        <f>_xlfn.IFNA(VLOOKUP($J297,WH_Data[],3,FALSE),"")</f>
        <v>PHILIPS MEDICAL SYSTEMS AUSTRA</v>
      </c>
      <c r="M297" s="4" t="str">
        <f>_xlfn.IFNA(VLOOKUP($J297,WH_Data[],5,FALSE),"")</f>
        <v>Intellibridge EC10</v>
      </c>
      <c r="N297" s="4" t="str">
        <f>_xlfn.IFNA(VLOOKUP($J297,WH_Data[],7,FALSE),"")</f>
        <v>DE73785587</v>
      </c>
      <c r="O297" s="4" t="str">
        <f>_xlfn.IFNA(VLOOKUP($J297,WH_Data[],8,FALSE),"")</f>
        <v>ICU</v>
      </c>
      <c r="P297" s="8">
        <v>1</v>
      </c>
      <c r="Q297" s="209">
        <f>Mon_ILR2[[#This Row],[Qty Required]]-Mon_ILR2[[#This Row],[QTY Transfer]]</f>
        <v>0</v>
      </c>
      <c r="R297" s="66" t="s">
        <v>905</v>
      </c>
      <c r="S297" s="66" t="s">
        <v>922</v>
      </c>
      <c r="T297" s="210">
        <f>_xlfn.IFNA(VLOOKUP(Mon_ILR2[[#This Row],[New Model]],PhilipsLibary[],4,FALSE),"0")</f>
        <v>1088</v>
      </c>
      <c r="U297" s="210">
        <f>_xlfn.IFNA(VLOOKUP(Mon_ILR2[[#This Row],[New Model]],PhilipsLibary[],5,FALSE),"0")</f>
        <v>0</v>
      </c>
      <c r="V297" s="210">
        <f>_xlfn.IFNA(VLOOKUP(Mon_ILR2[[#This Row],[New Model]],PhilipsLibary[],5,FALSE),"0")</f>
        <v>0</v>
      </c>
      <c r="W297" s="210">
        <f>Mon_ILR2[[#This Row],[Accessory Rate]]+Mon_ILR2[[#This Row],[Mounting Rate]]+Mon_ILR2[[#This Row],[Unit Rate]]*Mon_ILR2[[#This Row],[New Quantity Required ]]</f>
        <v>0</v>
      </c>
      <c r="X297" s="8"/>
      <c r="Y297" s="246"/>
    </row>
    <row r="298" spans="2:25" ht="15.75" customHeight="1" x14ac:dyDescent="0.25">
      <c r="B298" s="207" t="s">
        <v>299</v>
      </c>
      <c r="C298" s="66" t="s">
        <v>305</v>
      </c>
      <c r="D298" s="4" t="s">
        <v>329</v>
      </c>
      <c r="E298" s="4" t="s">
        <v>1072</v>
      </c>
      <c r="F298" s="4" t="s">
        <v>1108</v>
      </c>
      <c r="G298" s="4" t="s">
        <v>1093</v>
      </c>
      <c r="H298" s="208">
        <v>1</v>
      </c>
      <c r="I298" s="4"/>
      <c r="J298" s="46" t="s">
        <v>1118</v>
      </c>
      <c r="K298" s="4" t="str">
        <f>_xlfn.IFNA(VLOOKUP($J298,WH_Data[],6,FALSE),"")</f>
        <v>MODULE, INTERFACE</v>
      </c>
      <c r="L298" s="4" t="str">
        <f>_xlfn.IFNA(VLOOKUP($J298,WH_Data[],3,FALSE),"")</f>
        <v>PHILIPS MEDICAL SYSTEMS AUSTRA</v>
      </c>
      <c r="M298" s="4" t="str">
        <f>_xlfn.IFNA(VLOOKUP($J298,WH_Data[],5,FALSE),"")</f>
        <v>Intellibridge EC10</v>
      </c>
      <c r="N298" s="4" t="str">
        <f>_xlfn.IFNA(VLOOKUP($J298,WH_Data[],7,FALSE),"")</f>
        <v>DE73785523</v>
      </c>
      <c r="O298" s="4" t="str">
        <f>_xlfn.IFNA(VLOOKUP($J298,WH_Data[],8,FALSE),"")</f>
        <v>ICU</v>
      </c>
      <c r="P298" s="8">
        <v>1</v>
      </c>
      <c r="Q298" s="209">
        <f>Mon_ILR2[[#This Row],[Qty Required]]-Mon_ILR2[[#This Row],[QTY Transfer]]</f>
        <v>0</v>
      </c>
      <c r="R298" s="66" t="s">
        <v>905</v>
      </c>
      <c r="S298" s="66" t="s">
        <v>922</v>
      </c>
      <c r="T298" s="210">
        <f>_xlfn.IFNA(VLOOKUP(Mon_ILR2[[#This Row],[New Model]],PhilipsLibary[],4,FALSE),"0")</f>
        <v>1088</v>
      </c>
      <c r="U298" s="210">
        <f>_xlfn.IFNA(VLOOKUP(Mon_ILR2[[#This Row],[New Model]],PhilipsLibary[],5,FALSE),"0")</f>
        <v>0</v>
      </c>
      <c r="V298" s="210">
        <f>_xlfn.IFNA(VLOOKUP(Mon_ILR2[[#This Row],[New Model]],PhilipsLibary[],5,FALSE),"0")</f>
        <v>0</v>
      </c>
      <c r="W298" s="210">
        <f>Mon_ILR2[[#This Row],[Accessory Rate]]+Mon_ILR2[[#This Row],[Mounting Rate]]+Mon_ILR2[[#This Row],[Unit Rate]]*Mon_ILR2[[#This Row],[New Quantity Required ]]</f>
        <v>0</v>
      </c>
      <c r="X298" s="8"/>
      <c r="Y298" s="246"/>
    </row>
    <row r="299" spans="2:25" ht="15.75" customHeight="1" x14ac:dyDescent="0.25">
      <c r="B299" s="207" t="s">
        <v>299</v>
      </c>
      <c r="C299" s="66" t="s">
        <v>305</v>
      </c>
      <c r="D299" s="4" t="s">
        <v>331</v>
      </c>
      <c r="E299" s="4" t="s">
        <v>1072</v>
      </c>
      <c r="F299" s="4" t="s">
        <v>1108</v>
      </c>
      <c r="G299" s="4" t="s">
        <v>1093</v>
      </c>
      <c r="H299" s="208">
        <v>1</v>
      </c>
      <c r="I299" s="4"/>
      <c r="J299" s="46" t="s">
        <v>1119</v>
      </c>
      <c r="K299" s="4" t="str">
        <f>_xlfn.IFNA(VLOOKUP($J299,WH_Data[],6,FALSE),"")</f>
        <v>MODULE, INTERFACE</v>
      </c>
      <c r="L299" s="4" t="str">
        <f>_xlfn.IFNA(VLOOKUP($J299,WH_Data[],3,FALSE),"")</f>
        <v>PHILIPS MEDICAL SYSTEMS AUSTRA</v>
      </c>
      <c r="M299" s="4" t="str">
        <f>_xlfn.IFNA(VLOOKUP($J299,WH_Data[],5,FALSE),"")</f>
        <v>Intellibridge EC10</v>
      </c>
      <c r="N299" s="4" t="str">
        <f>_xlfn.IFNA(VLOOKUP($J299,WH_Data[],7,FALSE),"")</f>
        <v>DE73785556</v>
      </c>
      <c r="O299" s="4" t="str">
        <f>_xlfn.IFNA(VLOOKUP($J299,WH_Data[],8,FALSE),"")</f>
        <v>ICU</v>
      </c>
      <c r="P299" s="8">
        <v>1</v>
      </c>
      <c r="Q299" s="209">
        <f>Mon_ILR2[[#This Row],[Qty Required]]-Mon_ILR2[[#This Row],[QTY Transfer]]</f>
        <v>0</v>
      </c>
      <c r="R299" s="66" t="s">
        <v>905</v>
      </c>
      <c r="S299" s="66" t="s">
        <v>922</v>
      </c>
      <c r="T299" s="210">
        <f>_xlfn.IFNA(VLOOKUP(Mon_ILR2[[#This Row],[New Model]],PhilipsLibary[],4,FALSE),"0")</f>
        <v>1088</v>
      </c>
      <c r="U299" s="210">
        <f>_xlfn.IFNA(VLOOKUP(Mon_ILR2[[#This Row],[New Model]],PhilipsLibary[],5,FALSE),"0")</f>
        <v>0</v>
      </c>
      <c r="V299" s="210">
        <f>_xlfn.IFNA(VLOOKUP(Mon_ILR2[[#This Row],[New Model]],PhilipsLibary[],5,FALSE),"0")</f>
        <v>0</v>
      </c>
      <c r="W299" s="210">
        <f>Mon_ILR2[[#This Row],[Accessory Rate]]+Mon_ILR2[[#This Row],[Mounting Rate]]+Mon_ILR2[[#This Row],[Unit Rate]]*Mon_ILR2[[#This Row],[New Quantity Required ]]</f>
        <v>0</v>
      </c>
      <c r="X299" s="8"/>
      <c r="Y299" s="246"/>
    </row>
    <row r="300" spans="2:25" ht="15.75" customHeight="1" x14ac:dyDescent="0.25">
      <c r="B300" s="207" t="s">
        <v>299</v>
      </c>
      <c r="C300" s="66" t="s">
        <v>333</v>
      </c>
      <c r="D300" s="4" t="s">
        <v>334</v>
      </c>
      <c r="E300" s="4" t="s">
        <v>1072</v>
      </c>
      <c r="F300" s="4" t="s">
        <v>1108</v>
      </c>
      <c r="G300" s="4" t="s">
        <v>1093</v>
      </c>
      <c r="H300" s="208">
        <v>1</v>
      </c>
      <c r="I300" s="4"/>
      <c r="J300" s="46" t="s">
        <v>1120</v>
      </c>
      <c r="K300" s="4" t="str">
        <f>_xlfn.IFNA(VLOOKUP($J300,WH_Data[],6,FALSE),"")</f>
        <v>MODULE, INTERFACE</v>
      </c>
      <c r="L300" s="4" t="str">
        <f>_xlfn.IFNA(VLOOKUP($J300,WH_Data[],3,FALSE),"")</f>
        <v>PHILIPS MEDICAL SYSTEMS AUSTRA</v>
      </c>
      <c r="M300" s="4" t="str">
        <f>_xlfn.IFNA(VLOOKUP($J300,WH_Data[],5,FALSE),"")</f>
        <v>Intellibridge EC10</v>
      </c>
      <c r="N300" s="4" t="str">
        <f>_xlfn.IFNA(VLOOKUP($J300,WH_Data[],7,FALSE),"")</f>
        <v>DE73785562</v>
      </c>
      <c r="O300" s="4" t="str">
        <f>_xlfn.IFNA(VLOOKUP($J300,WH_Data[],8,FALSE),"")</f>
        <v>ICU</v>
      </c>
      <c r="P300" s="8">
        <v>1</v>
      </c>
      <c r="Q300" s="209">
        <f>Mon_ILR2[[#This Row],[Qty Required]]-Mon_ILR2[[#This Row],[QTY Transfer]]</f>
        <v>0</v>
      </c>
      <c r="R300" s="66" t="s">
        <v>905</v>
      </c>
      <c r="S300" s="66" t="s">
        <v>922</v>
      </c>
      <c r="T300" s="210">
        <f>_xlfn.IFNA(VLOOKUP(Mon_ILR2[[#This Row],[New Model]],PhilipsLibary[],4,FALSE),"0")</f>
        <v>1088</v>
      </c>
      <c r="U300" s="210">
        <f>_xlfn.IFNA(VLOOKUP(Mon_ILR2[[#This Row],[New Model]],PhilipsLibary[],5,FALSE),"0")</f>
        <v>0</v>
      </c>
      <c r="V300" s="210">
        <f>_xlfn.IFNA(VLOOKUP(Mon_ILR2[[#This Row],[New Model]],PhilipsLibary[],5,FALSE),"0")</f>
        <v>0</v>
      </c>
      <c r="W300" s="210">
        <f>Mon_ILR2[[#This Row],[Accessory Rate]]+Mon_ILR2[[#This Row],[Mounting Rate]]+Mon_ILR2[[#This Row],[Unit Rate]]*Mon_ILR2[[#This Row],[New Quantity Required ]]</f>
        <v>0</v>
      </c>
      <c r="X300" s="8"/>
      <c r="Y300" s="246"/>
    </row>
    <row r="301" spans="2:25" ht="15.75" customHeight="1" x14ac:dyDescent="0.25">
      <c r="B301" s="207" t="s">
        <v>299</v>
      </c>
      <c r="C301" s="66" t="s">
        <v>333</v>
      </c>
      <c r="D301" s="4" t="s">
        <v>336</v>
      </c>
      <c r="E301" s="4" t="s">
        <v>1072</v>
      </c>
      <c r="F301" s="4" t="s">
        <v>1108</v>
      </c>
      <c r="G301" s="4" t="s">
        <v>1093</v>
      </c>
      <c r="H301" s="208">
        <v>1</v>
      </c>
      <c r="I301" s="4"/>
      <c r="J301" s="46" t="s">
        <v>1121</v>
      </c>
      <c r="K301" s="4" t="str">
        <f>_xlfn.IFNA(VLOOKUP($J301,WH_Data[],6,FALSE),"")</f>
        <v>MODULE, INTERFACE</v>
      </c>
      <c r="L301" s="4" t="str">
        <f>_xlfn.IFNA(VLOOKUP($J301,WH_Data[],3,FALSE),"")</f>
        <v>PHILIPS MEDICAL SYSTEMS AUSTRA</v>
      </c>
      <c r="M301" s="4" t="str">
        <f>_xlfn.IFNA(VLOOKUP($J301,WH_Data[],5,FALSE),"")</f>
        <v>Intellibridge EC10</v>
      </c>
      <c r="N301" s="4" t="str">
        <f>_xlfn.IFNA(VLOOKUP($J301,WH_Data[],7,FALSE),"")</f>
        <v>DE73785557</v>
      </c>
      <c r="O301" s="4" t="str">
        <f>_xlfn.IFNA(VLOOKUP($J301,WH_Data[],8,FALSE),"")</f>
        <v>ICU</v>
      </c>
      <c r="P301" s="8">
        <v>1</v>
      </c>
      <c r="Q301" s="209">
        <f>Mon_ILR2[[#This Row],[Qty Required]]-Mon_ILR2[[#This Row],[QTY Transfer]]</f>
        <v>0</v>
      </c>
      <c r="R301" s="66" t="s">
        <v>905</v>
      </c>
      <c r="S301" s="66" t="s">
        <v>922</v>
      </c>
      <c r="T301" s="210">
        <f>_xlfn.IFNA(VLOOKUP(Mon_ILR2[[#This Row],[New Model]],PhilipsLibary[],4,FALSE),"0")</f>
        <v>1088</v>
      </c>
      <c r="U301" s="210">
        <f>_xlfn.IFNA(VLOOKUP(Mon_ILR2[[#This Row],[New Model]],PhilipsLibary[],5,FALSE),"0")</f>
        <v>0</v>
      </c>
      <c r="V301" s="210">
        <f>_xlfn.IFNA(VLOOKUP(Mon_ILR2[[#This Row],[New Model]],PhilipsLibary[],5,FALSE),"0")</f>
        <v>0</v>
      </c>
      <c r="W301" s="210">
        <f>Mon_ILR2[[#This Row],[Accessory Rate]]+Mon_ILR2[[#This Row],[Mounting Rate]]+Mon_ILR2[[#This Row],[Unit Rate]]*Mon_ILR2[[#This Row],[New Quantity Required ]]</f>
        <v>0</v>
      </c>
      <c r="X301" s="8"/>
      <c r="Y301" s="246"/>
    </row>
    <row r="302" spans="2:25" ht="45" x14ac:dyDescent="0.25">
      <c r="B302" s="207" t="s">
        <v>299</v>
      </c>
      <c r="C302" s="66" t="s">
        <v>305</v>
      </c>
      <c r="D302" s="4" t="s">
        <v>338</v>
      </c>
      <c r="E302" s="4" t="s">
        <v>1072</v>
      </c>
      <c r="F302" s="4" t="s">
        <v>1108</v>
      </c>
      <c r="G302" s="4" t="s">
        <v>1093</v>
      </c>
      <c r="H302" s="208">
        <v>1</v>
      </c>
      <c r="I302" s="4"/>
      <c r="J302" s="15"/>
      <c r="K302" s="4" t="str">
        <f>_xlfn.IFNA(VLOOKUP($J302,WH_Data[],6,FALSE),"")</f>
        <v/>
      </c>
      <c r="L302" s="4" t="str">
        <f>_xlfn.IFNA(VLOOKUP($J302,WH_Data[],3,FALSE),"")</f>
        <v/>
      </c>
      <c r="M302" s="4" t="str">
        <f>_xlfn.IFNA(VLOOKUP($J302,WH_Data[],5,FALSE),"")</f>
        <v/>
      </c>
      <c r="N302" s="4" t="str">
        <f>_xlfn.IFNA(VLOOKUP($J302,WH_Data[],7,FALSE),"")</f>
        <v/>
      </c>
      <c r="O302" s="4" t="str">
        <f>_xlfn.IFNA(VLOOKUP($J302,WH_Data[],8,FALSE),"")</f>
        <v/>
      </c>
      <c r="P302" s="8"/>
      <c r="Q302" s="209">
        <f>Mon_ILR2[[#This Row],[Qty Required]]-Mon_ILR2[[#This Row],[QTY Transfer]]</f>
        <v>1</v>
      </c>
      <c r="R302" s="66" t="s">
        <v>905</v>
      </c>
      <c r="S302" s="66" t="s">
        <v>922</v>
      </c>
      <c r="T302" s="210">
        <f>_xlfn.IFNA(VLOOKUP(Mon_ILR2[[#This Row],[New Model]],PhilipsLibary[],4,FALSE),"0")</f>
        <v>1088</v>
      </c>
      <c r="U302" s="210">
        <f>_xlfn.IFNA(VLOOKUP(Mon_ILR2[[#This Row],[New Model]],PhilipsLibary[],5,FALSE),"0")</f>
        <v>0</v>
      </c>
      <c r="V302" s="210">
        <f>_xlfn.IFNA(VLOOKUP(Mon_ILR2[[#This Row],[New Model]],PhilipsLibary[],5,FALSE),"0")</f>
        <v>0</v>
      </c>
      <c r="W302" s="210">
        <f>Mon_ILR2[[#This Row],[Accessory Rate]]+Mon_ILR2[[#This Row],[Mounting Rate]]+Mon_ILR2[[#This Row],[Unit Rate]]*Mon_ILR2[[#This Row],[New Quantity Required ]]</f>
        <v>1088</v>
      </c>
      <c r="X302" s="8"/>
      <c r="Y302" s="289" t="s">
        <v>2143</v>
      </c>
    </row>
    <row r="303" spans="2:25" ht="45" x14ac:dyDescent="0.25">
      <c r="B303" s="207" t="s">
        <v>299</v>
      </c>
      <c r="C303" s="66" t="s">
        <v>305</v>
      </c>
      <c r="D303" s="4" t="s">
        <v>342</v>
      </c>
      <c r="E303" s="4" t="s">
        <v>1072</v>
      </c>
      <c r="F303" s="4" t="s">
        <v>1108</v>
      </c>
      <c r="G303" s="4" t="s">
        <v>1093</v>
      </c>
      <c r="H303" s="208">
        <v>1</v>
      </c>
      <c r="I303" s="4"/>
      <c r="J303" s="15"/>
      <c r="K303" s="4" t="str">
        <f>_xlfn.IFNA(VLOOKUP($J303,WH_Data[],6,FALSE),"")</f>
        <v/>
      </c>
      <c r="L303" s="4" t="str">
        <f>_xlfn.IFNA(VLOOKUP($J303,WH_Data[],3,FALSE),"")</f>
        <v/>
      </c>
      <c r="M303" s="4" t="str">
        <f>_xlfn.IFNA(VLOOKUP($J303,WH_Data[],5,FALSE),"")</f>
        <v/>
      </c>
      <c r="N303" s="4" t="str">
        <f>_xlfn.IFNA(VLOOKUP($J303,WH_Data[],7,FALSE),"")</f>
        <v/>
      </c>
      <c r="O303" s="4" t="str">
        <f>_xlfn.IFNA(VLOOKUP($J303,WH_Data[],8,FALSE),"")</f>
        <v/>
      </c>
      <c r="P303" s="8"/>
      <c r="Q303" s="209">
        <f>Mon_ILR2[[#This Row],[Qty Required]]-Mon_ILR2[[#This Row],[QTY Transfer]]</f>
        <v>1</v>
      </c>
      <c r="R303" s="66" t="s">
        <v>905</v>
      </c>
      <c r="S303" s="66" t="s">
        <v>922</v>
      </c>
      <c r="T303" s="210">
        <f>_xlfn.IFNA(VLOOKUP(Mon_ILR2[[#This Row],[New Model]],PhilipsLibary[],4,FALSE),"0")</f>
        <v>1088</v>
      </c>
      <c r="U303" s="210">
        <f>_xlfn.IFNA(VLOOKUP(Mon_ILR2[[#This Row],[New Model]],PhilipsLibary[],5,FALSE),"0")</f>
        <v>0</v>
      </c>
      <c r="V303" s="210">
        <f>_xlfn.IFNA(VLOOKUP(Mon_ILR2[[#This Row],[New Model]],PhilipsLibary[],5,FALSE),"0")</f>
        <v>0</v>
      </c>
      <c r="W303" s="210">
        <f>Mon_ILR2[[#This Row],[Accessory Rate]]+Mon_ILR2[[#This Row],[Mounting Rate]]+Mon_ILR2[[#This Row],[Unit Rate]]*Mon_ILR2[[#This Row],[New Quantity Required ]]</f>
        <v>1088</v>
      </c>
      <c r="X303" s="8"/>
      <c r="Y303" s="289" t="s">
        <v>2143</v>
      </c>
    </row>
    <row r="304" spans="2:25" ht="45" x14ac:dyDescent="0.25">
      <c r="B304" s="207" t="s">
        <v>299</v>
      </c>
      <c r="C304" s="66" t="s">
        <v>305</v>
      </c>
      <c r="D304" s="4" t="s">
        <v>345</v>
      </c>
      <c r="E304" s="4" t="s">
        <v>1072</v>
      </c>
      <c r="F304" s="4" t="s">
        <v>1108</v>
      </c>
      <c r="G304" s="4" t="s">
        <v>1093</v>
      </c>
      <c r="H304" s="208">
        <v>1</v>
      </c>
      <c r="I304" s="4"/>
      <c r="J304" s="15"/>
      <c r="K304" s="4" t="str">
        <f>_xlfn.IFNA(VLOOKUP($J304,WH_Data[],6,FALSE),"")</f>
        <v/>
      </c>
      <c r="L304" s="4" t="str">
        <f>_xlfn.IFNA(VLOOKUP($J304,WH_Data[],3,FALSE),"")</f>
        <v/>
      </c>
      <c r="M304" s="4" t="str">
        <f>_xlfn.IFNA(VLOOKUP($J304,WH_Data[],5,FALSE),"")</f>
        <v/>
      </c>
      <c r="N304" s="4" t="str">
        <f>_xlfn.IFNA(VLOOKUP($J304,WH_Data[],7,FALSE),"")</f>
        <v/>
      </c>
      <c r="O304" s="4" t="str">
        <f>_xlfn.IFNA(VLOOKUP($J304,WH_Data[],8,FALSE),"")</f>
        <v/>
      </c>
      <c r="P304" s="8"/>
      <c r="Q304" s="209">
        <f>Mon_ILR2[[#This Row],[Qty Required]]-Mon_ILR2[[#This Row],[QTY Transfer]]</f>
        <v>1</v>
      </c>
      <c r="R304" s="66" t="s">
        <v>905</v>
      </c>
      <c r="S304" s="66" t="s">
        <v>922</v>
      </c>
      <c r="T304" s="210">
        <f>_xlfn.IFNA(VLOOKUP(Mon_ILR2[[#This Row],[New Model]],PhilipsLibary[],4,FALSE),"0")</f>
        <v>1088</v>
      </c>
      <c r="U304" s="210">
        <f>_xlfn.IFNA(VLOOKUP(Mon_ILR2[[#This Row],[New Model]],PhilipsLibary[],5,FALSE),"0")</f>
        <v>0</v>
      </c>
      <c r="V304" s="210">
        <f>_xlfn.IFNA(VLOOKUP(Mon_ILR2[[#This Row],[New Model]],PhilipsLibary[],5,FALSE),"0")</f>
        <v>0</v>
      </c>
      <c r="W304" s="210">
        <f>Mon_ILR2[[#This Row],[Accessory Rate]]+Mon_ILR2[[#This Row],[Mounting Rate]]+Mon_ILR2[[#This Row],[Unit Rate]]*Mon_ILR2[[#This Row],[New Quantity Required ]]</f>
        <v>1088</v>
      </c>
      <c r="X304" s="8"/>
      <c r="Y304" s="289" t="s">
        <v>2143</v>
      </c>
    </row>
    <row r="305" spans="2:25" ht="45" x14ac:dyDescent="0.25">
      <c r="B305" s="207" t="s">
        <v>299</v>
      </c>
      <c r="C305" s="66" t="s">
        <v>324</v>
      </c>
      <c r="D305" s="4" t="s">
        <v>348</v>
      </c>
      <c r="E305" s="4" t="s">
        <v>1072</v>
      </c>
      <c r="F305" s="4" t="s">
        <v>1108</v>
      </c>
      <c r="G305" s="4" t="s">
        <v>1093</v>
      </c>
      <c r="H305" s="208">
        <v>1</v>
      </c>
      <c r="I305" s="4"/>
      <c r="J305" s="15"/>
      <c r="K305" s="4" t="str">
        <f>_xlfn.IFNA(VLOOKUP($J305,WH_Data[],6,FALSE),"")</f>
        <v/>
      </c>
      <c r="L305" s="4" t="str">
        <f>_xlfn.IFNA(VLOOKUP($J305,WH_Data[],3,FALSE),"")</f>
        <v/>
      </c>
      <c r="M305" s="4" t="str">
        <f>_xlfn.IFNA(VLOOKUP($J305,WH_Data[],5,FALSE),"")</f>
        <v/>
      </c>
      <c r="N305" s="4" t="str">
        <f>_xlfn.IFNA(VLOOKUP($J305,WH_Data[],7,FALSE),"")</f>
        <v/>
      </c>
      <c r="O305" s="4" t="str">
        <f>_xlfn.IFNA(VLOOKUP($J305,WH_Data[],8,FALSE),"")</f>
        <v/>
      </c>
      <c r="P305" s="8"/>
      <c r="Q305" s="209">
        <f>Mon_ILR2[[#This Row],[Qty Required]]-Mon_ILR2[[#This Row],[QTY Transfer]]</f>
        <v>1</v>
      </c>
      <c r="R305" s="66" t="s">
        <v>905</v>
      </c>
      <c r="S305" s="66" t="s">
        <v>922</v>
      </c>
      <c r="T305" s="210">
        <f>_xlfn.IFNA(VLOOKUP(Mon_ILR2[[#This Row],[New Model]],PhilipsLibary[],4,FALSE),"0")</f>
        <v>1088</v>
      </c>
      <c r="U305" s="210">
        <f>_xlfn.IFNA(VLOOKUP(Mon_ILR2[[#This Row],[New Model]],PhilipsLibary[],5,FALSE),"0")</f>
        <v>0</v>
      </c>
      <c r="V305" s="210">
        <f>_xlfn.IFNA(VLOOKUP(Mon_ILR2[[#This Row],[New Model]],PhilipsLibary[],5,FALSE),"0")</f>
        <v>0</v>
      </c>
      <c r="W305" s="210">
        <f>Mon_ILR2[[#This Row],[Accessory Rate]]+Mon_ILR2[[#This Row],[Mounting Rate]]+Mon_ILR2[[#This Row],[Unit Rate]]*Mon_ILR2[[#This Row],[New Quantity Required ]]</f>
        <v>1088</v>
      </c>
      <c r="X305" s="8"/>
      <c r="Y305" s="289" t="s">
        <v>2143</v>
      </c>
    </row>
    <row r="306" spans="2:25" ht="45" x14ac:dyDescent="0.25">
      <c r="B306" s="207" t="s">
        <v>299</v>
      </c>
      <c r="C306" s="66" t="s">
        <v>305</v>
      </c>
      <c r="D306" s="4" t="s">
        <v>350</v>
      </c>
      <c r="E306" s="4" t="s">
        <v>1072</v>
      </c>
      <c r="F306" s="4" t="s">
        <v>1108</v>
      </c>
      <c r="G306" s="4" t="s">
        <v>1093</v>
      </c>
      <c r="H306" s="208">
        <v>1</v>
      </c>
      <c r="I306" s="4"/>
      <c r="J306" s="15"/>
      <c r="K306" s="4" t="str">
        <f>_xlfn.IFNA(VLOOKUP($J306,WH_Data[],6,FALSE),"")</f>
        <v/>
      </c>
      <c r="L306" s="4" t="str">
        <f>_xlfn.IFNA(VLOOKUP($J306,WH_Data[],3,FALSE),"")</f>
        <v/>
      </c>
      <c r="M306" s="4" t="str">
        <f>_xlfn.IFNA(VLOOKUP($J306,WH_Data[],5,FALSE),"")</f>
        <v/>
      </c>
      <c r="N306" s="4" t="str">
        <f>_xlfn.IFNA(VLOOKUP($J306,WH_Data[],7,FALSE),"")</f>
        <v/>
      </c>
      <c r="O306" s="4" t="str">
        <f>_xlfn.IFNA(VLOOKUP($J306,WH_Data[],8,FALSE),"")</f>
        <v/>
      </c>
      <c r="P306" s="8"/>
      <c r="Q306" s="209">
        <f>Mon_ILR2[[#This Row],[Qty Required]]-Mon_ILR2[[#This Row],[QTY Transfer]]</f>
        <v>1</v>
      </c>
      <c r="R306" s="66" t="s">
        <v>905</v>
      </c>
      <c r="S306" s="66" t="s">
        <v>922</v>
      </c>
      <c r="T306" s="210">
        <f>_xlfn.IFNA(VLOOKUP(Mon_ILR2[[#This Row],[New Model]],PhilipsLibary[],4,FALSE),"0")</f>
        <v>1088</v>
      </c>
      <c r="U306" s="210">
        <f>_xlfn.IFNA(VLOOKUP(Mon_ILR2[[#This Row],[New Model]],PhilipsLibary[],5,FALSE),"0")</f>
        <v>0</v>
      </c>
      <c r="V306" s="210">
        <f>_xlfn.IFNA(VLOOKUP(Mon_ILR2[[#This Row],[New Model]],PhilipsLibary[],5,FALSE),"0")</f>
        <v>0</v>
      </c>
      <c r="W306" s="210">
        <f>Mon_ILR2[[#This Row],[Accessory Rate]]+Mon_ILR2[[#This Row],[Mounting Rate]]+Mon_ILR2[[#This Row],[Unit Rate]]*Mon_ILR2[[#This Row],[New Quantity Required ]]</f>
        <v>1088</v>
      </c>
      <c r="X306" s="8"/>
      <c r="Y306" s="289" t="s">
        <v>2143</v>
      </c>
    </row>
    <row r="307" spans="2:25" ht="45" x14ac:dyDescent="0.25">
      <c r="B307" s="207" t="s">
        <v>299</v>
      </c>
      <c r="C307" s="66" t="s">
        <v>333</v>
      </c>
      <c r="D307" s="4" t="s">
        <v>353</v>
      </c>
      <c r="E307" s="4" t="s">
        <v>1072</v>
      </c>
      <c r="F307" s="4" t="s">
        <v>1108</v>
      </c>
      <c r="G307" s="4" t="s">
        <v>1093</v>
      </c>
      <c r="H307" s="208">
        <v>1</v>
      </c>
      <c r="I307" s="4"/>
      <c r="J307" s="15"/>
      <c r="K307" s="4" t="str">
        <f>_xlfn.IFNA(VLOOKUP($J307,WH_Data[],6,FALSE),"")</f>
        <v/>
      </c>
      <c r="L307" s="4" t="str">
        <f>_xlfn.IFNA(VLOOKUP($J307,WH_Data[],3,FALSE),"")</f>
        <v/>
      </c>
      <c r="M307" s="4" t="str">
        <f>_xlfn.IFNA(VLOOKUP($J307,WH_Data[],5,FALSE),"")</f>
        <v/>
      </c>
      <c r="N307" s="4" t="str">
        <f>_xlfn.IFNA(VLOOKUP($J307,WH_Data[],7,FALSE),"")</f>
        <v/>
      </c>
      <c r="O307" s="4" t="str">
        <f>_xlfn.IFNA(VLOOKUP($J307,WH_Data[],8,FALSE),"")</f>
        <v/>
      </c>
      <c r="P307" s="8"/>
      <c r="Q307" s="209">
        <f>Mon_ILR2[[#This Row],[Qty Required]]-Mon_ILR2[[#This Row],[QTY Transfer]]</f>
        <v>1</v>
      </c>
      <c r="R307" s="66" t="s">
        <v>905</v>
      </c>
      <c r="S307" s="66" t="s">
        <v>922</v>
      </c>
      <c r="T307" s="210">
        <f>_xlfn.IFNA(VLOOKUP(Mon_ILR2[[#This Row],[New Model]],PhilipsLibary[],4,FALSE),"0")</f>
        <v>1088</v>
      </c>
      <c r="U307" s="210">
        <f>_xlfn.IFNA(VLOOKUP(Mon_ILR2[[#This Row],[New Model]],PhilipsLibary[],5,FALSE),"0")</f>
        <v>0</v>
      </c>
      <c r="V307" s="210">
        <f>_xlfn.IFNA(VLOOKUP(Mon_ILR2[[#This Row],[New Model]],PhilipsLibary[],5,FALSE),"0")</f>
        <v>0</v>
      </c>
      <c r="W307" s="210">
        <f>Mon_ILR2[[#This Row],[Accessory Rate]]+Mon_ILR2[[#This Row],[Mounting Rate]]+Mon_ILR2[[#This Row],[Unit Rate]]*Mon_ILR2[[#This Row],[New Quantity Required ]]</f>
        <v>1088</v>
      </c>
      <c r="X307" s="8"/>
      <c r="Y307" s="289" t="s">
        <v>2143</v>
      </c>
    </row>
    <row r="308" spans="2:25" ht="45" x14ac:dyDescent="0.25">
      <c r="B308" s="207" t="s">
        <v>299</v>
      </c>
      <c r="C308" s="66" t="s">
        <v>305</v>
      </c>
      <c r="D308" s="4" t="s">
        <v>355</v>
      </c>
      <c r="E308" s="4" t="s">
        <v>1072</v>
      </c>
      <c r="F308" s="4" t="s">
        <v>1108</v>
      </c>
      <c r="G308" s="4" t="s">
        <v>1093</v>
      </c>
      <c r="H308" s="208">
        <v>1</v>
      </c>
      <c r="I308" s="4"/>
      <c r="J308" s="15"/>
      <c r="K308" s="4" t="str">
        <f>_xlfn.IFNA(VLOOKUP($J308,WH_Data[],6,FALSE),"")</f>
        <v/>
      </c>
      <c r="L308" s="4" t="str">
        <f>_xlfn.IFNA(VLOOKUP($J308,WH_Data[],3,FALSE),"")</f>
        <v/>
      </c>
      <c r="M308" s="4" t="str">
        <f>_xlfn.IFNA(VLOOKUP($J308,WH_Data[],5,FALSE),"")</f>
        <v/>
      </c>
      <c r="N308" s="4" t="str">
        <f>_xlfn.IFNA(VLOOKUP($J308,WH_Data[],7,FALSE),"")</f>
        <v/>
      </c>
      <c r="O308" s="4" t="str">
        <f>_xlfn.IFNA(VLOOKUP($J308,WH_Data[],8,FALSE),"")</f>
        <v/>
      </c>
      <c r="P308" s="8"/>
      <c r="Q308" s="209">
        <f>Mon_ILR2[[#This Row],[Qty Required]]-Mon_ILR2[[#This Row],[QTY Transfer]]</f>
        <v>1</v>
      </c>
      <c r="R308" s="66" t="s">
        <v>905</v>
      </c>
      <c r="S308" s="66" t="s">
        <v>922</v>
      </c>
      <c r="T308" s="210">
        <f>_xlfn.IFNA(VLOOKUP(Mon_ILR2[[#This Row],[New Model]],PhilipsLibary[],4,FALSE),"0")</f>
        <v>1088</v>
      </c>
      <c r="U308" s="210">
        <f>_xlfn.IFNA(VLOOKUP(Mon_ILR2[[#This Row],[New Model]],PhilipsLibary[],5,FALSE),"0")</f>
        <v>0</v>
      </c>
      <c r="V308" s="210">
        <f>_xlfn.IFNA(VLOOKUP(Mon_ILR2[[#This Row],[New Model]],PhilipsLibary[],5,FALSE),"0")</f>
        <v>0</v>
      </c>
      <c r="W308" s="210">
        <f>Mon_ILR2[[#This Row],[Accessory Rate]]+Mon_ILR2[[#This Row],[Mounting Rate]]+Mon_ILR2[[#This Row],[Unit Rate]]*Mon_ILR2[[#This Row],[New Quantity Required ]]</f>
        <v>1088</v>
      </c>
      <c r="X308" s="8"/>
      <c r="Y308" s="289" t="s">
        <v>2143</v>
      </c>
    </row>
    <row r="309" spans="2:25" ht="45" x14ac:dyDescent="0.25">
      <c r="B309" s="207" t="s">
        <v>299</v>
      </c>
      <c r="C309" s="66" t="s">
        <v>305</v>
      </c>
      <c r="D309" s="4" t="s">
        <v>358</v>
      </c>
      <c r="E309" s="4" t="s">
        <v>1072</v>
      </c>
      <c r="F309" s="4" t="s">
        <v>1108</v>
      </c>
      <c r="G309" s="4" t="s">
        <v>1093</v>
      </c>
      <c r="H309" s="208">
        <v>1</v>
      </c>
      <c r="I309" s="4"/>
      <c r="J309" s="15"/>
      <c r="K309" s="4" t="str">
        <f>_xlfn.IFNA(VLOOKUP($J309,WH_Data[],6,FALSE),"")</f>
        <v/>
      </c>
      <c r="L309" s="4" t="str">
        <f>_xlfn.IFNA(VLOOKUP($J309,WH_Data[],3,FALSE),"")</f>
        <v/>
      </c>
      <c r="M309" s="4" t="str">
        <f>_xlfn.IFNA(VLOOKUP($J309,WH_Data[],5,FALSE),"")</f>
        <v/>
      </c>
      <c r="N309" s="4" t="str">
        <f>_xlfn.IFNA(VLOOKUP($J309,WH_Data[],7,FALSE),"")</f>
        <v/>
      </c>
      <c r="O309" s="4" t="str">
        <f>_xlfn.IFNA(VLOOKUP($J309,WH_Data[],8,FALSE),"")</f>
        <v/>
      </c>
      <c r="P309" s="8"/>
      <c r="Q309" s="209">
        <f>Mon_ILR2[[#This Row],[Qty Required]]-Mon_ILR2[[#This Row],[QTY Transfer]]</f>
        <v>1</v>
      </c>
      <c r="R309" s="66" t="s">
        <v>905</v>
      </c>
      <c r="S309" s="66" t="s">
        <v>922</v>
      </c>
      <c r="T309" s="210">
        <f>_xlfn.IFNA(VLOOKUP(Mon_ILR2[[#This Row],[New Model]],PhilipsLibary[],4,FALSE),"0")</f>
        <v>1088</v>
      </c>
      <c r="U309" s="210">
        <f>_xlfn.IFNA(VLOOKUP(Mon_ILR2[[#This Row],[New Model]],PhilipsLibary[],5,FALSE),"0")</f>
        <v>0</v>
      </c>
      <c r="V309" s="210">
        <f>_xlfn.IFNA(VLOOKUP(Mon_ILR2[[#This Row],[New Model]],PhilipsLibary[],5,FALSE),"0")</f>
        <v>0</v>
      </c>
      <c r="W309" s="210">
        <f>Mon_ILR2[[#This Row],[Accessory Rate]]+Mon_ILR2[[#This Row],[Mounting Rate]]+Mon_ILR2[[#This Row],[Unit Rate]]*Mon_ILR2[[#This Row],[New Quantity Required ]]</f>
        <v>1088</v>
      </c>
      <c r="X309" s="8"/>
      <c r="Y309" s="289" t="s">
        <v>2143</v>
      </c>
    </row>
    <row r="310" spans="2:25" ht="45" x14ac:dyDescent="0.25">
      <c r="B310" s="207" t="s">
        <v>299</v>
      </c>
      <c r="C310" s="66" t="s">
        <v>333</v>
      </c>
      <c r="D310" s="4" t="s">
        <v>361</v>
      </c>
      <c r="E310" s="4" t="s">
        <v>1072</v>
      </c>
      <c r="F310" s="4" t="s">
        <v>1108</v>
      </c>
      <c r="G310" s="4" t="s">
        <v>1093</v>
      </c>
      <c r="H310" s="208">
        <v>1</v>
      </c>
      <c r="I310" s="4"/>
      <c r="J310" s="15"/>
      <c r="K310" s="4" t="str">
        <f>_xlfn.IFNA(VLOOKUP($J310,WH_Data[],6,FALSE),"")</f>
        <v/>
      </c>
      <c r="L310" s="4" t="str">
        <f>_xlfn.IFNA(VLOOKUP($J310,WH_Data[],3,FALSE),"")</f>
        <v/>
      </c>
      <c r="M310" s="4" t="str">
        <f>_xlfn.IFNA(VLOOKUP($J310,WH_Data[],5,FALSE),"")</f>
        <v/>
      </c>
      <c r="N310" s="4" t="str">
        <f>_xlfn.IFNA(VLOOKUP($J310,WH_Data[],7,FALSE),"")</f>
        <v/>
      </c>
      <c r="O310" s="4" t="str">
        <f>_xlfn.IFNA(VLOOKUP($J310,WH_Data[],8,FALSE),"")</f>
        <v/>
      </c>
      <c r="P310" s="8"/>
      <c r="Q310" s="209">
        <f>Mon_ILR2[[#This Row],[Qty Required]]-Mon_ILR2[[#This Row],[QTY Transfer]]</f>
        <v>1</v>
      </c>
      <c r="R310" s="66" t="s">
        <v>905</v>
      </c>
      <c r="S310" s="66" t="s">
        <v>922</v>
      </c>
      <c r="T310" s="210">
        <f>_xlfn.IFNA(VLOOKUP(Mon_ILR2[[#This Row],[New Model]],PhilipsLibary[],4,FALSE),"0")</f>
        <v>1088</v>
      </c>
      <c r="U310" s="210">
        <f>_xlfn.IFNA(VLOOKUP(Mon_ILR2[[#This Row],[New Model]],PhilipsLibary[],5,FALSE),"0")</f>
        <v>0</v>
      </c>
      <c r="V310" s="210">
        <f>_xlfn.IFNA(VLOOKUP(Mon_ILR2[[#This Row],[New Model]],PhilipsLibary[],5,FALSE),"0")</f>
        <v>0</v>
      </c>
      <c r="W310" s="210">
        <f>Mon_ILR2[[#This Row],[Accessory Rate]]+Mon_ILR2[[#This Row],[Mounting Rate]]+Mon_ILR2[[#This Row],[Unit Rate]]*Mon_ILR2[[#This Row],[New Quantity Required ]]</f>
        <v>1088</v>
      </c>
      <c r="X310" s="8"/>
      <c r="Y310" s="289" t="s">
        <v>2143</v>
      </c>
    </row>
    <row r="311" spans="2:25" ht="15.75" customHeight="1" x14ac:dyDescent="0.25">
      <c r="B311" s="207" t="s">
        <v>299</v>
      </c>
      <c r="C311" s="66" t="s">
        <v>174</v>
      </c>
      <c r="D311" s="4" t="s">
        <v>300</v>
      </c>
      <c r="E311" s="4" t="s">
        <v>1072</v>
      </c>
      <c r="F311" s="4" t="s">
        <v>1122</v>
      </c>
      <c r="G311" s="4" t="s">
        <v>1093</v>
      </c>
      <c r="H311" s="208">
        <v>1</v>
      </c>
      <c r="I311" s="4"/>
      <c r="J311" s="46" t="s">
        <v>1123</v>
      </c>
      <c r="K311" s="4" t="str">
        <f>VLOOKUP($J311,WH_Data[],6,FALSE)</f>
        <v>CCO/CO MODULE, PHYSIOLOGICAL</v>
      </c>
      <c r="L311" s="4" t="str">
        <f>VLOOKUP($J311,WH_Data[],3,FALSE)</f>
        <v>PHILIPS MEDICAL SYSTEMS AUSTRA</v>
      </c>
      <c r="M311" s="4" t="str">
        <f>VLOOKUP($J311,WH_Data[],5,FALSE)</f>
        <v>Philips M1012A Cardiac Output Module</v>
      </c>
      <c r="N311" s="4" t="str">
        <f>VLOOKUP($J311,WH_Data[],7,FALSE)</f>
        <v>3805G33698</v>
      </c>
      <c r="O311" s="4" t="str">
        <f>VLOOKUP($J311,WH_Data[],8,FALSE)</f>
        <v>ICU WESTERN HOSPITAL</v>
      </c>
      <c r="P311" s="8" t="str">
        <f>IF(ISTEXT(Mon_ILR2[[#This Row],[TRANSFER BARCODE]]), "1", "0")</f>
        <v>1</v>
      </c>
      <c r="Q311" s="209">
        <f>Mon_ILR2[[#This Row],[Qty Required]]-Mon_ILR2[[#This Row],[QTY Transfer]]</f>
        <v>0</v>
      </c>
      <c r="R311" s="66" t="s">
        <v>905</v>
      </c>
      <c r="S311" t="s">
        <v>970</v>
      </c>
      <c r="T311" s="210">
        <f>_xlfn.IFNA(VLOOKUP(Mon_ILR2[[#This Row],[New Model]],PhilipsLibary[],4,FALSE),"0")</f>
        <v>3784</v>
      </c>
      <c r="U311" s="210">
        <f>_xlfn.IFNA(VLOOKUP(Mon_ILR2[[#This Row],[New Model]],PhilipsLibary[],5,FALSE),"0")</f>
        <v>0</v>
      </c>
      <c r="V311" s="210">
        <f>_xlfn.IFNA(VLOOKUP(Mon_ILR2[[#This Row],[New Model]],PhilipsLibary[],5,FALSE),"0")</f>
        <v>0</v>
      </c>
      <c r="W311" s="210">
        <f>Mon_ILR2[[#This Row],[Accessory Rate]]+Mon_ILR2[[#This Row],[Mounting Rate]]+Mon_ILR2[[#This Row],[Unit Rate]]*Mon_ILR2[[#This Row],[New Quantity Required ]]</f>
        <v>0</v>
      </c>
      <c r="X311" s="8"/>
      <c r="Y311" s="246"/>
    </row>
    <row r="312" spans="2:25" ht="15.75" customHeight="1" x14ac:dyDescent="0.25">
      <c r="B312" s="207" t="s">
        <v>299</v>
      </c>
      <c r="C312" s="66" t="s">
        <v>174</v>
      </c>
      <c r="D312" s="4" t="s">
        <v>300</v>
      </c>
      <c r="E312" s="4" t="s">
        <v>1072</v>
      </c>
      <c r="F312" s="4" t="s">
        <v>1122</v>
      </c>
      <c r="G312" s="4" t="s">
        <v>1093</v>
      </c>
      <c r="H312" s="208">
        <v>1</v>
      </c>
      <c r="I312" s="4"/>
      <c r="J312" s="46" t="s">
        <v>1124</v>
      </c>
      <c r="K312" s="4" t="str">
        <f>VLOOKUP($J312,WH_Data[],6,FALSE)</f>
        <v>CCO/CO MODULE, PHYSIOLOGICAL</v>
      </c>
      <c r="L312" s="4" t="str">
        <f>VLOOKUP($J312,WH_Data[],3,FALSE)</f>
        <v>PHILIPS MEDICAL SYSTEMS AUSTRA</v>
      </c>
      <c r="M312" s="4" t="str">
        <f>VLOOKUP($J312,WH_Data[],5,FALSE)</f>
        <v>Philips M1012A Cardiac Output Module</v>
      </c>
      <c r="N312" s="4" t="str">
        <f>VLOOKUP($J312,WH_Data[],7,FALSE)</f>
        <v>3805G33699</v>
      </c>
      <c r="O312" s="4" t="str">
        <f>VLOOKUP($J312,WH_Data[],8,FALSE)</f>
        <v>ICU WESTERN HOSPITAL</v>
      </c>
      <c r="P312" s="8" t="str">
        <f>IF(ISTEXT(Mon_ILR2[[#This Row],[TRANSFER BARCODE]]), "1", "0")</f>
        <v>1</v>
      </c>
      <c r="Q312" s="209">
        <f>Mon_ILR2[[#This Row],[Qty Required]]-Mon_ILR2[[#This Row],[QTY Transfer]]</f>
        <v>0</v>
      </c>
      <c r="R312" s="66" t="s">
        <v>905</v>
      </c>
      <c r="S312" t="s">
        <v>970</v>
      </c>
      <c r="T312" s="210">
        <f>_xlfn.IFNA(VLOOKUP(Mon_ILR2[[#This Row],[New Model]],PhilipsLibary[],4,FALSE),"0")</f>
        <v>3784</v>
      </c>
      <c r="U312" s="210">
        <f>_xlfn.IFNA(VLOOKUP(Mon_ILR2[[#This Row],[New Model]],PhilipsLibary[],5,FALSE),"0")</f>
        <v>0</v>
      </c>
      <c r="V312" s="210">
        <f>_xlfn.IFNA(VLOOKUP(Mon_ILR2[[#This Row],[New Model]],PhilipsLibary[],5,FALSE),"0")</f>
        <v>0</v>
      </c>
      <c r="W312" s="210">
        <f>Mon_ILR2[[#This Row],[Accessory Rate]]+Mon_ILR2[[#This Row],[Mounting Rate]]+Mon_ILR2[[#This Row],[Unit Rate]]*Mon_ILR2[[#This Row],[New Quantity Required ]]</f>
        <v>0</v>
      </c>
      <c r="X312" s="8"/>
      <c r="Y312" s="246"/>
    </row>
    <row r="313" spans="2:25" ht="15.75" customHeight="1" x14ac:dyDescent="0.25">
      <c r="B313" s="207" t="s">
        <v>299</v>
      </c>
      <c r="C313" s="66" t="s">
        <v>174</v>
      </c>
      <c r="D313" s="4" t="s">
        <v>300</v>
      </c>
      <c r="E313" s="4" t="s">
        <v>1072</v>
      </c>
      <c r="F313" s="4" t="s">
        <v>1122</v>
      </c>
      <c r="G313" s="4" t="s">
        <v>1093</v>
      </c>
      <c r="H313" s="208">
        <v>1</v>
      </c>
      <c r="I313" s="4"/>
      <c r="J313" s="46" t="s">
        <v>1125</v>
      </c>
      <c r="K313" s="4" t="str">
        <f>VLOOKUP($J313,WH_Data[],6,FALSE)</f>
        <v>CCO/CO MODULE, PHYSIOLOGICAL</v>
      </c>
      <c r="L313" s="4" t="str">
        <f>VLOOKUP($J313,WH_Data[],3,FALSE)</f>
        <v>PHILIPS MEDICAL SYSTEMS AUSTRA</v>
      </c>
      <c r="M313" s="4" t="str">
        <f>VLOOKUP($J313,WH_Data[],5,FALSE)</f>
        <v>Philips M1012A Cardiac Output Module</v>
      </c>
      <c r="N313" s="4" t="str">
        <f>VLOOKUP($J313,WH_Data[],7,FALSE)</f>
        <v>3805G33702</v>
      </c>
      <c r="O313" s="4" t="str">
        <f>VLOOKUP($J313,WH_Data[],8,FALSE)</f>
        <v>ICU WESTERN HOSPITAL</v>
      </c>
      <c r="P313" s="8" t="str">
        <f>IF(ISTEXT(Mon_ILR2[[#This Row],[TRANSFER BARCODE]]), "1", "0")</f>
        <v>1</v>
      </c>
      <c r="Q313" s="209">
        <f>Mon_ILR2[[#This Row],[Qty Required]]-Mon_ILR2[[#This Row],[QTY Transfer]]</f>
        <v>0</v>
      </c>
      <c r="R313" s="66" t="s">
        <v>905</v>
      </c>
      <c r="S313" t="s">
        <v>970</v>
      </c>
      <c r="T313" s="210">
        <f>_xlfn.IFNA(VLOOKUP(Mon_ILR2[[#This Row],[New Model]],PhilipsLibary[],4,FALSE),"0")</f>
        <v>3784</v>
      </c>
      <c r="U313" s="210">
        <f>_xlfn.IFNA(VLOOKUP(Mon_ILR2[[#This Row],[New Model]],PhilipsLibary[],5,FALSE),"0")</f>
        <v>0</v>
      </c>
      <c r="V313" s="210">
        <f>_xlfn.IFNA(VLOOKUP(Mon_ILR2[[#This Row],[New Model]],PhilipsLibary[],5,FALSE),"0")</f>
        <v>0</v>
      </c>
      <c r="W313" s="210">
        <f>Mon_ILR2[[#This Row],[Accessory Rate]]+Mon_ILR2[[#This Row],[Mounting Rate]]+Mon_ILR2[[#This Row],[Unit Rate]]*Mon_ILR2[[#This Row],[New Quantity Required ]]</f>
        <v>0</v>
      </c>
      <c r="X313" s="8"/>
      <c r="Y313" s="246"/>
    </row>
    <row r="314" spans="2:25" ht="15.75" customHeight="1" x14ac:dyDescent="0.25">
      <c r="B314" s="207" t="s">
        <v>299</v>
      </c>
      <c r="C314" s="66" t="s">
        <v>174</v>
      </c>
      <c r="D314" s="4" t="s">
        <v>300</v>
      </c>
      <c r="E314" s="4" t="s">
        <v>1072</v>
      </c>
      <c r="F314" s="4" t="s">
        <v>1122</v>
      </c>
      <c r="G314" s="4" t="s">
        <v>1093</v>
      </c>
      <c r="H314" s="208">
        <v>1</v>
      </c>
      <c r="I314" s="4"/>
      <c r="J314" s="46" t="s">
        <v>1126</v>
      </c>
      <c r="K314" s="4" t="str">
        <f>VLOOKUP($J314,WH_Data[],6,FALSE)</f>
        <v>CCO/CO MODULE, PHYSIOLOGICAL</v>
      </c>
      <c r="L314" s="4" t="str">
        <f>VLOOKUP($J314,WH_Data[],3,FALSE)</f>
        <v>PHILIPS MEDICAL SYSTEMS AUSTRA</v>
      </c>
      <c r="M314" s="4" t="str">
        <f>VLOOKUP($J314,WH_Data[],5,FALSE)</f>
        <v>Philips M1012A Cardiac Output Module</v>
      </c>
      <c r="N314" s="4" t="str">
        <f>VLOOKUP($J314,WH_Data[],7,FALSE)</f>
        <v>3805G33704</v>
      </c>
      <c r="O314" s="4" t="str">
        <f>VLOOKUP($J314,WH_Data[],8,FALSE)</f>
        <v>ICU WESTERN HOSPITAL</v>
      </c>
      <c r="P314" s="8" t="str">
        <f>IF(ISTEXT(Mon_ILR2[[#This Row],[TRANSFER BARCODE]]), "1", "0")</f>
        <v>1</v>
      </c>
      <c r="Q314" s="209">
        <f>Mon_ILR2[[#This Row],[Qty Required]]-Mon_ILR2[[#This Row],[QTY Transfer]]</f>
        <v>0</v>
      </c>
      <c r="R314" s="66" t="s">
        <v>905</v>
      </c>
      <c r="S314" t="s">
        <v>970</v>
      </c>
      <c r="T314" s="210">
        <f>_xlfn.IFNA(VLOOKUP(Mon_ILR2[[#This Row],[New Model]],PhilipsLibary[],4,FALSE),"0")</f>
        <v>3784</v>
      </c>
      <c r="U314" s="210">
        <f>_xlfn.IFNA(VLOOKUP(Mon_ILR2[[#This Row],[New Model]],PhilipsLibary[],5,FALSE),"0")</f>
        <v>0</v>
      </c>
      <c r="V314" s="210">
        <f>_xlfn.IFNA(VLOOKUP(Mon_ILR2[[#This Row],[New Model]],PhilipsLibary[],5,FALSE),"0")</f>
        <v>0</v>
      </c>
      <c r="W314" s="210">
        <f>Mon_ILR2[[#This Row],[Accessory Rate]]+Mon_ILR2[[#This Row],[Mounting Rate]]+Mon_ILR2[[#This Row],[Unit Rate]]*Mon_ILR2[[#This Row],[New Quantity Required ]]</f>
        <v>0</v>
      </c>
      <c r="X314" s="8"/>
      <c r="Y314" s="246"/>
    </row>
    <row r="315" spans="2:25" ht="15.75" customHeight="1" x14ac:dyDescent="0.25">
      <c r="B315" s="207" t="s">
        <v>299</v>
      </c>
      <c r="C315" s="66" t="s">
        <v>174</v>
      </c>
      <c r="D315" s="4" t="s">
        <v>300</v>
      </c>
      <c r="E315" s="4" t="s">
        <v>1072</v>
      </c>
      <c r="F315" s="4" t="s">
        <v>1122</v>
      </c>
      <c r="G315" s="4" t="s">
        <v>1093</v>
      </c>
      <c r="H315" s="208">
        <v>1</v>
      </c>
      <c r="I315" s="4"/>
      <c r="J315" s="46" t="s">
        <v>1127</v>
      </c>
      <c r="K315" s="4" t="str">
        <f>VLOOKUP($J315,WH_Data[],6,FALSE)</f>
        <v>CCO/CO MODULE, PHYSIOLOGICAL</v>
      </c>
      <c r="L315" s="4" t="str">
        <f>VLOOKUP($J315,WH_Data[],3,FALSE)</f>
        <v>PHILIPS MEDICAL SYSTEMS AUSTRA</v>
      </c>
      <c r="M315" s="4" t="str">
        <f>VLOOKUP($J315,WH_Data[],5,FALSE)</f>
        <v>Philips M1012A Cardiac Output Module</v>
      </c>
      <c r="N315" s="4" t="str">
        <f>VLOOKUP($J315,WH_Data[],7,FALSE)</f>
        <v>3805G33707</v>
      </c>
      <c r="O315" s="4" t="str">
        <f>VLOOKUP($J315,WH_Data[],8,FALSE)</f>
        <v>ICU WESTERN HOSPITAL</v>
      </c>
      <c r="P315" s="8" t="str">
        <f>IF(ISTEXT(Mon_ILR2[[#This Row],[TRANSFER BARCODE]]), "1", "0")</f>
        <v>1</v>
      </c>
      <c r="Q315" s="209">
        <f>Mon_ILR2[[#This Row],[Qty Required]]-Mon_ILR2[[#This Row],[QTY Transfer]]</f>
        <v>0</v>
      </c>
      <c r="R315" s="66" t="s">
        <v>905</v>
      </c>
      <c r="S315" t="s">
        <v>970</v>
      </c>
      <c r="T315" s="210">
        <f>_xlfn.IFNA(VLOOKUP(Mon_ILR2[[#This Row],[New Model]],PhilipsLibary[],4,FALSE),"0")</f>
        <v>3784</v>
      </c>
      <c r="U315" s="210">
        <f>_xlfn.IFNA(VLOOKUP(Mon_ILR2[[#This Row],[New Model]],PhilipsLibary[],5,FALSE),"0")</f>
        <v>0</v>
      </c>
      <c r="V315" s="210">
        <f>_xlfn.IFNA(VLOOKUP(Mon_ILR2[[#This Row],[New Model]],PhilipsLibary[],5,FALSE),"0")</f>
        <v>0</v>
      </c>
      <c r="W315" s="210">
        <f>Mon_ILR2[[#This Row],[Accessory Rate]]+Mon_ILR2[[#This Row],[Mounting Rate]]+Mon_ILR2[[#This Row],[Unit Rate]]*Mon_ILR2[[#This Row],[New Quantity Required ]]</f>
        <v>0</v>
      </c>
      <c r="X315" s="8"/>
      <c r="Y315" s="246"/>
    </row>
    <row r="316" spans="2:25" ht="15.75" customHeight="1" x14ac:dyDescent="0.25">
      <c r="B316" s="207" t="s">
        <v>299</v>
      </c>
      <c r="C316" s="66" t="s">
        <v>174</v>
      </c>
      <c r="D316" s="4" t="s">
        <v>300</v>
      </c>
      <c r="E316" s="4" t="s">
        <v>1072</v>
      </c>
      <c r="F316" s="4" t="s">
        <v>1122</v>
      </c>
      <c r="G316" s="4" t="s">
        <v>1093</v>
      </c>
      <c r="H316" s="208">
        <v>1</v>
      </c>
      <c r="I316" s="4"/>
      <c r="J316" s="46" t="s">
        <v>1128</v>
      </c>
      <c r="K316" s="4" t="str">
        <f>VLOOKUP($J316,WH_Data[],6,FALSE)</f>
        <v>CCO/CO MODULE, PHYSIOLOGICAL</v>
      </c>
      <c r="L316" s="4" t="str">
        <f>VLOOKUP($J316,WH_Data[],3,FALSE)</f>
        <v>PHILIPS MEDICAL SYSTEMS AUSTRA</v>
      </c>
      <c r="M316" s="4" t="str">
        <f>VLOOKUP($J316,WH_Data[],5,FALSE)</f>
        <v>Philips M1012A Cardiac Output Module</v>
      </c>
      <c r="N316" s="4" t="str">
        <f>VLOOKUP($J316,WH_Data[],7,FALSE)</f>
        <v>3805G33708</v>
      </c>
      <c r="O316" s="4" t="str">
        <f>VLOOKUP($J316,WH_Data[],8,FALSE)</f>
        <v>ICU WESTERN HOSPITAL</v>
      </c>
      <c r="P316" s="8" t="str">
        <f>IF(ISTEXT(Mon_ILR2[[#This Row],[TRANSFER BARCODE]]), "1", "0")</f>
        <v>1</v>
      </c>
      <c r="Q316" s="209">
        <f>Mon_ILR2[[#This Row],[Qty Required]]-Mon_ILR2[[#This Row],[QTY Transfer]]</f>
        <v>0</v>
      </c>
      <c r="R316" s="66" t="s">
        <v>905</v>
      </c>
      <c r="S316" t="s">
        <v>970</v>
      </c>
      <c r="T316" s="210">
        <f>_xlfn.IFNA(VLOOKUP(Mon_ILR2[[#This Row],[New Model]],PhilipsLibary[],4,FALSE),"0")</f>
        <v>3784</v>
      </c>
      <c r="U316" s="210">
        <f>_xlfn.IFNA(VLOOKUP(Mon_ILR2[[#This Row],[New Model]],PhilipsLibary[],5,FALSE),"0")</f>
        <v>0</v>
      </c>
      <c r="V316" s="210">
        <f>_xlfn.IFNA(VLOOKUP(Mon_ILR2[[#This Row],[New Model]],PhilipsLibary[],5,FALSE),"0")</f>
        <v>0</v>
      </c>
      <c r="W316" s="210">
        <f>Mon_ILR2[[#This Row],[Accessory Rate]]+Mon_ILR2[[#This Row],[Mounting Rate]]+Mon_ILR2[[#This Row],[Unit Rate]]*Mon_ILR2[[#This Row],[New Quantity Required ]]</f>
        <v>0</v>
      </c>
      <c r="X316" s="8"/>
      <c r="Y316" s="246"/>
    </row>
    <row r="317" spans="2:25" ht="15.75" customHeight="1" x14ac:dyDescent="0.25">
      <c r="B317" s="207" t="s">
        <v>299</v>
      </c>
      <c r="C317" s="66" t="s">
        <v>174</v>
      </c>
      <c r="D317" s="4" t="s">
        <v>300</v>
      </c>
      <c r="E317" s="4" t="s">
        <v>1072</v>
      </c>
      <c r="F317" s="4" t="s">
        <v>1122</v>
      </c>
      <c r="G317" s="4" t="s">
        <v>1093</v>
      </c>
      <c r="H317" s="208">
        <v>1</v>
      </c>
      <c r="I317" s="4"/>
      <c r="J317" s="46" t="s">
        <v>1129</v>
      </c>
      <c r="K317" s="4" t="str">
        <f>VLOOKUP($J317,WH_Data[],6,FALSE)</f>
        <v>CCO/CO MODULE, PHYSIOLOGICAL</v>
      </c>
      <c r="L317" s="4" t="str">
        <f>VLOOKUP($J317,WH_Data[],3,FALSE)</f>
        <v>PHILIPS MEDICAL SYSTEMS AUSTRA</v>
      </c>
      <c r="M317" s="4" t="str">
        <f>VLOOKUP($J317,WH_Data[],5,FALSE)</f>
        <v>Philips M1012A Cardiac Output Module</v>
      </c>
      <c r="N317" s="4" t="str">
        <f>VLOOKUP($J317,WH_Data[],7,FALSE)</f>
        <v>3805G33714</v>
      </c>
      <c r="O317" s="4" t="str">
        <f>VLOOKUP($J317,WH_Data[],8,FALSE)</f>
        <v>ICU WESTERN HOSPITAL</v>
      </c>
      <c r="P317" s="8" t="str">
        <f>IF(ISTEXT(Mon_ILR2[[#This Row],[TRANSFER BARCODE]]), "1", "0")</f>
        <v>1</v>
      </c>
      <c r="Q317" s="209">
        <f>Mon_ILR2[[#This Row],[Qty Required]]-Mon_ILR2[[#This Row],[QTY Transfer]]</f>
        <v>0</v>
      </c>
      <c r="R317" s="66" t="s">
        <v>905</v>
      </c>
      <c r="S317" t="s">
        <v>970</v>
      </c>
      <c r="T317" s="210">
        <f>_xlfn.IFNA(VLOOKUP(Mon_ILR2[[#This Row],[New Model]],PhilipsLibary[],4,FALSE),"0")</f>
        <v>3784</v>
      </c>
      <c r="U317" s="210">
        <f>_xlfn.IFNA(VLOOKUP(Mon_ILR2[[#This Row],[New Model]],PhilipsLibary[],5,FALSE),"0")</f>
        <v>0</v>
      </c>
      <c r="V317" s="210">
        <f>_xlfn.IFNA(VLOOKUP(Mon_ILR2[[#This Row],[New Model]],PhilipsLibary[],5,FALSE),"0")</f>
        <v>0</v>
      </c>
      <c r="W317" s="210">
        <f>Mon_ILR2[[#This Row],[Accessory Rate]]+Mon_ILR2[[#This Row],[Mounting Rate]]+Mon_ILR2[[#This Row],[Unit Rate]]*Mon_ILR2[[#This Row],[New Quantity Required ]]</f>
        <v>0</v>
      </c>
      <c r="X317" s="8"/>
      <c r="Y317" s="246"/>
    </row>
    <row r="318" spans="2:25" ht="15.75" customHeight="1" x14ac:dyDescent="0.25">
      <c r="B318" s="207" t="s">
        <v>299</v>
      </c>
      <c r="C318" s="66" t="s">
        <v>305</v>
      </c>
      <c r="D318" s="4" t="s">
        <v>306</v>
      </c>
      <c r="E318" s="4" t="s">
        <v>1072</v>
      </c>
      <c r="F318" s="43" t="s">
        <v>929</v>
      </c>
      <c r="G318" s="4" t="s">
        <v>1093</v>
      </c>
      <c r="H318" s="208">
        <v>1</v>
      </c>
      <c r="I318" s="4"/>
      <c r="J318" s="46" t="s">
        <v>1130</v>
      </c>
      <c r="K318" s="4" t="str">
        <f>_xlfn.IFNA(VLOOKUP($J318,WH_Data[],6,FALSE),"")</f>
        <v>MODULE, CO2</v>
      </c>
      <c r="L318" s="4" t="str">
        <f>_xlfn.IFNA(VLOOKUP($J318,WH_Data[],3,FALSE),"")</f>
        <v>PHILIPS MEDICAL SYSTEMS AUSTRA</v>
      </c>
      <c r="M318" s="4" t="str">
        <f>_xlfn.IFNA(VLOOKUP($J318,WH_Data[],5,FALSE),"")</f>
        <v>Capnography Extension</v>
      </c>
      <c r="N318" s="4" t="str">
        <f>_xlfn.IFNA(VLOOKUP($J318,WH_Data[],7,FALSE),"")</f>
        <v>DE69739805</v>
      </c>
      <c r="O318" s="4" t="str">
        <f>_xlfn.IFNA(VLOOKUP($J318,WH_Data[],8,FALSE),"")</f>
        <v>FH ICU</v>
      </c>
      <c r="P318" s="8">
        <v>1</v>
      </c>
      <c r="Q318" s="209">
        <f>Mon_ILR2[[#This Row],[Qty Required]]-Mon_ILR2[[#This Row],[QTY Transfer]]</f>
        <v>0</v>
      </c>
      <c r="R318" s="66" t="s">
        <v>905</v>
      </c>
      <c r="S318" t="s">
        <v>928</v>
      </c>
      <c r="T318" s="210">
        <f>_xlfn.IFNA(VLOOKUP(Mon_ILR2[[#This Row],[New Model]],PhilipsLibary[],4,FALSE),"0")</f>
        <v>4924</v>
      </c>
      <c r="U318" s="210">
        <f>_xlfn.IFNA(VLOOKUP(Mon_ILR2[[#This Row],[New Model]],PhilipsLibary[],5,FALSE),"0")</f>
        <v>0</v>
      </c>
      <c r="V318" s="210">
        <f>_xlfn.IFNA(VLOOKUP(Mon_ILR2[[#This Row],[New Model]],PhilipsLibary[],5,FALSE),"0")</f>
        <v>0</v>
      </c>
      <c r="W318" s="210">
        <f>Mon_ILR2[[#This Row],[Accessory Rate]]+Mon_ILR2[[#This Row],[Mounting Rate]]+Mon_ILR2[[#This Row],[Unit Rate]]*Mon_ILR2[[#This Row],[New Quantity Required ]]</f>
        <v>0</v>
      </c>
      <c r="X318" s="8"/>
      <c r="Y318" s="246"/>
    </row>
    <row r="319" spans="2:25" ht="15.75" customHeight="1" x14ac:dyDescent="0.25">
      <c r="B319" s="207" t="s">
        <v>299</v>
      </c>
      <c r="C319" s="66" t="s">
        <v>305</v>
      </c>
      <c r="D319" s="4" t="s">
        <v>309</v>
      </c>
      <c r="E319" s="4" t="s">
        <v>1072</v>
      </c>
      <c r="F319" s="43" t="s">
        <v>929</v>
      </c>
      <c r="G319" s="4" t="s">
        <v>1093</v>
      </c>
      <c r="H319" s="208">
        <v>1</v>
      </c>
      <c r="I319" s="4"/>
      <c r="J319" s="46" t="s">
        <v>1131</v>
      </c>
      <c r="K319" s="4" t="str">
        <f>_xlfn.IFNA(VLOOKUP($J319,WH_Data[],6,FALSE),"")</f>
        <v>MODULE, CO2</v>
      </c>
      <c r="L319" s="4" t="str">
        <f>_xlfn.IFNA(VLOOKUP($J319,WH_Data[],3,FALSE),"")</f>
        <v>PHILIPS MEDICAL SYSTEMS AUSTRA</v>
      </c>
      <c r="M319" s="4" t="str">
        <f>_xlfn.IFNA(VLOOKUP($J319,WH_Data[],5,FALSE),"")</f>
        <v>Capnography Extension</v>
      </c>
      <c r="N319" s="4" t="str">
        <f>_xlfn.IFNA(VLOOKUP($J319,WH_Data[],7,FALSE),"")</f>
        <v>DE69757434</v>
      </c>
      <c r="O319" s="4" t="str">
        <f>_xlfn.IFNA(VLOOKUP($J319,WH_Data[],8,FALSE),"")</f>
        <v>FH ICU</v>
      </c>
      <c r="P319" s="8">
        <v>1</v>
      </c>
      <c r="Q319" s="209">
        <f>Mon_ILR2[[#This Row],[Qty Required]]-Mon_ILR2[[#This Row],[QTY Transfer]]</f>
        <v>0</v>
      </c>
      <c r="R319" s="66" t="s">
        <v>905</v>
      </c>
      <c r="S319" t="s">
        <v>928</v>
      </c>
      <c r="T319" s="210">
        <f>_xlfn.IFNA(VLOOKUP(Mon_ILR2[[#This Row],[New Model]],PhilipsLibary[],4,FALSE),"0")</f>
        <v>4924</v>
      </c>
      <c r="U319" s="210">
        <f>_xlfn.IFNA(VLOOKUP(Mon_ILR2[[#This Row],[New Model]],PhilipsLibary[],5,FALSE),"0")</f>
        <v>0</v>
      </c>
      <c r="V319" s="210">
        <f>_xlfn.IFNA(VLOOKUP(Mon_ILR2[[#This Row],[New Model]],PhilipsLibary[],5,FALSE),"0")</f>
        <v>0</v>
      </c>
      <c r="W319" s="210">
        <f>Mon_ILR2[[#This Row],[Accessory Rate]]+Mon_ILR2[[#This Row],[Mounting Rate]]+Mon_ILR2[[#This Row],[Unit Rate]]*Mon_ILR2[[#This Row],[New Quantity Required ]]</f>
        <v>0</v>
      </c>
      <c r="X319" s="8"/>
      <c r="Y319" s="246"/>
    </row>
    <row r="320" spans="2:25" ht="15.75" customHeight="1" x14ac:dyDescent="0.25">
      <c r="B320" s="207" t="s">
        <v>299</v>
      </c>
      <c r="C320" s="66" t="s">
        <v>305</v>
      </c>
      <c r="D320" s="4" t="s">
        <v>311</v>
      </c>
      <c r="E320" s="4" t="s">
        <v>1072</v>
      </c>
      <c r="F320" s="43" t="s">
        <v>929</v>
      </c>
      <c r="G320" s="4" t="s">
        <v>1093</v>
      </c>
      <c r="H320" s="208">
        <v>1</v>
      </c>
      <c r="I320" s="4"/>
      <c r="J320" s="46" t="s">
        <v>1132</v>
      </c>
      <c r="K320" s="4" t="str">
        <f>_xlfn.IFNA(VLOOKUP($J320,WH_Data[],6,FALSE),"")</f>
        <v>MODULE, CO2</v>
      </c>
      <c r="L320" s="4" t="str">
        <f>_xlfn.IFNA(VLOOKUP($J320,WH_Data[],3,FALSE),"")</f>
        <v>PHILIPS MEDICAL SYSTEMS AUSTRA</v>
      </c>
      <c r="M320" s="4" t="str">
        <f>_xlfn.IFNA(VLOOKUP($J320,WH_Data[],5,FALSE),"")</f>
        <v>Capnography Extension</v>
      </c>
      <c r="N320" s="4" t="str">
        <f>_xlfn.IFNA(VLOOKUP($J320,WH_Data[],7,FALSE),"")</f>
        <v>DE69757379</v>
      </c>
      <c r="O320" s="4" t="str">
        <f>_xlfn.IFNA(VLOOKUP($J320,WH_Data[],8,FALSE),"")</f>
        <v>FH ICU</v>
      </c>
      <c r="P320" s="8">
        <v>1</v>
      </c>
      <c r="Q320" s="209">
        <f>Mon_ILR2[[#This Row],[Qty Required]]-Mon_ILR2[[#This Row],[QTY Transfer]]</f>
        <v>0</v>
      </c>
      <c r="R320" s="66" t="s">
        <v>905</v>
      </c>
      <c r="S320" t="s">
        <v>928</v>
      </c>
      <c r="T320" s="210">
        <f>_xlfn.IFNA(VLOOKUP(Mon_ILR2[[#This Row],[New Model]],PhilipsLibary[],4,FALSE),"0")</f>
        <v>4924</v>
      </c>
      <c r="U320" s="210">
        <f>_xlfn.IFNA(VLOOKUP(Mon_ILR2[[#This Row],[New Model]],PhilipsLibary[],5,FALSE),"0")</f>
        <v>0</v>
      </c>
      <c r="V320" s="210">
        <f>_xlfn.IFNA(VLOOKUP(Mon_ILR2[[#This Row],[New Model]],PhilipsLibary[],5,FALSE),"0")</f>
        <v>0</v>
      </c>
      <c r="W320" s="210">
        <f>Mon_ILR2[[#This Row],[Accessory Rate]]+Mon_ILR2[[#This Row],[Mounting Rate]]+Mon_ILR2[[#This Row],[Unit Rate]]*Mon_ILR2[[#This Row],[New Quantity Required ]]</f>
        <v>0</v>
      </c>
      <c r="X320" s="8"/>
      <c r="Y320" s="246"/>
    </row>
    <row r="321" spans="2:25" ht="15.75" customHeight="1" x14ac:dyDescent="0.25">
      <c r="B321" s="207" t="s">
        <v>299</v>
      </c>
      <c r="C321" s="66" t="s">
        <v>313</v>
      </c>
      <c r="D321" s="4" t="s">
        <v>314</v>
      </c>
      <c r="E321" s="4" t="s">
        <v>1072</v>
      </c>
      <c r="F321" s="43" t="s">
        <v>929</v>
      </c>
      <c r="G321" s="4" t="s">
        <v>1093</v>
      </c>
      <c r="H321" s="208">
        <v>1</v>
      </c>
      <c r="I321" s="4"/>
      <c r="J321" s="46" t="s">
        <v>1133</v>
      </c>
      <c r="K321" s="4" t="str">
        <f>_xlfn.IFNA(VLOOKUP($J321,WH_Data[],6,FALSE),"")</f>
        <v>MODULE, CO2</v>
      </c>
      <c r="L321" s="4" t="str">
        <f>_xlfn.IFNA(VLOOKUP($J321,WH_Data[],3,FALSE),"")</f>
        <v>PHILIPS MEDICAL SYSTEMS AUSTRA</v>
      </c>
      <c r="M321" s="4" t="str">
        <f>_xlfn.IFNA(VLOOKUP($J321,WH_Data[],5,FALSE),"")</f>
        <v>Microstream CO₂ Extension</v>
      </c>
      <c r="N321" s="4" t="str">
        <f>_xlfn.IFNA(VLOOKUP($J321,WH_Data[],7,FALSE),"")</f>
        <v>DE69765811</v>
      </c>
      <c r="O321" s="4" t="str">
        <f>_xlfn.IFNA(VLOOKUP($J321,WH_Data[],8,FALSE),"")</f>
        <v>ICU FH</v>
      </c>
      <c r="P321" s="8">
        <v>1</v>
      </c>
      <c r="Q321" s="209">
        <f>Mon_ILR2[[#This Row],[Qty Required]]-Mon_ILR2[[#This Row],[QTY Transfer]]</f>
        <v>0</v>
      </c>
      <c r="R321" s="66" t="s">
        <v>905</v>
      </c>
      <c r="S321" t="s">
        <v>928</v>
      </c>
      <c r="T321" s="210">
        <f>_xlfn.IFNA(VLOOKUP(Mon_ILR2[[#This Row],[New Model]],PhilipsLibary[],4,FALSE),"0")</f>
        <v>4924</v>
      </c>
      <c r="U321" s="210">
        <f>_xlfn.IFNA(VLOOKUP(Mon_ILR2[[#This Row],[New Model]],PhilipsLibary[],5,FALSE),"0")</f>
        <v>0</v>
      </c>
      <c r="V321" s="210">
        <f>_xlfn.IFNA(VLOOKUP(Mon_ILR2[[#This Row],[New Model]],PhilipsLibary[],5,FALSE),"0")</f>
        <v>0</v>
      </c>
      <c r="W321" s="210">
        <f>Mon_ILR2[[#This Row],[Accessory Rate]]+Mon_ILR2[[#This Row],[Mounting Rate]]+Mon_ILR2[[#This Row],[Unit Rate]]*Mon_ILR2[[#This Row],[New Quantity Required ]]</f>
        <v>0</v>
      </c>
      <c r="X321" s="8"/>
      <c r="Y321" s="246"/>
    </row>
    <row r="322" spans="2:25" ht="15.75" customHeight="1" x14ac:dyDescent="0.25">
      <c r="B322" s="207" t="s">
        <v>299</v>
      </c>
      <c r="C322" s="66" t="s">
        <v>313</v>
      </c>
      <c r="D322" s="4" t="s">
        <v>317</v>
      </c>
      <c r="E322" s="4" t="s">
        <v>1072</v>
      </c>
      <c r="F322" s="43" t="s">
        <v>929</v>
      </c>
      <c r="G322" s="4" t="s">
        <v>1093</v>
      </c>
      <c r="H322" s="208">
        <v>1</v>
      </c>
      <c r="I322" s="4"/>
      <c r="J322" s="46" t="s">
        <v>1134</v>
      </c>
      <c r="K322" s="4" t="str">
        <f>_xlfn.IFNA(VLOOKUP($J322,WH_Data[],6,FALSE),"")</f>
        <v>MODULE, CO2</v>
      </c>
      <c r="L322" s="4" t="str">
        <f>_xlfn.IFNA(VLOOKUP($J322,WH_Data[],3,FALSE),"")</f>
        <v>PHILIPS MEDICAL SYSTEMS AUSTRA</v>
      </c>
      <c r="M322" s="4" t="str">
        <f>_xlfn.IFNA(VLOOKUP($J322,WH_Data[],5,FALSE),"")</f>
        <v>Microstream CO₂ Extension</v>
      </c>
      <c r="N322" s="4" t="str">
        <f>_xlfn.IFNA(VLOOKUP($J322,WH_Data[],7,FALSE),"")</f>
        <v>DE69765747</v>
      </c>
      <c r="O322" s="4" t="str">
        <f>_xlfn.IFNA(VLOOKUP($J322,WH_Data[],8,FALSE),"")</f>
        <v>ICU FH</v>
      </c>
      <c r="P322" s="8">
        <v>1</v>
      </c>
      <c r="Q322" s="209">
        <f>Mon_ILR2[[#This Row],[Qty Required]]-Mon_ILR2[[#This Row],[QTY Transfer]]</f>
        <v>0</v>
      </c>
      <c r="R322" s="66" t="s">
        <v>905</v>
      </c>
      <c r="S322" t="s">
        <v>928</v>
      </c>
      <c r="T322" s="210">
        <f>_xlfn.IFNA(VLOOKUP(Mon_ILR2[[#This Row],[New Model]],PhilipsLibary[],4,FALSE),"0")</f>
        <v>4924</v>
      </c>
      <c r="U322" s="210">
        <f>_xlfn.IFNA(VLOOKUP(Mon_ILR2[[#This Row],[New Model]],PhilipsLibary[],5,FALSE),"0")</f>
        <v>0</v>
      </c>
      <c r="V322" s="210">
        <f>_xlfn.IFNA(VLOOKUP(Mon_ILR2[[#This Row],[New Model]],PhilipsLibary[],5,FALSE),"0")</f>
        <v>0</v>
      </c>
      <c r="W322" s="210">
        <f>Mon_ILR2[[#This Row],[Accessory Rate]]+Mon_ILR2[[#This Row],[Mounting Rate]]+Mon_ILR2[[#This Row],[Unit Rate]]*Mon_ILR2[[#This Row],[New Quantity Required ]]</f>
        <v>0</v>
      </c>
      <c r="X322" s="8"/>
      <c r="Y322" s="246"/>
    </row>
    <row r="323" spans="2:25" ht="15.75" customHeight="1" x14ac:dyDescent="0.25">
      <c r="B323" s="207" t="s">
        <v>299</v>
      </c>
      <c r="C323" s="66" t="s">
        <v>313</v>
      </c>
      <c r="D323" s="4" t="s">
        <v>319</v>
      </c>
      <c r="E323" s="4" t="s">
        <v>1072</v>
      </c>
      <c r="F323" s="43" t="s">
        <v>929</v>
      </c>
      <c r="G323" s="4" t="s">
        <v>1093</v>
      </c>
      <c r="H323" s="208">
        <v>1</v>
      </c>
      <c r="I323" s="4"/>
      <c r="J323" s="46" t="s">
        <v>1135</v>
      </c>
      <c r="K323" s="4" t="str">
        <f>_xlfn.IFNA(VLOOKUP($J323,WH_Data[],6,FALSE),"")</f>
        <v>MODULE, CO2</v>
      </c>
      <c r="L323" s="4" t="str">
        <f>_xlfn.IFNA(VLOOKUP($J323,WH_Data[],3,FALSE),"")</f>
        <v>PHILIPS MEDICAL SYSTEMS AUSTRA</v>
      </c>
      <c r="M323" s="4" t="str">
        <f>_xlfn.IFNA(VLOOKUP($J323,WH_Data[],5,FALSE),"")</f>
        <v>Microstream CO₂ Extension</v>
      </c>
      <c r="N323" s="4" t="str">
        <f>_xlfn.IFNA(VLOOKUP($J323,WH_Data[],7,FALSE),"")</f>
        <v>DE69765814</v>
      </c>
      <c r="O323" s="4" t="str">
        <f>_xlfn.IFNA(VLOOKUP($J323,WH_Data[],8,FALSE),"")</f>
        <v>ICU FH</v>
      </c>
      <c r="P323" s="8">
        <v>1</v>
      </c>
      <c r="Q323" s="209">
        <f>Mon_ILR2[[#This Row],[Qty Required]]-Mon_ILR2[[#This Row],[QTY Transfer]]</f>
        <v>0</v>
      </c>
      <c r="R323" s="66" t="s">
        <v>905</v>
      </c>
      <c r="S323" t="s">
        <v>928</v>
      </c>
      <c r="T323" s="210">
        <f>_xlfn.IFNA(VLOOKUP(Mon_ILR2[[#This Row],[New Model]],PhilipsLibary[],4,FALSE),"0")</f>
        <v>4924</v>
      </c>
      <c r="U323" s="210">
        <f>_xlfn.IFNA(VLOOKUP(Mon_ILR2[[#This Row],[New Model]],PhilipsLibary[],5,FALSE),"0")</f>
        <v>0</v>
      </c>
      <c r="V323" s="210">
        <f>_xlfn.IFNA(VLOOKUP(Mon_ILR2[[#This Row],[New Model]],PhilipsLibary[],5,FALSE),"0")</f>
        <v>0</v>
      </c>
      <c r="W323" s="210">
        <f>Mon_ILR2[[#This Row],[Accessory Rate]]+Mon_ILR2[[#This Row],[Mounting Rate]]+Mon_ILR2[[#This Row],[Unit Rate]]*Mon_ILR2[[#This Row],[New Quantity Required ]]</f>
        <v>0</v>
      </c>
      <c r="X323" s="8"/>
      <c r="Y323" s="246"/>
    </row>
    <row r="324" spans="2:25" ht="15.75" customHeight="1" x14ac:dyDescent="0.25">
      <c r="B324" s="207" t="s">
        <v>299</v>
      </c>
      <c r="C324" s="66" t="s">
        <v>313</v>
      </c>
      <c r="D324" s="4" t="s">
        <v>322</v>
      </c>
      <c r="E324" s="4" t="s">
        <v>1072</v>
      </c>
      <c r="F324" s="43" t="s">
        <v>929</v>
      </c>
      <c r="G324" s="4" t="s">
        <v>1093</v>
      </c>
      <c r="H324" s="208">
        <v>1</v>
      </c>
      <c r="I324" s="4"/>
      <c r="J324" s="46" t="s">
        <v>1136</v>
      </c>
      <c r="K324" s="4" t="str">
        <f>_xlfn.IFNA(VLOOKUP($J324,WH_Data[],6,FALSE),"")</f>
        <v>MODULE, CO2</v>
      </c>
      <c r="L324" s="4" t="str">
        <f>_xlfn.IFNA(VLOOKUP($J324,WH_Data[],3,FALSE),"")</f>
        <v>PHILIPS MEDICAL SYSTEMS AUSTRA</v>
      </c>
      <c r="M324" s="4" t="str">
        <f>_xlfn.IFNA(VLOOKUP($J324,WH_Data[],5,FALSE),"")</f>
        <v>Microstream CO₂ Extension</v>
      </c>
      <c r="N324" s="4" t="str">
        <f>_xlfn.IFNA(VLOOKUP($J324,WH_Data[],7,FALSE),"")</f>
        <v>DE69765857</v>
      </c>
      <c r="O324" s="4" t="str">
        <f>_xlfn.IFNA(VLOOKUP($J324,WH_Data[],8,FALSE),"")</f>
        <v>ICU FH</v>
      </c>
      <c r="P324" s="8">
        <v>1</v>
      </c>
      <c r="Q324" s="209">
        <f>Mon_ILR2[[#This Row],[Qty Required]]-Mon_ILR2[[#This Row],[QTY Transfer]]</f>
        <v>0</v>
      </c>
      <c r="R324" s="66" t="s">
        <v>905</v>
      </c>
      <c r="S324" t="s">
        <v>928</v>
      </c>
      <c r="T324" s="210">
        <f>_xlfn.IFNA(VLOOKUP(Mon_ILR2[[#This Row],[New Model]],PhilipsLibary[],4,FALSE),"0")</f>
        <v>4924</v>
      </c>
      <c r="U324" s="210">
        <f>_xlfn.IFNA(VLOOKUP(Mon_ILR2[[#This Row],[New Model]],PhilipsLibary[],5,FALSE),"0")</f>
        <v>0</v>
      </c>
      <c r="V324" s="210">
        <f>_xlfn.IFNA(VLOOKUP(Mon_ILR2[[#This Row],[New Model]],PhilipsLibary[],5,FALSE),"0")</f>
        <v>0</v>
      </c>
      <c r="W324" s="210">
        <f>Mon_ILR2[[#This Row],[Accessory Rate]]+Mon_ILR2[[#This Row],[Mounting Rate]]+Mon_ILR2[[#This Row],[Unit Rate]]*Mon_ILR2[[#This Row],[New Quantity Required ]]</f>
        <v>0</v>
      </c>
      <c r="X324" s="8"/>
      <c r="Y324" s="246"/>
    </row>
    <row r="325" spans="2:25" ht="15.75" customHeight="1" x14ac:dyDescent="0.25">
      <c r="B325" s="207" t="s">
        <v>299</v>
      </c>
      <c r="C325" s="66" t="s">
        <v>324</v>
      </c>
      <c r="D325" s="4" t="s">
        <v>325</v>
      </c>
      <c r="E325" s="4" t="s">
        <v>1072</v>
      </c>
      <c r="F325" s="43" t="s">
        <v>929</v>
      </c>
      <c r="G325" s="4" t="s">
        <v>1093</v>
      </c>
      <c r="H325" s="208">
        <v>1</v>
      </c>
      <c r="I325" s="4"/>
      <c r="J325" s="46" t="s">
        <v>1137</v>
      </c>
      <c r="K325" s="4" t="str">
        <f>_xlfn.IFNA(VLOOKUP($J325,WH_Data[],6,FALSE),"")</f>
        <v>MODULE, CO2</v>
      </c>
      <c r="L325" s="4" t="str">
        <f>_xlfn.IFNA(VLOOKUP($J325,WH_Data[],3,FALSE),"")</f>
        <v>PHILIPS MEDICAL SYSTEMS AUSTRA</v>
      </c>
      <c r="M325" s="4" t="str">
        <f>_xlfn.IFNA(VLOOKUP($J325,WH_Data[],5,FALSE),"")</f>
        <v>Capnography Extension</v>
      </c>
      <c r="N325" s="4" t="str">
        <f>_xlfn.IFNA(VLOOKUP($J325,WH_Data[],7,FALSE),"")</f>
        <v>DE69757444</v>
      </c>
      <c r="O325" s="4" t="str">
        <f>_xlfn.IFNA(VLOOKUP($J325,WH_Data[],8,FALSE),"")</f>
        <v>FH ICU</v>
      </c>
      <c r="P325" s="8">
        <v>1</v>
      </c>
      <c r="Q325" s="209">
        <f>Mon_ILR2[[#This Row],[Qty Required]]-Mon_ILR2[[#This Row],[QTY Transfer]]</f>
        <v>0</v>
      </c>
      <c r="R325" s="66" t="s">
        <v>905</v>
      </c>
      <c r="S325" t="s">
        <v>928</v>
      </c>
      <c r="T325" s="210">
        <f>_xlfn.IFNA(VLOOKUP(Mon_ILR2[[#This Row],[New Model]],PhilipsLibary[],4,FALSE),"0")</f>
        <v>4924</v>
      </c>
      <c r="U325" s="210">
        <f>_xlfn.IFNA(VLOOKUP(Mon_ILR2[[#This Row],[New Model]],PhilipsLibary[],5,FALSE),"0")</f>
        <v>0</v>
      </c>
      <c r="V325" s="210">
        <f>_xlfn.IFNA(VLOOKUP(Mon_ILR2[[#This Row],[New Model]],PhilipsLibary[],5,FALSE),"0")</f>
        <v>0</v>
      </c>
      <c r="W325" s="210">
        <f>Mon_ILR2[[#This Row],[Accessory Rate]]+Mon_ILR2[[#This Row],[Mounting Rate]]+Mon_ILR2[[#This Row],[Unit Rate]]*Mon_ILR2[[#This Row],[New Quantity Required ]]</f>
        <v>0</v>
      </c>
      <c r="X325" s="8"/>
      <c r="Y325" s="246"/>
    </row>
    <row r="326" spans="2:25" ht="15.75" customHeight="1" x14ac:dyDescent="0.25">
      <c r="B326" s="207" t="s">
        <v>299</v>
      </c>
      <c r="C326" s="66" t="s">
        <v>305</v>
      </c>
      <c r="D326" s="4" t="s">
        <v>327</v>
      </c>
      <c r="E326" s="4" t="s">
        <v>1072</v>
      </c>
      <c r="F326" s="43" t="s">
        <v>929</v>
      </c>
      <c r="G326" s="4" t="s">
        <v>1093</v>
      </c>
      <c r="H326" s="208">
        <v>1</v>
      </c>
      <c r="I326" s="4"/>
      <c r="J326" s="46" t="s">
        <v>1138</v>
      </c>
      <c r="K326" s="4" t="str">
        <f>_xlfn.IFNA(VLOOKUP($J326,WH_Data[],6,FALSE),"")</f>
        <v>MODULE, CO2</v>
      </c>
      <c r="L326" s="4" t="str">
        <f>_xlfn.IFNA(VLOOKUP($J326,WH_Data[],3,FALSE),"")</f>
        <v>PHILIPS MEDICAL SYSTEMS AUSTRA</v>
      </c>
      <c r="M326" s="4" t="str">
        <f>_xlfn.IFNA(VLOOKUP($J326,WH_Data[],5,FALSE),"")</f>
        <v>Capnography Extension</v>
      </c>
      <c r="N326" s="4" t="str">
        <f>_xlfn.IFNA(VLOOKUP($J326,WH_Data[],7,FALSE),"")</f>
        <v>DE69757460</v>
      </c>
      <c r="O326" s="4" t="str">
        <f>_xlfn.IFNA(VLOOKUP($J326,WH_Data[],8,FALSE),"")</f>
        <v>FH ICU</v>
      </c>
      <c r="P326" s="8">
        <v>1</v>
      </c>
      <c r="Q326" s="209">
        <f>Mon_ILR2[[#This Row],[Qty Required]]-Mon_ILR2[[#This Row],[QTY Transfer]]</f>
        <v>0</v>
      </c>
      <c r="R326" s="66" t="s">
        <v>905</v>
      </c>
      <c r="S326" t="s">
        <v>928</v>
      </c>
      <c r="T326" s="210">
        <f>_xlfn.IFNA(VLOOKUP(Mon_ILR2[[#This Row],[New Model]],PhilipsLibary[],4,FALSE),"0")</f>
        <v>4924</v>
      </c>
      <c r="U326" s="210">
        <f>_xlfn.IFNA(VLOOKUP(Mon_ILR2[[#This Row],[New Model]],PhilipsLibary[],5,FALSE),"0")</f>
        <v>0</v>
      </c>
      <c r="V326" s="210">
        <f>_xlfn.IFNA(VLOOKUP(Mon_ILR2[[#This Row],[New Model]],PhilipsLibary[],5,FALSE),"0")</f>
        <v>0</v>
      </c>
      <c r="W326" s="210">
        <f>Mon_ILR2[[#This Row],[Accessory Rate]]+Mon_ILR2[[#This Row],[Mounting Rate]]+Mon_ILR2[[#This Row],[Unit Rate]]*Mon_ILR2[[#This Row],[New Quantity Required ]]</f>
        <v>0</v>
      </c>
      <c r="X326" s="8"/>
      <c r="Y326" s="246"/>
    </row>
    <row r="327" spans="2:25" ht="15.75" customHeight="1" x14ac:dyDescent="0.25">
      <c r="B327" s="207" t="s">
        <v>299</v>
      </c>
      <c r="C327" s="66" t="s">
        <v>305</v>
      </c>
      <c r="D327" s="4" t="s">
        <v>329</v>
      </c>
      <c r="E327" s="4" t="s">
        <v>1072</v>
      </c>
      <c r="F327" s="43" t="s">
        <v>929</v>
      </c>
      <c r="G327" s="4" t="s">
        <v>1093</v>
      </c>
      <c r="H327" s="208">
        <v>1</v>
      </c>
      <c r="I327" s="4"/>
      <c r="J327" s="46" t="s">
        <v>1139</v>
      </c>
      <c r="K327" s="4" t="str">
        <f>_xlfn.IFNA(VLOOKUP($J327,WH_Data[],6,FALSE),"")</f>
        <v>MODULE, CO2</v>
      </c>
      <c r="L327" s="4" t="str">
        <f>_xlfn.IFNA(VLOOKUP($J327,WH_Data[],3,FALSE),"")</f>
        <v>PHILIPS MEDICAL SYSTEMS AUSTRA</v>
      </c>
      <c r="M327" s="4" t="str">
        <f>_xlfn.IFNA(VLOOKUP($J327,WH_Data[],5,FALSE),"")</f>
        <v>Capnography Extension</v>
      </c>
      <c r="N327" s="4" t="str">
        <f>_xlfn.IFNA(VLOOKUP($J327,WH_Data[],7,FALSE),"")</f>
        <v>DE69757428</v>
      </c>
      <c r="O327" s="4" t="str">
        <f>_xlfn.IFNA(VLOOKUP($J327,WH_Data[],8,FALSE),"")</f>
        <v>FH ICU</v>
      </c>
      <c r="P327" s="8">
        <v>1</v>
      </c>
      <c r="Q327" s="209">
        <f>Mon_ILR2[[#This Row],[Qty Required]]-Mon_ILR2[[#This Row],[QTY Transfer]]</f>
        <v>0</v>
      </c>
      <c r="R327" s="66" t="s">
        <v>905</v>
      </c>
      <c r="S327" t="s">
        <v>928</v>
      </c>
      <c r="T327" s="210">
        <f>_xlfn.IFNA(VLOOKUP(Mon_ILR2[[#This Row],[New Model]],PhilipsLibary[],4,FALSE),"0")</f>
        <v>4924</v>
      </c>
      <c r="U327" s="210">
        <f>_xlfn.IFNA(VLOOKUP(Mon_ILR2[[#This Row],[New Model]],PhilipsLibary[],5,FALSE),"0")</f>
        <v>0</v>
      </c>
      <c r="V327" s="210">
        <f>_xlfn.IFNA(VLOOKUP(Mon_ILR2[[#This Row],[New Model]],PhilipsLibary[],5,FALSE),"0")</f>
        <v>0</v>
      </c>
      <c r="W327" s="210">
        <f>Mon_ILR2[[#This Row],[Accessory Rate]]+Mon_ILR2[[#This Row],[Mounting Rate]]+Mon_ILR2[[#This Row],[Unit Rate]]*Mon_ILR2[[#This Row],[New Quantity Required ]]</f>
        <v>0</v>
      </c>
      <c r="X327" s="8"/>
      <c r="Y327" s="246"/>
    </row>
    <row r="328" spans="2:25" ht="15.75" customHeight="1" x14ac:dyDescent="0.25">
      <c r="B328" s="207" t="s">
        <v>299</v>
      </c>
      <c r="C328" s="66" t="s">
        <v>305</v>
      </c>
      <c r="D328" s="4" t="s">
        <v>331</v>
      </c>
      <c r="E328" s="4" t="s">
        <v>1072</v>
      </c>
      <c r="F328" s="43" t="s">
        <v>929</v>
      </c>
      <c r="G328" s="4" t="s">
        <v>1093</v>
      </c>
      <c r="H328" s="208">
        <v>1</v>
      </c>
      <c r="I328" s="4"/>
      <c r="J328" s="46" t="s">
        <v>1140</v>
      </c>
      <c r="K328" s="4" t="str">
        <f>_xlfn.IFNA(VLOOKUP($J328,WH_Data[],6,FALSE),"")</f>
        <v>MODULE, CO2</v>
      </c>
      <c r="L328" s="4" t="str">
        <f>_xlfn.IFNA(VLOOKUP($J328,WH_Data[],3,FALSE),"")</f>
        <v>PHILIPS MEDICAL SYSTEMS AUSTRA</v>
      </c>
      <c r="M328" s="4" t="str">
        <f>_xlfn.IFNA(VLOOKUP($J328,WH_Data[],5,FALSE),"")</f>
        <v>Capnography Extension</v>
      </c>
      <c r="N328" s="4" t="str">
        <f>_xlfn.IFNA(VLOOKUP($J328,WH_Data[],7,FALSE),"")</f>
        <v>DE69757403</v>
      </c>
      <c r="O328" s="4" t="str">
        <f>_xlfn.IFNA(VLOOKUP($J328,WH_Data[],8,FALSE),"")</f>
        <v>FH ICU</v>
      </c>
      <c r="P328" s="8">
        <v>1</v>
      </c>
      <c r="Q328" s="209">
        <f>Mon_ILR2[[#This Row],[Qty Required]]-Mon_ILR2[[#This Row],[QTY Transfer]]</f>
        <v>0</v>
      </c>
      <c r="R328" s="66" t="s">
        <v>905</v>
      </c>
      <c r="S328" t="s">
        <v>928</v>
      </c>
      <c r="T328" s="210">
        <f>_xlfn.IFNA(VLOOKUP(Mon_ILR2[[#This Row],[New Model]],PhilipsLibary[],4,FALSE),"0")</f>
        <v>4924</v>
      </c>
      <c r="U328" s="210">
        <f>_xlfn.IFNA(VLOOKUP(Mon_ILR2[[#This Row],[New Model]],PhilipsLibary[],5,FALSE),"0")</f>
        <v>0</v>
      </c>
      <c r="V328" s="210">
        <f>_xlfn.IFNA(VLOOKUP(Mon_ILR2[[#This Row],[New Model]],PhilipsLibary[],5,FALSE),"0")</f>
        <v>0</v>
      </c>
      <c r="W328" s="210">
        <f>Mon_ILR2[[#This Row],[Accessory Rate]]+Mon_ILR2[[#This Row],[Mounting Rate]]+Mon_ILR2[[#This Row],[Unit Rate]]*Mon_ILR2[[#This Row],[New Quantity Required ]]</f>
        <v>0</v>
      </c>
      <c r="X328" s="8"/>
      <c r="Y328" s="246"/>
    </row>
    <row r="329" spans="2:25" ht="15.75" customHeight="1" x14ac:dyDescent="0.25">
      <c r="B329" s="207" t="s">
        <v>299</v>
      </c>
      <c r="C329" s="66" t="s">
        <v>333</v>
      </c>
      <c r="D329" s="4" t="s">
        <v>334</v>
      </c>
      <c r="E329" s="4" t="s">
        <v>1072</v>
      </c>
      <c r="F329" s="43" t="s">
        <v>929</v>
      </c>
      <c r="G329" s="4" t="s">
        <v>1093</v>
      </c>
      <c r="H329" s="208">
        <v>1</v>
      </c>
      <c r="I329" s="4"/>
      <c r="J329" s="46" t="s">
        <v>1141</v>
      </c>
      <c r="K329" s="4" t="str">
        <f>_xlfn.IFNA(VLOOKUP($J329,WH_Data[],6,FALSE),"")</f>
        <v>MODULE, CO2</v>
      </c>
      <c r="L329" s="4" t="str">
        <f>_xlfn.IFNA(VLOOKUP($J329,WH_Data[],3,FALSE),"")</f>
        <v>PHILIPS MEDICAL SYSTEMS AUSTRA</v>
      </c>
      <c r="M329" s="4" t="str">
        <f>_xlfn.IFNA(VLOOKUP($J329,WH_Data[],5,FALSE),"")</f>
        <v>Capnography Extension</v>
      </c>
      <c r="N329" s="4" t="str">
        <f>_xlfn.IFNA(VLOOKUP($J329,WH_Data[],7,FALSE),"")</f>
        <v>DE69757384</v>
      </c>
      <c r="O329" s="4" t="str">
        <f>_xlfn.IFNA(VLOOKUP($J329,WH_Data[],8,FALSE),"")</f>
        <v>FH ICU</v>
      </c>
      <c r="P329" s="8">
        <v>1</v>
      </c>
      <c r="Q329" s="209">
        <f>Mon_ILR2[[#This Row],[Qty Required]]-Mon_ILR2[[#This Row],[QTY Transfer]]</f>
        <v>0</v>
      </c>
      <c r="R329" s="66" t="s">
        <v>905</v>
      </c>
      <c r="S329" t="s">
        <v>928</v>
      </c>
      <c r="T329" s="210">
        <f>_xlfn.IFNA(VLOOKUP(Mon_ILR2[[#This Row],[New Model]],PhilipsLibary[],4,FALSE),"0")</f>
        <v>4924</v>
      </c>
      <c r="U329" s="210">
        <f>_xlfn.IFNA(VLOOKUP(Mon_ILR2[[#This Row],[New Model]],PhilipsLibary[],5,FALSE),"0")</f>
        <v>0</v>
      </c>
      <c r="V329" s="210">
        <f>_xlfn.IFNA(VLOOKUP(Mon_ILR2[[#This Row],[New Model]],PhilipsLibary[],5,FALSE),"0")</f>
        <v>0</v>
      </c>
      <c r="W329" s="210">
        <f>Mon_ILR2[[#This Row],[Accessory Rate]]+Mon_ILR2[[#This Row],[Mounting Rate]]+Mon_ILR2[[#This Row],[Unit Rate]]*Mon_ILR2[[#This Row],[New Quantity Required ]]</f>
        <v>0</v>
      </c>
      <c r="X329" s="8"/>
      <c r="Y329" s="246"/>
    </row>
    <row r="330" spans="2:25" ht="15.75" customHeight="1" x14ac:dyDescent="0.25">
      <c r="B330" s="207" t="s">
        <v>299</v>
      </c>
      <c r="C330" s="66" t="s">
        <v>333</v>
      </c>
      <c r="D330" s="4" t="s">
        <v>336</v>
      </c>
      <c r="E330" s="4" t="s">
        <v>1072</v>
      </c>
      <c r="F330" s="43" t="s">
        <v>929</v>
      </c>
      <c r="G330" s="4" t="s">
        <v>1093</v>
      </c>
      <c r="H330" s="208">
        <v>1</v>
      </c>
      <c r="I330" s="4"/>
      <c r="J330" s="46" t="s">
        <v>1142</v>
      </c>
      <c r="K330" s="4" t="str">
        <f>_xlfn.IFNA(VLOOKUP($J330,WH_Data[],6,FALSE),"")</f>
        <v>MODULE, CO2</v>
      </c>
      <c r="L330" s="4" t="str">
        <f>_xlfn.IFNA(VLOOKUP($J330,WH_Data[],3,FALSE),"")</f>
        <v>PHILIPS MEDICAL SYSTEMS AUSTRA</v>
      </c>
      <c r="M330" s="4" t="str">
        <f>_xlfn.IFNA(VLOOKUP($J330,WH_Data[],5,FALSE),"")</f>
        <v>Capnography Extension</v>
      </c>
      <c r="N330" s="4" t="str">
        <f>_xlfn.IFNA(VLOOKUP($J330,WH_Data[],7,FALSE),"")</f>
        <v>DE69743920</v>
      </c>
      <c r="O330" s="4" t="str">
        <f>_xlfn.IFNA(VLOOKUP($J330,WH_Data[],8,FALSE),"")</f>
        <v>FH ICU</v>
      </c>
      <c r="P330" s="8">
        <v>1</v>
      </c>
      <c r="Q330" s="209">
        <f>Mon_ILR2[[#This Row],[Qty Required]]-Mon_ILR2[[#This Row],[QTY Transfer]]</f>
        <v>0</v>
      </c>
      <c r="R330" s="66" t="s">
        <v>905</v>
      </c>
      <c r="S330" t="s">
        <v>928</v>
      </c>
      <c r="T330" s="210">
        <f>_xlfn.IFNA(VLOOKUP(Mon_ILR2[[#This Row],[New Model]],PhilipsLibary[],4,FALSE),"0")</f>
        <v>4924</v>
      </c>
      <c r="U330" s="210">
        <f>_xlfn.IFNA(VLOOKUP(Mon_ILR2[[#This Row],[New Model]],PhilipsLibary[],5,FALSE),"0")</f>
        <v>0</v>
      </c>
      <c r="V330" s="210">
        <f>_xlfn.IFNA(VLOOKUP(Mon_ILR2[[#This Row],[New Model]],PhilipsLibary[],5,FALSE),"0")</f>
        <v>0</v>
      </c>
      <c r="W330" s="210">
        <f>Mon_ILR2[[#This Row],[Accessory Rate]]+Mon_ILR2[[#This Row],[Mounting Rate]]+Mon_ILR2[[#This Row],[Unit Rate]]*Mon_ILR2[[#This Row],[New Quantity Required ]]</f>
        <v>0</v>
      </c>
      <c r="X330" s="8"/>
      <c r="Y330" s="246"/>
    </row>
    <row r="331" spans="2:25" ht="15.75" customHeight="1" x14ac:dyDescent="0.25">
      <c r="B331" s="207" t="s">
        <v>299</v>
      </c>
      <c r="C331" s="66" t="s">
        <v>305</v>
      </c>
      <c r="D331" s="4" t="s">
        <v>338</v>
      </c>
      <c r="E331" s="4" t="s">
        <v>1072</v>
      </c>
      <c r="F331" s="43" t="s">
        <v>929</v>
      </c>
      <c r="G331" s="4" t="s">
        <v>1093</v>
      </c>
      <c r="H331" s="208">
        <v>1</v>
      </c>
      <c r="I331" s="4"/>
      <c r="J331" s="46" t="s">
        <v>1143</v>
      </c>
      <c r="K331" s="4" t="str">
        <f>_xlfn.IFNA(VLOOKUP($J331,WH_Data[],6,FALSE),"")</f>
        <v>MODULE, CO2</v>
      </c>
      <c r="L331" s="4" t="str">
        <f>_xlfn.IFNA(VLOOKUP($J331,WH_Data[],3,FALSE),"")</f>
        <v>PHILIPS MEDICAL SYSTEMS AUSTRA</v>
      </c>
      <c r="M331" s="4" t="str">
        <f>_xlfn.IFNA(VLOOKUP($J331,WH_Data[],5,FALSE),"")</f>
        <v>Capnography Extension</v>
      </c>
      <c r="N331" s="4" t="str">
        <f>_xlfn.IFNA(VLOOKUP($J331,WH_Data[],7,FALSE),"")</f>
        <v>DE69743948</v>
      </c>
      <c r="O331" s="4" t="str">
        <f>_xlfn.IFNA(VLOOKUP($J331,WH_Data[],8,FALSE),"")</f>
        <v>FICU</v>
      </c>
      <c r="P331" s="8">
        <v>1</v>
      </c>
      <c r="Q331" s="209">
        <f>Mon_ILR2[[#This Row],[Qty Required]]-Mon_ILR2[[#This Row],[QTY Transfer]]</f>
        <v>0</v>
      </c>
      <c r="R331" s="66" t="s">
        <v>905</v>
      </c>
      <c r="S331" t="s">
        <v>928</v>
      </c>
      <c r="T331" s="210">
        <f>_xlfn.IFNA(VLOOKUP(Mon_ILR2[[#This Row],[New Model]],PhilipsLibary[],4,FALSE),"0")</f>
        <v>4924</v>
      </c>
      <c r="U331" s="210">
        <f>_xlfn.IFNA(VLOOKUP(Mon_ILR2[[#This Row],[New Model]],PhilipsLibary[],5,FALSE),"0")</f>
        <v>0</v>
      </c>
      <c r="V331" s="210">
        <f>_xlfn.IFNA(VLOOKUP(Mon_ILR2[[#This Row],[New Model]],PhilipsLibary[],5,FALSE),"0")</f>
        <v>0</v>
      </c>
      <c r="W331" s="210">
        <f>Mon_ILR2[[#This Row],[Accessory Rate]]+Mon_ILR2[[#This Row],[Mounting Rate]]+Mon_ILR2[[#This Row],[Unit Rate]]*Mon_ILR2[[#This Row],[New Quantity Required ]]</f>
        <v>0</v>
      </c>
      <c r="X331" s="8"/>
      <c r="Y331" s="246"/>
    </row>
    <row r="332" spans="2:25" ht="15.75" customHeight="1" x14ac:dyDescent="0.25">
      <c r="B332" s="207" t="s">
        <v>299</v>
      </c>
      <c r="C332" s="66" t="s">
        <v>305</v>
      </c>
      <c r="D332" s="4" t="s">
        <v>342</v>
      </c>
      <c r="E332" s="4" t="s">
        <v>1072</v>
      </c>
      <c r="F332" s="43" t="s">
        <v>929</v>
      </c>
      <c r="G332" s="4" t="s">
        <v>1093</v>
      </c>
      <c r="H332" s="208">
        <v>1</v>
      </c>
      <c r="I332" s="4"/>
      <c r="J332" s="46" t="s">
        <v>1144</v>
      </c>
      <c r="K332" s="4" t="str">
        <f>_xlfn.IFNA(VLOOKUP($J332,WH_Data[],6,FALSE),"")</f>
        <v>MODULE, CO2</v>
      </c>
      <c r="L332" s="4" t="str">
        <f>_xlfn.IFNA(VLOOKUP($J332,WH_Data[],3,FALSE),"")</f>
        <v>PHILIPS MEDICAL SYSTEMS AUSTRA</v>
      </c>
      <c r="M332" s="4" t="str">
        <f>_xlfn.IFNA(VLOOKUP($J332,WH_Data[],5,FALSE),"")</f>
        <v>Capnography Extension</v>
      </c>
      <c r="N332" s="4" t="str">
        <f>_xlfn.IFNA(VLOOKUP($J332,WH_Data[],7,FALSE),"")</f>
        <v>DE69744030</v>
      </c>
      <c r="O332" s="4" t="str">
        <f>_xlfn.IFNA(VLOOKUP($J332,WH_Data[],8,FALSE),"")</f>
        <v>FH ICU</v>
      </c>
      <c r="P332" s="8">
        <v>1</v>
      </c>
      <c r="Q332" s="209">
        <f>Mon_ILR2[[#This Row],[Qty Required]]-Mon_ILR2[[#This Row],[QTY Transfer]]</f>
        <v>0</v>
      </c>
      <c r="R332" s="66" t="s">
        <v>905</v>
      </c>
      <c r="S332" t="s">
        <v>928</v>
      </c>
      <c r="T332" s="210">
        <f>_xlfn.IFNA(VLOOKUP(Mon_ILR2[[#This Row],[New Model]],PhilipsLibary[],4,FALSE),"0")</f>
        <v>4924</v>
      </c>
      <c r="U332" s="210">
        <f>_xlfn.IFNA(VLOOKUP(Mon_ILR2[[#This Row],[New Model]],PhilipsLibary[],5,FALSE),"0")</f>
        <v>0</v>
      </c>
      <c r="V332" s="210">
        <f>_xlfn.IFNA(VLOOKUP(Mon_ILR2[[#This Row],[New Model]],PhilipsLibary[],5,FALSE),"0")</f>
        <v>0</v>
      </c>
      <c r="W332" s="210">
        <f>Mon_ILR2[[#This Row],[Accessory Rate]]+Mon_ILR2[[#This Row],[Mounting Rate]]+Mon_ILR2[[#This Row],[Unit Rate]]*Mon_ILR2[[#This Row],[New Quantity Required ]]</f>
        <v>0</v>
      </c>
      <c r="X332" s="8"/>
      <c r="Y332" s="246"/>
    </row>
    <row r="333" spans="2:25" ht="60" customHeight="1" x14ac:dyDescent="0.25">
      <c r="B333" s="207" t="s">
        <v>299</v>
      </c>
      <c r="C333" s="66" t="s">
        <v>305</v>
      </c>
      <c r="D333" s="4" t="s">
        <v>345</v>
      </c>
      <c r="E333" s="4" t="s">
        <v>1072</v>
      </c>
      <c r="F333" s="43" t="s">
        <v>929</v>
      </c>
      <c r="G333" s="4" t="s">
        <v>1093</v>
      </c>
      <c r="H333" s="208">
        <v>1</v>
      </c>
      <c r="I333" s="4"/>
      <c r="J333" s="46" t="s">
        <v>1145</v>
      </c>
      <c r="K333" s="4" t="str">
        <f>_xlfn.IFNA(VLOOKUP($J333,WH_Data[],6,FALSE),"")</f>
        <v>MODULE, CO2</v>
      </c>
      <c r="L333" s="4" t="str">
        <f>_xlfn.IFNA(VLOOKUP($J333,WH_Data[],3,FALSE),"")</f>
        <v>PHILIPS MEDICAL SYSTEMS AUSTRA</v>
      </c>
      <c r="M333" s="4" t="str">
        <f>_xlfn.IFNA(VLOOKUP($J333,WH_Data[],5,FALSE),"")</f>
        <v>Capnography Extension</v>
      </c>
      <c r="N333" s="4" t="str">
        <f>_xlfn.IFNA(VLOOKUP($J333,WH_Data[],7,FALSE),"")</f>
        <v>DE69748224</v>
      </c>
      <c r="O333" s="4" t="str">
        <f>_xlfn.IFNA(VLOOKUP($J333,WH_Data[],8,FALSE),"")</f>
        <v>ICU - FH</v>
      </c>
      <c r="P333" s="8">
        <v>1</v>
      </c>
      <c r="Q333" s="209">
        <f>Mon_ILR2[[#This Row],[Qty Required]]-Mon_ILR2[[#This Row],[QTY Transfer]]</f>
        <v>0</v>
      </c>
      <c r="R333" s="66" t="s">
        <v>905</v>
      </c>
      <c r="S333" t="s">
        <v>928</v>
      </c>
      <c r="T333" s="210">
        <f>_xlfn.IFNA(VLOOKUP(Mon_ILR2[[#This Row],[New Model]],PhilipsLibary[],4,FALSE),"0")</f>
        <v>4924</v>
      </c>
      <c r="U333" s="210">
        <f>_xlfn.IFNA(VLOOKUP(Mon_ILR2[[#This Row],[New Model]],PhilipsLibary[],5,FALSE),"0")</f>
        <v>0</v>
      </c>
      <c r="V333" s="210">
        <f>_xlfn.IFNA(VLOOKUP(Mon_ILR2[[#This Row],[New Model]],PhilipsLibary[],5,FALSE),"0")</f>
        <v>0</v>
      </c>
      <c r="W333" s="210">
        <f>Mon_ILR2[[#This Row],[Accessory Rate]]+Mon_ILR2[[#This Row],[Mounting Rate]]+Mon_ILR2[[#This Row],[Unit Rate]]*Mon_ILR2[[#This Row],[New Quantity Required ]]</f>
        <v>0</v>
      </c>
      <c r="X333" s="8"/>
      <c r="Y333" s="246"/>
    </row>
    <row r="334" spans="2:25" ht="60" customHeight="1" x14ac:dyDescent="0.25">
      <c r="B334" s="207" t="s">
        <v>299</v>
      </c>
      <c r="C334" s="66" t="s">
        <v>324</v>
      </c>
      <c r="D334" s="4" t="s">
        <v>348</v>
      </c>
      <c r="E334" s="4" t="s">
        <v>1072</v>
      </c>
      <c r="F334" s="43" t="s">
        <v>929</v>
      </c>
      <c r="G334" s="4" t="s">
        <v>1093</v>
      </c>
      <c r="H334" s="208">
        <v>1</v>
      </c>
      <c r="I334" s="4"/>
      <c r="J334" s="46" t="s">
        <v>1146</v>
      </c>
      <c r="K334" s="4" t="str">
        <f>_xlfn.IFNA(VLOOKUP($J334,WH_Data[],6,FALSE),"")</f>
        <v>MODULE, CO2</v>
      </c>
      <c r="L334" s="4" t="str">
        <f>_xlfn.IFNA(VLOOKUP($J334,WH_Data[],3,FALSE),"")</f>
        <v>PHILIPS MEDICAL SYSTEMS AUSTRA</v>
      </c>
      <c r="M334" s="4" t="str">
        <f>_xlfn.IFNA(VLOOKUP($J334,WH_Data[],5,FALSE),"")</f>
        <v>Capnography Extension</v>
      </c>
      <c r="N334" s="4">
        <f>_xlfn.IFNA(VLOOKUP($J334,WH_Data[],7,FALSE),"")</f>
        <v>0</v>
      </c>
      <c r="O334" s="4" t="str">
        <f>_xlfn.IFNA(VLOOKUP($J334,WH_Data[],8,FALSE),"")</f>
        <v>ICU FH</v>
      </c>
      <c r="P334" s="8">
        <v>1</v>
      </c>
      <c r="Q334" s="209">
        <f>Mon_ILR2[[#This Row],[Qty Required]]-Mon_ILR2[[#This Row],[QTY Transfer]]</f>
        <v>0</v>
      </c>
      <c r="R334" s="66" t="s">
        <v>905</v>
      </c>
      <c r="S334" t="s">
        <v>928</v>
      </c>
      <c r="T334" s="210">
        <f>_xlfn.IFNA(VLOOKUP(Mon_ILR2[[#This Row],[New Model]],PhilipsLibary[],4,FALSE),"0")</f>
        <v>4924</v>
      </c>
      <c r="U334" s="210">
        <f>_xlfn.IFNA(VLOOKUP(Mon_ILR2[[#This Row],[New Model]],PhilipsLibary[],5,FALSE),"0")</f>
        <v>0</v>
      </c>
      <c r="V334" s="210">
        <f>_xlfn.IFNA(VLOOKUP(Mon_ILR2[[#This Row],[New Model]],PhilipsLibary[],5,FALSE),"0")</f>
        <v>0</v>
      </c>
      <c r="W334" s="210">
        <f>Mon_ILR2[[#This Row],[Accessory Rate]]+Mon_ILR2[[#This Row],[Mounting Rate]]+Mon_ILR2[[#This Row],[Unit Rate]]*Mon_ILR2[[#This Row],[New Quantity Required ]]</f>
        <v>0</v>
      </c>
      <c r="X334" s="8"/>
      <c r="Y334" s="246"/>
    </row>
    <row r="335" spans="2:25" ht="60" customHeight="1" x14ac:dyDescent="0.25">
      <c r="B335" s="207" t="s">
        <v>299</v>
      </c>
      <c r="C335" s="66" t="s">
        <v>305</v>
      </c>
      <c r="D335" s="4" t="s">
        <v>350</v>
      </c>
      <c r="E335" s="4" t="s">
        <v>1072</v>
      </c>
      <c r="F335" s="43" t="s">
        <v>929</v>
      </c>
      <c r="G335" s="4" t="s">
        <v>1093</v>
      </c>
      <c r="H335" s="208">
        <v>1</v>
      </c>
      <c r="I335" s="4"/>
      <c r="J335" s="46" t="s">
        <v>1147</v>
      </c>
      <c r="K335" s="4" t="str">
        <f>_xlfn.IFNA(VLOOKUP($J335,WH_Data[],6,FALSE),"")</f>
        <v>MODULE, CO2</v>
      </c>
      <c r="L335" s="4" t="str">
        <f>_xlfn.IFNA(VLOOKUP($J335,WH_Data[],3,FALSE),"")</f>
        <v>PHILIPS MEDICAL SYSTEMS AUSTRA</v>
      </c>
      <c r="M335" s="4" t="str">
        <f>_xlfn.IFNA(VLOOKUP($J335,WH_Data[],5,FALSE),"")</f>
        <v>Capnography Extension</v>
      </c>
      <c r="N335" s="4">
        <f>_xlfn.IFNA(VLOOKUP($J335,WH_Data[],7,FALSE),"")</f>
        <v>0</v>
      </c>
      <c r="O335" s="4" t="str">
        <f>_xlfn.IFNA(VLOOKUP($J335,WH_Data[],8,FALSE),"")</f>
        <v>ICU FH</v>
      </c>
      <c r="P335" s="8">
        <v>1</v>
      </c>
      <c r="Q335" s="209">
        <f>Mon_ILR2[[#This Row],[Qty Required]]-Mon_ILR2[[#This Row],[QTY Transfer]]</f>
        <v>0</v>
      </c>
      <c r="R335" s="66" t="s">
        <v>905</v>
      </c>
      <c r="S335" t="s">
        <v>928</v>
      </c>
      <c r="T335" s="210">
        <f>_xlfn.IFNA(VLOOKUP(Mon_ILR2[[#This Row],[New Model]],PhilipsLibary[],4,FALSE),"0")</f>
        <v>4924</v>
      </c>
      <c r="U335" s="210">
        <f>_xlfn.IFNA(VLOOKUP(Mon_ILR2[[#This Row],[New Model]],PhilipsLibary[],5,FALSE),"0")</f>
        <v>0</v>
      </c>
      <c r="V335" s="210">
        <f>_xlfn.IFNA(VLOOKUP(Mon_ILR2[[#This Row],[New Model]],PhilipsLibary[],5,FALSE),"0")</f>
        <v>0</v>
      </c>
      <c r="W335" s="210">
        <f>Mon_ILR2[[#This Row],[Accessory Rate]]+Mon_ILR2[[#This Row],[Mounting Rate]]+Mon_ILR2[[#This Row],[Unit Rate]]*Mon_ILR2[[#This Row],[New Quantity Required ]]</f>
        <v>0</v>
      </c>
      <c r="X335" s="8"/>
      <c r="Y335" s="246"/>
    </row>
    <row r="336" spans="2:25" ht="60" customHeight="1" x14ac:dyDescent="0.25">
      <c r="B336" s="207" t="s">
        <v>299</v>
      </c>
      <c r="C336" s="66" t="s">
        <v>333</v>
      </c>
      <c r="D336" s="4" t="s">
        <v>353</v>
      </c>
      <c r="E336" s="4" t="s">
        <v>1072</v>
      </c>
      <c r="F336" s="43" t="s">
        <v>929</v>
      </c>
      <c r="G336" s="4" t="s">
        <v>1093</v>
      </c>
      <c r="H336" s="208">
        <v>1</v>
      </c>
      <c r="I336" s="4"/>
      <c r="J336" s="46" t="s">
        <v>1148</v>
      </c>
      <c r="K336" s="4" t="str">
        <f>_xlfn.IFNA(VLOOKUP($J336,WH_Data[],6,FALSE),"")</f>
        <v>MODULE, CO2</v>
      </c>
      <c r="L336" s="4" t="str">
        <f>_xlfn.IFNA(VLOOKUP($J336,WH_Data[],3,FALSE),"")</f>
        <v>PHILIPS MEDICAL SYSTEMS AUSTRA</v>
      </c>
      <c r="M336" s="4" t="str">
        <f>_xlfn.IFNA(VLOOKUP($J336,WH_Data[],5,FALSE),"")</f>
        <v>Capnography Extension</v>
      </c>
      <c r="N336" s="4">
        <f>_xlfn.IFNA(VLOOKUP($J336,WH_Data[],7,FALSE),"")</f>
        <v>0</v>
      </c>
      <c r="O336" s="4" t="str">
        <f>_xlfn.IFNA(VLOOKUP($J336,WH_Data[],8,FALSE),"")</f>
        <v>ICU FH</v>
      </c>
      <c r="P336" s="8">
        <v>1</v>
      </c>
      <c r="Q336" s="209">
        <f>Mon_ILR2[[#This Row],[Qty Required]]-Mon_ILR2[[#This Row],[QTY Transfer]]</f>
        <v>0</v>
      </c>
      <c r="R336" s="66" t="s">
        <v>905</v>
      </c>
      <c r="S336" t="s">
        <v>928</v>
      </c>
      <c r="T336" s="210">
        <f>_xlfn.IFNA(VLOOKUP(Mon_ILR2[[#This Row],[New Model]],PhilipsLibary[],4,FALSE),"0")</f>
        <v>4924</v>
      </c>
      <c r="U336" s="210">
        <f>_xlfn.IFNA(VLOOKUP(Mon_ILR2[[#This Row],[New Model]],PhilipsLibary[],5,FALSE),"0")</f>
        <v>0</v>
      </c>
      <c r="V336" s="210">
        <f>_xlfn.IFNA(VLOOKUP(Mon_ILR2[[#This Row],[New Model]],PhilipsLibary[],5,FALSE),"0")</f>
        <v>0</v>
      </c>
      <c r="W336" s="210">
        <f>Mon_ILR2[[#This Row],[Accessory Rate]]+Mon_ILR2[[#This Row],[Mounting Rate]]+Mon_ILR2[[#This Row],[Unit Rate]]*Mon_ILR2[[#This Row],[New Quantity Required ]]</f>
        <v>0</v>
      </c>
      <c r="X336" s="8"/>
      <c r="Y336" s="246"/>
    </row>
    <row r="337" spans="2:25" ht="60" customHeight="1" x14ac:dyDescent="0.25">
      <c r="B337" s="207" t="s">
        <v>299</v>
      </c>
      <c r="C337" s="66" t="s">
        <v>305</v>
      </c>
      <c r="D337" s="4" t="s">
        <v>355</v>
      </c>
      <c r="E337" s="4" t="s">
        <v>1072</v>
      </c>
      <c r="F337" s="43" t="s">
        <v>929</v>
      </c>
      <c r="G337" s="4" t="s">
        <v>1093</v>
      </c>
      <c r="H337" s="208">
        <v>1</v>
      </c>
      <c r="I337" s="4"/>
      <c r="J337" s="46" t="s">
        <v>1149</v>
      </c>
      <c r="K337" s="4" t="str">
        <f>_xlfn.IFNA(VLOOKUP($J337,WH_Data[],6,FALSE),"")</f>
        <v>MODULE, CO2</v>
      </c>
      <c r="L337" s="4" t="str">
        <f>_xlfn.IFNA(VLOOKUP($J337,WH_Data[],3,FALSE),"")</f>
        <v>PHILIPS MEDICAL SYSTEMS AUSTRA</v>
      </c>
      <c r="M337" s="4" t="str">
        <f>_xlfn.IFNA(VLOOKUP($J337,WH_Data[],5,FALSE),"")</f>
        <v>Capnography Extension</v>
      </c>
      <c r="N337" s="4">
        <f>_xlfn.IFNA(VLOOKUP($J337,WH_Data[],7,FALSE),"")</f>
        <v>0</v>
      </c>
      <c r="O337" s="4" t="str">
        <f>_xlfn.IFNA(VLOOKUP($J337,WH_Data[],8,FALSE),"")</f>
        <v>ICU FH</v>
      </c>
      <c r="P337" s="8">
        <v>1</v>
      </c>
      <c r="Q337" s="209">
        <f>Mon_ILR2[[#This Row],[Qty Required]]-Mon_ILR2[[#This Row],[QTY Transfer]]</f>
        <v>0</v>
      </c>
      <c r="R337" s="66" t="s">
        <v>905</v>
      </c>
      <c r="S337" t="s">
        <v>928</v>
      </c>
      <c r="T337" s="210">
        <f>_xlfn.IFNA(VLOOKUP(Mon_ILR2[[#This Row],[New Model]],PhilipsLibary[],4,FALSE),"0")</f>
        <v>4924</v>
      </c>
      <c r="U337" s="210">
        <f>_xlfn.IFNA(VLOOKUP(Mon_ILR2[[#This Row],[New Model]],PhilipsLibary[],5,FALSE),"0")</f>
        <v>0</v>
      </c>
      <c r="V337" s="210">
        <f>_xlfn.IFNA(VLOOKUP(Mon_ILR2[[#This Row],[New Model]],PhilipsLibary[],5,FALSE),"0")</f>
        <v>0</v>
      </c>
      <c r="W337" s="210">
        <f>Mon_ILR2[[#This Row],[Accessory Rate]]+Mon_ILR2[[#This Row],[Mounting Rate]]+Mon_ILR2[[#This Row],[Unit Rate]]*Mon_ILR2[[#This Row],[New Quantity Required ]]</f>
        <v>0</v>
      </c>
      <c r="X337" s="8"/>
      <c r="Y337" s="246"/>
    </row>
    <row r="338" spans="2:25" ht="60" customHeight="1" x14ac:dyDescent="0.25">
      <c r="B338" s="207" t="s">
        <v>299</v>
      </c>
      <c r="C338" s="66" t="s">
        <v>305</v>
      </c>
      <c r="D338" s="4" t="s">
        <v>358</v>
      </c>
      <c r="E338" s="4" t="s">
        <v>1072</v>
      </c>
      <c r="F338" s="43" t="s">
        <v>929</v>
      </c>
      <c r="G338" s="4" t="s">
        <v>1093</v>
      </c>
      <c r="H338" s="208">
        <v>1</v>
      </c>
      <c r="I338" s="4"/>
      <c r="J338" s="46" t="s">
        <v>1150</v>
      </c>
      <c r="K338" s="4" t="str">
        <f>_xlfn.IFNA(VLOOKUP($J338,WH_Data[],6,FALSE),"")</f>
        <v>MODULE, CO2</v>
      </c>
      <c r="L338" s="4" t="str">
        <f>_xlfn.IFNA(VLOOKUP($J338,WH_Data[],3,FALSE),"")</f>
        <v>PHILIPS MEDICAL SYSTEMS AUSTRA</v>
      </c>
      <c r="M338" s="4" t="str">
        <f>_xlfn.IFNA(VLOOKUP($J338,WH_Data[],5,FALSE),"")</f>
        <v>Capnography Extension</v>
      </c>
      <c r="N338" s="4">
        <f>_xlfn.IFNA(VLOOKUP($J338,WH_Data[],7,FALSE),"")</f>
        <v>0</v>
      </c>
      <c r="O338" s="4" t="str">
        <f>_xlfn.IFNA(VLOOKUP($J338,WH_Data[],8,FALSE),"")</f>
        <v>ICU FH</v>
      </c>
      <c r="P338" s="8">
        <v>1</v>
      </c>
      <c r="Q338" s="209">
        <f>Mon_ILR2[[#This Row],[Qty Required]]-Mon_ILR2[[#This Row],[QTY Transfer]]</f>
        <v>0</v>
      </c>
      <c r="R338" s="66" t="s">
        <v>905</v>
      </c>
      <c r="S338" t="s">
        <v>928</v>
      </c>
      <c r="T338" s="210">
        <f>_xlfn.IFNA(VLOOKUP(Mon_ILR2[[#This Row],[New Model]],PhilipsLibary[],4,FALSE),"0")</f>
        <v>4924</v>
      </c>
      <c r="U338" s="210">
        <f>_xlfn.IFNA(VLOOKUP(Mon_ILR2[[#This Row],[New Model]],PhilipsLibary[],5,FALSE),"0")</f>
        <v>0</v>
      </c>
      <c r="V338" s="210">
        <f>_xlfn.IFNA(VLOOKUP(Mon_ILR2[[#This Row],[New Model]],PhilipsLibary[],5,FALSE),"0")</f>
        <v>0</v>
      </c>
      <c r="W338" s="210">
        <f>Mon_ILR2[[#This Row],[Accessory Rate]]+Mon_ILR2[[#This Row],[Mounting Rate]]+Mon_ILR2[[#This Row],[Unit Rate]]*Mon_ILR2[[#This Row],[New Quantity Required ]]</f>
        <v>0</v>
      </c>
      <c r="X338" s="8"/>
      <c r="Y338" s="246"/>
    </row>
    <row r="339" spans="2:25" ht="60" customHeight="1" x14ac:dyDescent="0.25">
      <c r="B339" s="207" t="s">
        <v>299</v>
      </c>
      <c r="C339" s="66" t="s">
        <v>333</v>
      </c>
      <c r="D339" s="4" t="s">
        <v>361</v>
      </c>
      <c r="E339" s="4" t="s">
        <v>1072</v>
      </c>
      <c r="F339" s="43" t="s">
        <v>929</v>
      </c>
      <c r="G339" s="4" t="s">
        <v>1093</v>
      </c>
      <c r="H339" s="208">
        <v>1</v>
      </c>
      <c r="I339" s="4"/>
      <c r="J339" s="46" t="s">
        <v>1151</v>
      </c>
      <c r="K339" s="4" t="str">
        <f>_xlfn.IFNA(VLOOKUP($J339,WH_Data[],6,FALSE),"")</f>
        <v>MODULE, CO2</v>
      </c>
      <c r="L339" s="4" t="str">
        <f>_xlfn.IFNA(VLOOKUP($J339,WH_Data[],3,FALSE),"")</f>
        <v>PHILIPS MEDICAL SYSTEMS AUSTRA</v>
      </c>
      <c r="M339" s="4" t="str">
        <f>_xlfn.IFNA(VLOOKUP($J339,WH_Data[],5,FALSE),"")</f>
        <v>Capnography Extension</v>
      </c>
      <c r="N339" s="4" t="str">
        <f>_xlfn.IFNA(VLOOKUP($J339,WH_Data[],7,FALSE),"")</f>
        <v>DE69739695</v>
      </c>
      <c r="O339" s="4" t="str">
        <f>_xlfn.IFNA(VLOOKUP($J339,WH_Data[],8,FALSE),"")</f>
        <v>ICU FH</v>
      </c>
      <c r="P339" s="8">
        <v>1</v>
      </c>
      <c r="Q339" s="209">
        <f>Mon_ILR2[[#This Row],[Qty Required]]-Mon_ILR2[[#This Row],[QTY Transfer]]</f>
        <v>0</v>
      </c>
      <c r="R339" s="66" t="s">
        <v>905</v>
      </c>
      <c r="S339" t="s">
        <v>928</v>
      </c>
      <c r="T339" s="210">
        <f>_xlfn.IFNA(VLOOKUP(Mon_ILR2[[#This Row],[New Model]],PhilipsLibary[],4,FALSE),"0")</f>
        <v>4924</v>
      </c>
      <c r="U339" s="210">
        <f>_xlfn.IFNA(VLOOKUP(Mon_ILR2[[#This Row],[New Model]],PhilipsLibary[],5,FALSE),"0")</f>
        <v>0</v>
      </c>
      <c r="V339" s="210">
        <f>_xlfn.IFNA(VLOOKUP(Mon_ILR2[[#This Row],[New Model]],PhilipsLibary[],5,FALSE),"0")</f>
        <v>0</v>
      </c>
      <c r="W339" s="210">
        <f>Mon_ILR2[[#This Row],[Accessory Rate]]+Mon_ILR2[[#This Row],[Mounting Rate]]+Mon_ILR2[[#This Row],[Unit Rate]]*Mon_ILR2[[#This Row],[New Quantity Required ]]</f>
        <v>0</v>
      </c>
      <c r="X339" s="8"/>
      <c r="Y339" s="246"/>
    </row>
    <row r="340" spans="2:25" ht="60" customHeight="1" x14ac:dyDescent="0.25">
      <c r="B340" s="207" t="s">
        <v>35</v>
      </c>
      <c r="C340" s="66" t="s">
        <v>120</v>
      </c>
      <c r="D340" s="4" t="s">
        <v>121</v>
      </c>
      <c r="E340" s="4" t="s">
        <v>1072</v>
      </c>
      <c r="F340" s="4" t="s">
        <v>926</v>
      </c>
      <c r="G340" s="4" t="s">
        <v>1093</v>
      </c>
      <c r="H340" s="208">
        <v>1</v>
      </c>
      <c r="I340" s="4"/>
      <c r="J340" s="15"/>
      <c r="K340" s="4" t="str">
        <f>_xlfn.IFNA(VLOOKUP($J340,WH_Data[],6,FALSE),"")</f>
        <v/>
      </c>
      <c r="L340" s="4" t="str">
        <f>_xlfn.IFNA(VLOOKUP($J340,WH_Data[],3,FALSE),"")</f>
        <v/>
      </c>
      <c r="M340" s="4" t="str">
        <f>_xlfn.IFNA(VLOOKUP($J340,WH_Data[],5,FALSE),"")</f>
        <v/>
      </c>
      <c r="N340" s="4" t="str">
        <f>_xlfn.IFNA(VLOOKUP($J340,WH_Data[],7,FALSE),"")</f>
        <v/>
      </c>
      <c r="O340" s="4" t="str">
        <f>_xlfn.IFNA(VLOOKUP($J340,WH_Data[],8,FALSE),"")</f>
        <v/>
      </c>
      <c r="P340" s="8"/>
      <c r="Q340" s="209">
        <f>Mon_ILR2[[#This Row],[Qty Required]]-Mon_ILR2[[#This Row],[QTY Transfer]]</f>
        <v>1</v>
      </c>
      <c r="R340" s="66" t="s">
        <v>905</v>
      </c>
      <c r="S340" s="66" t="s">
        <v>925</v>
      </c>
      <c r="T340" s="210">
        <f>_xlfn.IFNA(VLOOKUP(Mon_ILR2[[#This Row],[New Model]],PhilipsLibary[],4,FALSE),"0")</f>
        <v>325</v>
      </c>
      <c r="U340" s="215">
        <f>_xlfn.IFNA(VLOOKUP(Mon_ILR2[[#This Row],[New Model]],PhilipsLibary[],5,FALSE),"0")</f>
        <v>0</v>
      </c>
      <c r="V340" s="215">
        <f>_xlfn.IFNA(VLOOKUP(Mon_ILR2[[#This Row],[New Model]],PhilipsLibary[],5,FALSE),"0")</f>
        <v>0</v>
      </c>
      <c r="W340" s="215">
        <f>Mon_ILR2[[#This Row],[Accessory Rate]]+Mon_ILR2[[#This Row],[Mounting Rate]]+Mon_ILR2[[#This Row],[Unit Rate]]*Mon_ILR2[[#This Row],[New Quantity Required ]]</f>
        <v>325</v>
      </c>
      <c r="X340" s="8"/>
      <c r="Y340" s="289" t="s">
        <v>2206</v>
      </c>
    </row>
    <row r="341" spans="2:25" ht="60" customHeight="1" x14ac:dyDescent="0.25">
      <c r="B341" s="207" t="s">
        <v>35</v>
      </c>
      <c r="C341" s="66" t="s">
        <v>120</v>
      </c>
      <c r="D341" s="4" t="s">
        <v>134</v>
      </c>
      <c r="E341" s="4" t="s">
        <v>1072</v>
      </c>
      <c r="F341" s="4" t="s">
        <v>926</v>
      </c>
      <c r="G341" s="4" t="s">
        <v>1093</v>
      </c>
      <c r="H341" s="208">
        <v>1</v>
      </c>
      <c r="I341" s="4"/>
      <c r="J341" s="15"/>
      <c r="K341" s="4" t="str">
        <f>_xlfn.IFNA(VLOOKUP($J341,WH_Data[],6,FALSE),"")</f>
        <v/>
      </c>
      <c r="L341" s="4" t="str">
        <f>_xlfn.IFNA(VLOOKUP($J341,WH_Data[],3,FALSE),"")</f>
        <v/>
      </c>
      <c r="M341" s="4" t="str">
        <f>_xlfn.IFNA(VLOOKUP($J341,WH_Data[],5,FALSE),"")</f>
        <v/>
      </c>
      <c r="N341" s="4" t="str">
        <f>_xlfn.IFNA(VLOOKUP($J341,WH_Data[],7,FALSE),"")</f>
        <v/>
      </c>
      <c r="O341" s="4" t="str">
        <f>_xlfn.IFNA(VLOOKUP($J341,WH_Data[],8,FALSE),"")</f>
        <v/>
      </c>
      <c r="P341" s="8"/>
      <c r="Q341" s="209">
        <f>Mon_ILR2[[#This Row],[Qty Required]]-Mon_ILR2[[#This Row],[QTY Transfer]]</f>
        <v>1</v>
      </c>
      <c r="R341" s="66" t="s">
        <v>905</v>
      </c>
      <c r="S341" s="66" t="s">
        <v>925</v>
      </c>
      <c r="T341" s="210">
        <f>_xlfn.IFNA(VLOOKUP(Mon_ILR2[[#This Row],[New Model]],PhilipsLibary[],4,FALSE),"0")</f>
        <v>325</v>
      </c>
      <c r="U341" s="215">
        <f>_xlfn.IFNA(VLOOKUP(Mon_ILR2[[#This Row],[New Model]],PhilipsLibary[],5,FALSE),"0")</f>
        <v>0</v>
      </c>
      <c r="V341" s="215">
        <f>_xlfn.IFNA(VLOOKUP(Mon_ILR2[[#This Row],[New Model]],PhilipsLibary[],5,FALSE),"0")</f>
        <v>0</v>
      </c>
      <c r="W341" s="215">
        <f>Mon_ILR2[[#This Row],[Accessory Rate]]+Mon_ILR2[[#This Row],[Mounting Rate]]+Mon_ILR2[[#This Row],[Unit Rate]]*Mon_ILR2[[#This Row],[New Quantity Required ]]</f>
        <v>325</v>
      </c>
      <c r="X341" s="8"/>
      <c r="Y341" s="289" t="s">
        <v>2206</v>
      </c>
    </row>
    <row r="342" spans="2:25" ht="45" x14ac:dyDescent="0.25">
      <c r="B342" s="207" t="s">
        <v>35</v>
      </c>
      <c r="C342" s="66" t="s">
        <v>120</v>
      </c>
      <c r="D342" s="4" t="s">
        <v>138</v>
      </c>
      <c r="E342" s="4" t="s">
        <v>1072</v>
      </c>
      <c r="F342" s="4" t="s">
        <v>926</v>
      </c>
      <c r="G342" s="4" t="s">
        <v>1093</v>
      </c>
      <c r="H342" s="208">
        <v>1</v>
      </c>
      <c r="I342" s="4"/>
      <c r="J342" s="15"/>
      <c r="K342" s="4" t="str">
        <f>_xlfn.IFNA(VLOOKUP($J342,WH_Data[],6,FALSE),"")</f>
        <v/>
      </c>
      <c r="L342" s="4" t="str">
        <f>_xlfn.IFNA(VLOOKUP($J342,WH_Data[],3,FALSE),"")</f>
        <v/>
      </c>
      <c r="M342" s="4" t="str">
        <f>_xlfn.IFNA(VLOOKUP($J342,WH_Data[],5,FALSE),"")</f>
        <v/>
      </c>
      <c r="N342" s="4" t="str">
        <f>_xlfn.IFNA(VLOOKUP($J342,WH_Data[],7,FALSE),"")</f>
        <v/>
      </c>
      <c r="O342" s="4" t="str">
        <f>_xlfn.IFNA(VLOOKUP($J342,WH_Data[],8,FALSE),"")</f>
        <v/>
      </c>
      <c r="P342" s="8"/>
      <c r="Q342" s="209">
        <f>Mon_ILR2[[#This Row],[Qty Required]]-Mon_ILR2[[#This Row],[QTY Transfer]]</f>
        <v>1</v>
      </c>
      <c r="R342" s="66" t="s">
        <v>905</v>
      </c>
      <c r="S342" s="66" t="s">
        <v>925</v>
      </c>
      <c r="T342" s="210">
        <f>_xlfn.IFNA(VLOOKUP(Mon_ILR2[[#This Row],[New Model]],PhilipsLibary[],4,FALSE),"0")</f>
        <v>325</v>
      </c>
      <c r="U342" s="215">
        <f>_xlfn.IFNA(VLOOKUP(Mon_ILR2[[#This Row],[New Model]],PhilipsLibary[],5,FALSE),"0")</f>
        <v>0</v>
      </c>
      <c r="V342" s="215">
        <f>_xlfn.IFNA(VLOOKUP(Mon_ILR2[[#This Row],[New Model]],PhilipsLibary[],5,FALSE),"0")</f>
        <v>0</v>
      </c>
      <c r="W342" s="215">
        <f>Mon_ILR2[[#This Row],[Accessory Rate]]+Mon_ILR2[[#This Row],[Mounting Rate]]+Mon_ILR2[[#This Row],[Unit Rate]]*Mon_ILR2[[#This Row],[New Quantity Required ]]</f>
        <v>325</v>
      </c>
      <c r="X342" s="8"/>
      <c r="Y342" s="289" t="s">
        <v>2206</v>
      </c>
    </row>
    <row r="343" spans="2:25" ht="45" x14ac:dyDescent="0.25">
      <c r="B343" s="207" t="s">
        <v>35</v>
      </c>
      <c r="C343" s="66" t="s">
        <v>141</v>
      </c>
      <c r="D343" s="4" t="s">
        <v>142</v>
      </c>
      <c r="E343" s="4" t="s">
        <v>1072</v>
      </c>
      <c r="F343" s="4" t="s">
        <v>926</v>
      </c>
      <c r="G343" s="4" t="s">
        <v>1093</v>
      </c>
      <c r="H343" s="208">
        <v>1</v>
      </c>
      <c r="I343" s="4"/>
      <c r="J343" s="15"/>
      <c r="K343" s="4" t="str">
        <f>_xlfn.IFNA(VLOOKUP($J343,WH_Data[],6,FALSE),"")</f>
        <v/>
      </c>
      <c r="L343" s="4" t="str">
        <f>_xlfn.IFNA(VLOOKUP($J343,WH_Data[],3,FALSE),"")</f>
        <v/>
      </c>
      <c r="M343" s="4" t="str">
        <f>_xlfn.IFNA(VLOOKUP($J343,WH_Data[],5,FALSE),"")</f>
        <v/>
      </c>
      <c r="N343" s="4" t="str">
        <f>_xlfn.IFNA(VLOOKUP($J343,WH_Data[],7,FALSE),"")</f>
        <v/>
      </c>
      <c r="O343" s="4" t="str">
        <f>_xlfn.IFNA(VLOOKUP($J343,WH_Data[],8,FALSE),"")</f>
        <v/>
      </c>
      <c r="P343" s="8"/>
      <c r="Q343" s="209">
        <f>Mon_ILR2[[#This Row],[Qty Required]]-Mon_ILR2[[#This Row],[QTY Transfer]]</f>
        <v>1</v>
      </c>
      <c r="R343" s="66" t="s">
        <v>905</v>
      </c>
      <c r="S343" s="66" t="s">
        <v>925</v>
      </c>
      <c r="T343" s="210">
        <f>_xlfn.IFNA(VLOOKUP(Mon_ILR2[[#This Row],[New Model]],PhilipsLibary[],4,FALSE),"0")</f>
        <v>325</v>
      </c>
      <c r="U343" s="215">
        <f>_xlfn.IFNA(VLOOKUP(Mon_ILR2[[#This Row],[New Model]],PhilipsLibary[],5,FALSE),"0")</f>
        <v>0</v>
      </c>
      <c r="V343" s="215">
        <f>_xlfn.IFNA(VLOOKUP(Mon_ILR2[[#This Row],[New Model]],PhilipsLibary[],5,FALSE),"0")</f>
        <v>0</v>
      </c>
      <c r="W343" s="215">
        <f>Mon_ILR2[[#This Row],[Accessory Rate]]+Mon_ILR2[[#This Row],[Mounting Rate]]+Mon_ILR2[[#This Row],[Unit Rate]]*Mon_ILR2[[#This Row],[New Quantity Required ]]</f>
        <v>325</v>
      </c>
      <c r="X343" s="8"/>
      <c r="Y343" s="289" t="s">
        <v>2206</v>
      </c>
    </row>
    <row r="344" spans="2:25" ht="45" x14ac:dyDescent="0.25">
      <c r="B344" s="207" t="s">
        <v>35</v>
      </c>
      <c r="C344" s="66" t="s">
        <v>145</v>
      </c>
      <c r="D344" s="4" t="s">
        <v>146</v>
      </c>
      <c r="E344" s="4" t="s">
        <v>1072</v>
      </c>
      <c r="F344" s="4" t="s">
        <v>926</v>
      </c>
      <c r="G344" s="4" t="s">
        <v>1093</v>
      </c>
      <c r="H344" s="208">
        <v>1</v>
      </c>
      <c r="I344" s="4"/>
      <c r="J344" s="15"/>
      <c r="K344" s="4" t="str">
        <f>_xlfn.IFNA(VLOOKUP($J344,WH_Data[],6,FALSE),"")</f>
        <v/>
      </c>
      <c r="L344" s="4" t="str">
        <f>_xlfn.IFNA(VLOOKUP($J344,WH_Data[],3,FALSE),"")</f>
        <v/>
      </c>
      <c r="M344" s="4" t="str">
        <f>_xlfn.IFNA(VLOOKUP($J344,WH_Data[],5,FALSE),"")</f>
        <v/>
      </c>
      <c r="N344" s="4" t="str">
        <f>_xlfn.IFNA(VLOOKUP($J344,WH_Data[],7,FALSE),"")</f>
        <v/>
      </c>
      <c r="O344" s="4" t="str">
        <f>_xlfn.IFNA(VLOOKUP($J344,WH_Data[],8,FALSE),"")</f>
        <v/>
      </c>
      <c r="P344" s="8"/>
      <c r="Q344" s="209">
        <f>Mon_ILR2[[#This Row],[Qty Required]]-Mon_ILR2[[#This Row],[QTY Transfer]]</f>
        <v>1</v>
      </c>
      <c r="R344" s="66" t="s">
        <v>905</v>
      </c>
      <c r="S344" s="66" t="s">
        <v>925</v>
      </c>
      <c r="T344" s="210">
        <f>_xlfn.IFNA(VLOOKUP(Mon_ILR2[[#This Row],[New Model]],PhilipsLibary[],4,FALSE),"0")</f>
        <v>325</v>
      </c>
      <c r="U344" s="215">
        <f>_xlfn.IFNA(VLOOKUP(Mon_ILR2[[#This Row],[New Model]],PhilipsLibary[],5,FALSE),"0")</f>
        <v>0</v>
      </c>
      <c r="V344" s="215">
        <f>_xlfn.IFNA(VLOOKUP(Mon_ILR2[[#This Row],[New Model]],PhilipsLibary[],5,FALSE),"0")</f>
        <v>0</v>
      </c>
      <c r="W344" s="215">
        <f>Mon_ILR2[[#This Row],[Accessory Rate]]+Mon_ILR2[[#This Row],[Mounting Rate]]+Mon_ILR2[[#This Row],[Unit Rate]]*Mon_ILR2[[#This Row],[New Quantity Required ]]</f>
        <v>325</v>
      </c>
      <c r="X344" s="8"/>
      <c r="Y344" s="289" t="s">
        <v>2206</v>
      </c>
    </row>
    <row r="345" spans="2:25" ht="45" x14ac:dyDescent="0.25">
      <c r="B345" s="207" t="s">
        <v>35</v>
      </c>
      <c r="C345" s="66" t="s">
        <v>149</v>
      </c>
      <c r="D345" s="4" t="s">
        <v>150</v>
      </c>
      <c r="E345" s="4" t="s">
        <v>1072</v>
      </c>
      <c r="F345" s="4" t="s">
        <v>926</v>
      </c>
      <c r="G345" s="4" t="s">
        <v>1093</v>
      </c>
      <c r="H345" s="208">
        <v>1</v>
      </c>
      <c r="I345" s="4"/>
      <c r="J345" s="15"/>
      <c r="K345" s="4" t="str">
        <f>_xlfn.IFNA(VLOOKUP($J345,WH_Data[],6,FALSE),"")</f>
        <v/>
      </c>
      <c r="L345" s="4" t="str">
        <f>_xlfn.IFNA(VLOOKUP($J345,WH_Data[],3,FALSE),"")</f>
        <v/>
      </c>
      <c r="M345" s="4" t="str">
        <f>_xlfn.IFNA(VLOOKUP($J345,WH_Data[],5,FALSE),"")</f>
        <v/>
      </c>
      <c r="N345" s="4" t="str">
        <f>_xlfn.IFNA(VLOOKUP($J345,WH_Data[],7,FALSE),"")</f>
        <v/>
      </c>
      <c r="O345" s="4" t="str">
        <f>_xlfn.IFNA(VLOOKUP($J345,WH_Data[],8,FALSE),"")</f>
        <v/>
      </c>
      <c r="P345" s="8"/>
      <c r="Q345" s="209">
        <f>Mon_ILR2[[#This Row],[Qty Required]]-Mon_ILR2[[#This Row],[QTY Transfer]]</f>
        <v>1</v>
      </c>
      <c r="R345" s="66" t="s">
        <v>905</v>
      </c>
      <c r="S345" s="66" t="s">
        <v>925</v>
      </c>
      <c r="T345" s="210">
        <f>_xlfn.IFNA(VLOOKUP(Mon_ILR2[[#This Row],[New Model]],PhilipsLibary[],4,FALSE),"0")</f>
        <v>325</v>
      </c>
      <c r="U345" s="215">
        <f>_xlfn.IFNA(VLOOKUP(Mon_ILR2[[#This Row],[New Model]],PhilipsLibary[],5,FALSE),"0")</f>
        <v>0</v>
      </c>
      <c r="V345" s="215">
        <f>_xlfn.IFNA(VLOOKUP(Mon_ILR2[[#This Row],[New Model]],PhilipsLibary[],5,FALSE),"0")</f>
        <v>0</v>
      </c>
      <c r="W345" s="215">
        <f>Mon_ILR2[[#This Row],[Accessory Rate]]+Mon_ILR2[[#This Row],[Mounting Rate]]+Mon_ILR2[[#This Row],[Unit Rate]]*Mon_ILR2[[#This Row],[New Quantity Required ]]</f>
        <v>325</v>
      </c>
      <c r="X345" s="8"/>
      <c r="Y345" s="289" t="s">
        <v>2206</v>
      </c>
    </row>
    <row r="346" spans="2:25" ht="45" x14ac:dyDescent="0.25">
      <c r="B346" s="207" t="s">
        <v>35</v>
      </c>
      <c r="C346" s="66" t="s">
        <v>153</v>
      </c>
      <c r="D346" s="4" t="s">
        <v>154</v>
      </c>
      <c r="E346" s="4" t="s">
        <v>1072</v>
      </c>
      <c r="F346" s="4" t="s">
        <v>926</v>
      </c>
      <c r="G346" s="4" t="s">
        <v>1093</v>
      </c>
      <c r="H346" s="208">
        <v>1</v>
      </c>
      <c r="I346" s="4"/>
      <c r="J346" s="15"/>
      <c r="K346" s="4" t="str">
        <f>_xlfn.IFNA(VLOOKUP($J346,WH_Data[],6,FALSE),"")</f>
        <v/>
      </c>
      <c r="L346" s="4" t="str">
        <f>_xlfn.IFNA(VLOOKUP($J346,WH_Data[],3,FALSE),"")</f>
        <v/>
      </c>
      <c r="M346" s="4" t="str">
        <f>_xlfn.IFNA(VLOOKUP($J346,WH_Data[],5,FALSE),"")</f>
        <v/>
      </c>
      <c r="N346" s="4" t="str">
        <f>_xlfn.IFNA(VLOOKUP($J346,WH_Data[],7,FALSE),"")</f>
        <v/>
      </c>
      <c r="O346" s="4" t="str">
        <f>_xlfn.IFNA(VLOOKUP($J346,WH_Data[],8,FALSE),"")</f>
        <v/>
      </c>
      <c r="P346" s="8"/>
      <c r="Q346" s="209">
        <f>Mon_ILR2[[#This Row],[Qty Required]]-Mon_ILR2[[#This Row],[QTY Transfer]]</f>
        <v>1</v>
      </c>
      <c r="R346" s="66" t="s">
        <v>905</v>
      </c>
      <c r="S346" s="66" t="s">
        <v>925</v>
      </c>
      <c r="T346" s="210">
        <f>_xlfn.IFNA(VLOOKUP(Mon_ILR2[[#This Row],[New Model]],PhilipsLibary[],4,FALSE),"0")</f>
        <v>325</v>
      </c>
      <c r="U346" s="215">
        <f>_xlfn.IFNA(VLOOKUP(Mon_ILR2[[#This Row],[New Model]],PhilipsLibary[],5,FALSE),"0")</f>
        <v>0</v>
      </c>
      <c r="V346" s="215">
        <f>_xlfn.IFNA(VLOOKUP(Mon_ILR2[[#This Row],[New Model]],PhilipsLibary[],5,FALSE),"0")</f>
        <v>0</v>
      </c>
      <c r="W346" s="215">
        <f>Mon_ILR2[[#This Row],[Accessory Rate]]+Mon_ILR2[[#This Row],[Mounting Rate]]+Mon_ILR2[[#This Row],[Unit Rate]]*Mon_ILR2[[#This Row],[New Quantity Required ]]</f>
        <v>325</v>
      </c>
      <c r="X346" s="8"/>
      <c r="Y346" s="289" t="s">
        <v>2206</v>
      </c>
    </row>
    <row r="347" spans="2:25" ht="45" x14ac:dyDescent="0.25">
      <c r="B347" s="207" t="s">
        <v>35</v>
      </c>
      <c r="C347" s="66" t="s">
        <v>157</v>
      </c>
      <c r="D347" s="4" t="s">
        <v>158</v>
      </c>
      <c r="E347" s="4" t="s">
        <v>1072</v>
      </c>
      <c r="F347" s="4" t="s">
        <v>926</v>
      </c>
      <c r="G347" s="4" t="s">
        <v>1093</v>
      </c>
      <c r="H347" s="208">
        <v>1</v>
      </c>
      <c r="I347" s="4"/>
      <c r="J347" s="15"/>
      <c r="K347" s="4" t="str">
        <f>_xlfn.IFNA(VLOOKUP($J347,WH_Data[],6,FALSE),"")</f>
        <v/>
      </c>
      <c r="L347" s="4" t="str">
        <f>_xlfn.IFNA(VLOOKUP($J347,WH_Data[],3,FALSE),"")</f>
        <v/>
      </c>
      <c r="M347" s="4" t="str">
        <f>_xlfn.IFNA(VLOOKUP($J347,WH_Data[],5,FALSE),"")</f>
        <v/>
      </c>
      <c r="N347" s="4" t="str">
        <f>_xlfn.IFNA(VLOOKUP($J347,WH_Data[],7,FALSE),"")</f>
        <v/>
      </c>
      <c r="O347" s="4" t="str">
        <f>_xlfn.IFNA(VLOOKUP($J347,WH_Data[],8,FALSE),"")</f>
        <v/>
      </c>
      <c r="P347" s="8"/>
      <c r="Q347" s="209">
        <f>Mon_ILR2[[#This Row],[Qty Required]]-Mon_ILR2[[#This Row],[QTY Transfer]]</f>
        <v>1</v>
      </c>
      <c r="R347" s="66" t="s">
        <v>905</v>
      </c>
      <c r="S347" s="66" t="s">
        <v>925</v>
      </c>
      <c r="T347" s="210">
        <f>_xlfn.IFNA(VLOOKUP(Mon_ILR2[[#This Row],[New Model]],PhilipsLibary[],4,FALSE),"0")</f>
        <v>325</v>
      </c>
      <c r="U347" s="215">
        <f>_xlfn.IFNA(VLOOKUP(Mon_ILR2[[#This Row],[New Model]],PhilipsLibary[],5,FALSE),"0")</f>
        <v>0</v>
      </c>
      <c r="V347" s="215">
        <f>_xlfn.IFNA(VLOOKUP(Mon_ILR2[[#This Row],[New Model]],PhilipsLibary[],5,FALSE),"0")</f>
        <v>0</v>
      </c>
      <c r="W347" s="215">
        <f>Mon_ILR2[[#This Row],[Accessory Rate]]+Mon_ILR2[[#This Row],[Mounting Rate]]+Mon_ILR2[[#This Row],[Unit Rate]]*Mon_ILR2[[#This Row],[New Quantity Required ]]</f>
        <v>325</v>
      </c>
      <c r="X347" s="8"/>
      <c r="Y347" s="289" t="s">
        <v>2206</v>
      </c>
    </row>
    <row r="348" spans="2:25" ht="45" x14ac:dyDescent="0.25">
      <c r="B348" s="207" t="s">
        <v>35</v>
      </c>
      <c r="C348" s="66" t="s">
        <v>866</v>
      </c>
      <c r="D348" s="4" t="s">
        <v>867</v>
      </c>
      <c r="E348" s="4" t="s">
        <v>1072</v>
      </c>
      <c r="F348" s="4" t="s">
        <v>926</v>
      </c>
      <c r="G348" s="4" t="s">
        <v>1093</v>
      </c>
      <c r="H348" s="208">
        <v>1</v>
      </c>
      <c r="I348" s="4"/>
      <c r="J348" s="15"/>
      <c r="K348" s="4" t="str">
        <f>_xlfn.IFNA(VLOOKUP($J348,WH_Data[],6,FALSE),"")</f>
        <v/>
      </c>
      <c r="L348" s="4" t="str">
        <f>_xlfn.IFNA(VLOOKUP($J348,WH_Data[],3,FALSE),"")</f>
        <v/>
      </c>
      <c r="M348" s="4" t="str">
        <f>_xlfn.IFNA(VLOOKUP($J348,WH_Data[],5,FALSE),"")</f>
        <v/>
      </c>
      <c r="N348" s="4" t="str">
        <f>_xlfn.IFNA(VLOOKUP($J348,WH_Data[],7,FALSE),"")</f>
        <v/>
      </c>
      <c r="O348" s="4" t="str">
        <f>_xlfn.IFNA(VLOOKUP($J348,WH_Data[],8,FALSE),"")</f>
        <v/>
      </c>
      <c r="P348" s="8"/>
      <c r="Q348" s="209">
        <f>Mon_ILR2[[#This Row],[Qty Required]]-Mon_ILR2[[#This Row],[QTY Transfer]]</f>
        <v>1</v>
      </c>
      <c r="R348" s="66" t="s">
        <v>905</v>
      </c>
      <c r="S348" s="66" t="s">
        <v>925</v>
      </c>
      <c r="T348" s="210">
        <f>_xlfn.IFNA(VLOOKUP(Mon_ILR2[[#This Row],[New Model]],PhilipsLibary[],4,FALSE),"0")</f>
        <v>325</v>
      </c>
      <c r="U348" s="215">
        <f>_xlfn.IFNA(VLOOKUP(Mon_ILR2[[#This Row],[New Model]],PhilipsLibary[],5,FALSE),"0")</f>
        <v>0</v>
      </c>
      <c r="V348" s="215">
        <f>_xlfn.IFNA(VLOOKUP(Mon_ILR2[[#This Row],[New Model]],PhilipsLibary[],5,FALSE),"0")</f>
        <v>0</v>
      </c>
      <c r="W348" s="215">
        <f>Mon_ILR2[[#This Row],[Accessory Rate]]+Mon_ILR2[[#This Row],[Mounting Rate]]+Mon_ILR2[[#This Row],[Unit Rate]]*Mon_ILR2[[#This Row],[New Quantity Required ]]</f>
        <v>325</v>
      </c>
      <c r="X348" s="8"/>
      <c r="Y348" s="289" t="s">
        <v>2206</v>
      </c>
    </row>
    <row r="349" spans="2:25" ht="45" x14ac:dyDescent="0.25">
      <c r="B349" s="207" t="s">
        <v>35</v>
      </c>
      <c r="C349" s="66" t="s">
        <v>868</v>
      </c>
      <c r="D349" s="4" t="s">
        <v>869</v>
      </c>
      <c r="E349" s="4" t="s">
        <v>1072</v>
      </c>
      <c r="F349" s="4" t="s">
        <v>926</v>
      </c>
      <c r="G349" s="4" t="s">
        <v>1093</v>
      </c>
      <c r="H349" s="208">
        <v>1</v>
      </c>
      <c r="I349" s="4"/>
      <c r="J349" s="15"/>
      <c r="K349" s="4" t="str">
        <f>_xlfn.IFNA(VLOOKUP($J349,WH_Data[],6,FALSE),"")</f>
        <v/>
      </c>
      <c r="L349" s="4" t="str">
        <f>_xlfn.IFNA(VLOOKUP($J349,WH_Data[],3,FALSE),"")</f>
        <v/>
      </c>
      <c r="M349" s="4" t="str">
        <f>_xlfn.IFNA(VLOOKUP($J349,WH_Data[],5,FALSE),"")</f>
        <v/>
      </c>
      <c r="N349" s="4" t="str">
        <f>_xlfn.IFNA(VLOOKUP($J349,WH_Data[],7,FALSE),"")</f>
        <v/>
      </c>
      <c r="O349" s="4" t="str">
        <f>_xlfn.IFNA(VLOOKUP($J349,WH_Data[],8,FALSE),"")</f>
        <v/>
      </c>
      <c r="P349" s="8"/>
      <c r="Q349" s="209">
        <f>Mon_ILR2[[#This Row],[Qty Required]]-Mon_ILR2[[#This Row],[QTY Transfer]]</f>
        <v>1</v>
      </c>
      <c r="R349" s="66" t="s">
        <v>905</v>
      </c>
      <c r="S349" s="66" t="s">
        <v>925</v>
      </c>
      <c r="T349" s="210">
        <f>_xlfn.IFNA(VLOOKUP(Mon_ILR2[[#This Row],[New Model]],PhilipsLibary[],4,FALSE),"0")</f>
        <v>325</v>
      </c>
      <c r="U349" s="215">
        <f>_xlfn.IFNA(VLOOKUP(Mon_ILR2[[#This Row],[New Model]],PhilipsLibary[],5,FALSE),"0")</f>
        <v>0</v>
      </c>
      <c r="V349" s="215">
        <f>_xlfn.IFNA(VLOOKUP(Mon_ILR2[[#This Row],[New Model]],PhilipsLibary[],5,FALSE),"0")</f>
        <v>0</v>
      </c>
      <c r="W349" s="215">
        <f>Mon_ILR2[[#This Row],[Accessory Rate]]+Mon_ILR2[[#This Row],[Mounting Rate]]+Mon_ILR2[[#This Row],[Unit Rate]]*Mon_ILR2[[#This Row],[New Quantity Required ]]</f>
        <v>325</v>
      </c>
      <c r="X349" s="8"/>
      <c r="Y349" s="289" t="s">
        <v>2206</v>
      </c>
    </row>
    <row r="350" spans="2:25" ht="45" x14ac:dyDescent="0.25">
      <c r="B350" s="207" t="s">
        <v>35</v>
      </c>
      <c r="C350" s="66" t="s">
        <v>872</v>
      </c>
      <c r="D350" s="4" t="s">
        <v>873</v>
      </c>
      <c r="E350" s="4" t="s">
        <v>1072</v>
      </c>
      <c r="F350" s="4" t="s">
        <v>926</v>
      </c>
      <c r="G350" s="4" t="s">
        <v>1093</v>
      </c>
      <c r="H350" s="208">
        <v>1</v>
      </c>
      <c r="I350" s="4"/>
      <c r="J350" s="15"/>
      <c r="K350" s="4" t="str">
        <f>_xlfn.IFNA(VLOOKUP($J350,WH_Data[],6,FALSE),"")</f>
        <v/>
      </c>
      <c r="L350" s="4" t="str">
        <f>_xlfn.IFNA(VLOOKUP($J350,WH_Data[],3,FALSE),"")</f>
        <v/>
      </c>
      <c r="M350" s="4" t="str">
        <f>_xlfn.IFNA(VLOOKUP($J350,WH_Data[],5,FALSE),"")</f>
        <v/>
      </c>
      <c r="N350" s="4" t="str">
        <f>_xlfn.IFNA(VLOOKUP($J350,WH_Data[],7,FALSE),"")</f>
        <v/>
      </c>
      <c r="O350" s="4" t="str">
        <f>_xlfn.IFNA(VLOOKUP($J350,WH_Data[],8,FALSE),"")</f>
        <v/>
      </c>
      <c r="P350" s="8"/>
      <c r="Q350" s="209">
        <f>Mon_ILR2[[#This Row],[Qty Required]]-Mon_ILR2[[#This Row],[QTY Transfer]]</f>
        <v>1</v>
      </c>
      <c r="R350" s="66" t="s">
        <v>905</v>
      </c>
      <c r="S350" s="66" t="s">
        <v>925</v>
      </c>
      <c r="T350" s="210">
        <f>_xlfn.IFNA(VLOOKUP(Mon_ILR2[[#This Row],[New Model]],PhilipsLibary[],4,FALSE),"0")</f>
        <v>325</v>
      </c>
      <c r="U350" s="215">
        <f>_xlfn.IFNA(VLOOKUP(Mon_ILR2[[#This Row],[New Model]],PhilipsLibary[],5,FALSE),"0")</f>
        <v>0</v>
      </c>
      <c r="V350" s="215">
        <f>_xlfn.IFNA(VLOOKUP(Mon_ILR2[[#This Row],[New Model]],PhilipsLibary[],5,FALSE),"0")</f>
        <v>0</v>
      </c>
      <c r="W350" s="215">
        <f>Mon_ILR2[[#This Row],[Accessory Rate]]+Mon_ILR2[[#This Row],[Mounting Rate]]+Mon_ILR2[[#This Row],[Unit Rate]]*Mon_ILR2[[#This Row],[New Quantity Required ]]</f>
        <v>325</v>
      </c>
      <c r="X350" s="8"/>
      <c r="Y350" s="289" t="s">
        <v>2206</v>
      </c>
    </row>
    <row r="351" spans="2:25" ht="45" x14ac:dyDescent="0.25">
      <c r="B351" s="207" t="s">
        <v>35</v>
      </c>
      <c r="C351" s="66" t="s">
        <v>868</v>
      </c>
      <c r="D351" s="4" t="s">
        <v>874</v>
      </c>
      <c r="E351" s="4" t="s">
        <v>1072</v>
      </c>
      <c r="F351" s="4" t="s">
        <v>926</v>
      </c>
      <c r="G351" s="4" t="s">
        <v>1093</v>
      </c>
      <c r="H351" s="208">
        <v>1</v>
      </c>
      <c r="I351" s="4"/>
      <c r="J351" s="15"/>
      <c r="K351" s="4" t="str">
        <f>_xlfn.IFNA(VLOOKUP($J351,WH_Data[],6,FALSE),"")</f>
        <v/>
      </c>
      <c r="L351" s="4" t="str">
        <f>_xlfn.IFNA(VLOOKUP($J351,WH_Data[],3,FALSE),"")</f>
        <v/>
      </c>
      <c r="M351" s="4" t="str">
        <f>_xlfn.IFNA(VLOOKUP($J351,WH_Data[],5,FALSE),"")</f>
        <v/>
      </c>
      <c r="N351" s="4" t="str">
        <f>_xlfn.IFNA(VLOOKUP($J351,WH_Data[],7,FALSE),"")</f>
        <v/>
      </c>
      <c r="O351" s="4" t="str">
        <f>_xlfn.IFNA(VLOOKUP($J351,WH_Data[],8,FALSE),"")</f>
        <v/>
      </c>
      <c r="P351" s="8"/>
      <c r="Q351" s="209">
        <f>Mon_ILR2[[#This Row],[Qty Required]]-Mon_ILR2[[#This Row],[QTY Transfer]]</f>
        <v>1</v>
      </c>
      <c r="R351" s="66" t="s">
        <v>905</v>
      </c>
      <c r="S351" s="66" t="s">
        <v>925</v>
      </c>
      <c r="T351" s="210">
        <f>_xlfn.IFNA(VLOOKUP(Mon_ILR2[[#This Row],[New Model]],PhilipsLibary[],4,FALSE),"0")</f>
        <v>325</v>
      </c>
      <c r="U351" s="215">
        <f>_xlfn.IFNA(VLOOKUP(Mon_ILR2[[#This Row],[New Model]],PhilipsLibary[],5,FALSE),"0")</f>
        <v>0</v>
      </c>
      <c r="V351" s="215">
        <f>_xlfn.IFNA(VLOOKUP(Mon_ILR2[[#This Row],[New Model]],PhilipsLibary[],5,FALSE),"0")</f>
        <v>0</v>
      </c>
      <c r="W351" s="215">
        <f>Mon_ILR2[[#This Row],[Accessory Rate]]+Mon_ILR2[[#This Row],[Mounting Rate]]+Mon_ILR2[[#This Row],[Unit Rate]]*Mon_ILR2[[#This Row],[New Quantity Required ]]</f>
        <v>325</v>
      </c>
      <c r="X351" s="8"/>
      <c r="Y351" s="289" t="s">
        <v>2206</v>
      </c>
    </row>
    <row r="352" spans="2:25" ht="45" x14ac:dyDescent="0.25">
      <c r="B352" s="207" t="s">
        <v>35</v>
      </c>
      <c r="C352" s="66" t="s">
        <v>872</v>
      </c>
      <c r="D352" s="4" t="s">
        <v>878</v>
      </c>
      <c r="E352" s="4" t="s">
        <v>1072</v>
      </c>
      <c r="F352" s="4" t="s">
        <v>926</v>
      </c>
      <c r="G352" s="4" t="s">
        <v>1093</v>
      </c>
      <c r="H352" s="208">
        <v>1</v>
      </c>
      <c r="I352" s="4"/>
      <c r="J352" s="15"/>
      <c r="K352" s="4" t="str">
        <f>_xlfn.IFNA(VLOOKUP($J352,WH_Data[],6,FALSE),"")</f>
        <v/>
      </c>
      <c r="L352" s="4" t="str">
        <f>_xlfn.IFNA(VLOOKUP($J352,WH_Data[],3,FALSE),"")</f>
        <v/>
      </c>
      <c r="M352" s="4" t="str">
        <f>_xlfn.IFNA(VLOOKUP($J352,WH_Data[],5,FALSE),"")</f>
        <v/>
      </c>
      <c r="N352" s="4" t="str">
        <f>_xlfn.IFNA(VLOOKUP($J352,WH_Data[],7,FALSE),"")</f>
        <v/>
      </c>
      <c r="O352" s="4" t="str">
        <f>_xlfn.IFNA(VLOOKUP($J352,WH_Data[],8,FALSE),"")</f>
        <v/>
      </c>
      <c r="P352" s="8"/>
      <c r="Q352" s="209">
        <f>Mon_ILR2[[#This Row],[Qty Required]]-Mon_ILR2[[#This Row],[QTY Transfer]]</f>
        <v>1</v>
      </c>
      <c r="R352" s="66" t="s">
        <v>905</v>
      </c>
      <c r="S352" s="66" t="s">
        <v>925</v>
      </c>
      <c r="T352" s="210">
        <f>_xlfn.IFNA(VLOOKUP(Mon_ILR2[[#This Row],[New Model]],PhilipsLibary[],4,FALSE),"0")</f>
        <v>325</v>
      </c>
      <c r="U352" s="215">
        <f>_xlfn.IFNA(VLOOKUP(Mon_ILR2[[#This Row],[New Model]],PhilipsLibary[],5,FALSE),"0")</f>
        <v>0</v>
      </c>
      <c r="V352" s="215">
        <f>_xlfn.IFNA(VLOOKUP(Mon_ILR2[[#This Row],[New Model]],PhilipsLibary[],5,FALSE),"0")</f>
        <v>0</v>
      </c>
      <c r="W352" s="215">
        <f>Mon_ILR2[[#This Row],[Accessory Rate]]+Mon_ILR2[[#This Row],[Mounting Rate]]+Mon_ILR2[[#This Row],[Unit Rate]]*Mon_ILR2[[#This Row],[New Quantity Required ]]</f>
        <v>325</v>
      </c>
      <c r="X352" s="8"/>
      <c r="Y352" s="289" t="s">
        <v>2206</v>
      </c>
    </row>
    <row r="353" spans="2:25" ht="45" x14ac:dyDescent="0.25">
      <c r="B353" s="207" t="s">
        <v>35</v>
      </c>
      <c r="C353" s="66" t="s">
        <v>872</v>
      </c>
      <c r="D353" s="4" t="s">
        <v>879</v>
      </c>
      <c r="E353" s="4" t="s">
        <v>1072</v>
      </c>
      <c r="F353" s="4" t="s">
        <v>926</v>
      </c>
      <c r="G353" s="4" t="s">
        <v>1093</v>
      </c>
      <c r="H353" s="208">
        <v>1</v>
      </c>
      <c r="I353" s="4"/>
      <c r="J353" s="15"/>
      <c r="K353" s="4" t="str">
        <f>_xlfn.IFNA(VLOOKUP($J353,WH_Data[],6,FALSE),"")</f>
        <v/>
      </c>
      <c r="L353" s="4" t="str">
        <f>_xlfn.IFNA(VLOOKUP($J353,WH_Data[],3,FALSE),"")</f>
        <v/>
      </c>
      <c r="M353" s="4" t="str">
        <f>_xlfn.IFNA(VLOOKUP($J353,WH_Data[],5,FALSE),"")</f>
        <v/>
      </c>
      <c r="N353" s="4" t="str">
        <f>_xlfn.IFNA(VLOOKUP($J353,WH_Data[],7,FALSE),"")</f>
        <v/>
      </c>
      <c r="O353" s="4" t="str">
        <f>_xlfn.IFNA(VLOOKUP($J353,WH_Data[],8,FALSE),"")</f>
        <v/>
      </c>
      <c r="P353" s="8"/>
      <c r="Q353" s="209">
        <f>Mon_ILR2[[#This Row],[Qty Required]]-Mon_ILR2[[#This Row],[QTY Transfer]]</f>
        <v>1</v>
      </c>
      <c r="R353" s="66" t="s">
        <v>905</v>
      </c>
      <c r="S353" s="66" t="s">
        <v>925</v>
      </c>
      <c r="T353" s="210">
        <f>_xlfn.IFNA(VLOOKUP(Mon_ILR2[[#This Row],[New Model]],PhilipsLibary[],4,FALSE),"0")</f>
        <v>325</v>
      </c>
      <c r="U353" s="215">
        <f>_xlfn.IFNA(VLOOKUP(Mon_ILR2[[#This Row],[New Model]],PhilipsLibary[],5,FALSE),"0")</f>
        <v>0</v>
      </c>
      <c r="V353" s="215">
        <f>_xlfn.IFNA(VLOOKUP(Mon_ILR2[[#This Row],[New Model]],PhilipsLibary[],5,FALSE),"0")</f>
        <v>0</v>
      </c>
      <c r="W353" s="215">
        <f>Mon_ILR2[[#This Row],[Accessory Rate]]+Mon_ILR2[[#This Row],[Mounting Rate]]+Mon_ILR2[[#This Row],[Unit Rate]]*Mon_ILR2[[#This Row],[New Quantity Required ]]</f>
        <v>325</v>
      </c>
      <c r="X353" s="8"/>
      <c r="Y353" s="289" t="s">
        <v>2206</v>
      </c>
    </row>
    <row r="354" spans="2:25" ht="45" x14ac:dyDescent="0.25">
      <c r="B354" s="207" t="s">
        <v>35</v>
      </c>
      <c r="C354" s="66" t="s">
        <v>872</v>
      </c>
      <c r="D354" s="4" t="s">
        <v>880</v>
      </c>
      <c r="E354" s="4" t="s">
        <v>1072</v>
      </c>
      <c r="F354" s="4" t="s">
        <v>926</v>
      </c>
      <c r="G354" s="4" t="s">
        <v>1093</v>
      </c>
      <c r="H354" s="208">
        <v>1</v>
      </c>
      <c r="I354" s="4"/>
      <c r="J354" s="15"/>
      <c r="K354" s="4" t="str">
        <f>_xlfn.IFNA(VLOOKUP($J354,WH_Data[],6,FALSE),"")</f>
        <v/>
      </c>
      <c r="L354" s="4" t="str">
        <f>_xlfn.IFNA(VLOOKUP($J354,WH_Data[],3,FALSE),"")</f>
        <v/>
      </c>
      <c r="M354" s="4" t="str">
        <f>_xlfn.IFNA(VLOOKUP($J354,WH_Data[],5,FALSE),"")</f>
        <v/>
      </c>
      <c r="N354" s="4" t="str">
        <f>_xlfn.IFNA(VLOOKUP($J354,WH_Data[],7,FALSE),"")</f>
        <v/>
      </c>
      <c r="O354" s="4" t="str">
        <f>_xlfn.IFNA(VLOOKUP($J354,WH_Data[],8,FALSE),"")</f>
        <v/>
      </c>
      <c r="P354" s="8"/>
      <c r="Q354" s="209">
        <f>Mon_ILR2[[#This Row],[Qty Required]]-Mon_ILR2[[#This Row],[QTY Transfer]]</f>
        <v>1</v>
      </c>
      <c r="R354" s="66" t="s">
        <v>905</v>
      </c>
      <c r="S354" s="66" t="s">
        <v>925</v>
      </c>
      <c r="T354" s="210">
        <f>_xlfn.IFNA(VLOOKUP(Mon_ILR2[[#This Row],[New Model]],PhilipsLibary[],4,FALSE),"0")</f>
        <v>325</v>
      </c>
      <c r="U354" s="215">
        <f>_xlfn.IFNA(VLOOKUP(Mon_ILR2[[#This Row],[New Model]],PhilipsLibary[],5,FALSE),"0")</f>
        <v>0</v>
      </c>
      <c r="V354" s="215">
        <f>_xlfn.IFNA(VLOOKUP(Mon_ILR2[[#This Row],[New Model]],PhilipsLibary[],5,FALSE),"0")</f>
        <v>0</v>
      </c>
      <c r="W354" s="215">
        <f>Mon_ILR2[[#This Row],[Accessory Rate]]+Mon_ILR2[[#This Row],[Mounting Rate]]+Mon_ILR2[[#This Row],[Unit Rate]]*Mon_ILR2[[#This Row],[New Quantity Required ]]</f>
        <v>325</v>
      </c>
      <c r="X354" s="8"/>
      <c r="Y354" s="289" t="s">
        <v>2206</v>
      </c>
    </row>
    <row r="355" spans="2:25" ht="45" x14ac:dyDescent="0.25">
      <c r="B355" s="207" t="s">
        <v>35</v>
      </c>
      <c r="C355" s="66" t="s">
        <v>872</v>
      </c>
      <c r="D355" s="4" t="s">
        <v>886</v>
      </c>
      <c r="E355" s="4" t="s">
        <v>1072</v>
      </c>
      <c r="F355" s="4" t="s">
        <v>926</v>
      </c>
      <c r="G355" s="4" t="s">
        <v>1093</v>
      </c>
      <c r="H355" s="208">
        <v>1</v>
      </c>
      <c r="I355" s="4"/>
      <c r="J355" s="15"/>
      <c r="K355" s="4" t="str">
        <f>_xlfn.IFNA(VLOOKUP($J355,WH_Data[],6,FALSE),"")</f>
        <v/>
      </c>
      <c r="L355" s="4" t="str">
        <f>_xlfn.IFNA(VLOOKUP($J355,WH_Data[],3,FALSE),"")</f>
        <v/>
      </c>
      <c r="M355" s="4" t="str">
        <f>_xlfn.IFNA(VLOOKUP($J355,WH_Data[],5,FALSE),"")</f>
        <v/>
      </c>
      <c r="N355" s="4" t="str">
        <f>_xlfn.IFNA(VLOOKUP($J355,WH_Data[],7,FALSE),"")</f>
        <v/>
      </c>
      <c r="O355" s="4" t="str">
        <f>_xlfn.IFNA(VLOOKUP($J355,WH_Data[],8,FALSE),"")</f>
        <v/>
      </c>
      <c r="P355" s="8"/>
      <c r="Q355" s="209">
        <f>Mon_ILR2[[#This Row],[Qty Required]]-Mon_ILR2[[#This Row],[QTY Transfer]]</f>
        <v>1</v>
      </c>
      <c r="R355" s="66" t="s">
        <v>905</v>
      </c>
      <c r="S355" s="66" t="s">
        <v>925</v>
      </c>
      <c r="T355" s="210">
        <f>_xlfn.IFNA(VLOOKUP(Mon_ILR2[[#This Row],[New Model]],PhilipsLibary[],4,FALSE),"0")</f>
        <v>325</v>
      </c>
      <c r="U355" s="215">
        <f>_xlfn.IFNA(VLOOKUP(Mon_ILR2[[#This Row],[New Model]],PhilipsLibary[],5,FALSE),"0")</f>
        <v>0</v>
      </c>
      <c r="V355" s="215">
        <f>_xlfn.IFNA(VLOOKUP(Mon_ILR2[[#This Row],[New Model]],PhilipsLibary[],5,FALSE),"0")</f>
        <v>0</v>
      </c>
      <c r="W355" s="215">
        <f>Mon_ILR2[[#This Row],[Accessory Rate]]+Mon_ILR2[[#This Row],[Mounting Rate]]+Mon_ILR2[[#This Row],[Unit Rate]]*Mon_ILR2[[#This Row],[New Quantity Required ]]</f>
        <v>325</v>
      </c>
      <c r="X355" s="8"/>
      <c r="Y355" s="289" t="s">
        <v>2206</v>
      </c>
    </row>
    <row r="356" spans="2:25" ht="45" x14ac:dyDescent="0.25">
      <c r="B356" s="207" t="s">
        <v>35</v>
      </c>
      <c r="C356" s="66" t="s">
        <v>120</v>
      </c>
      <c r="D356" s="4" t="s">
        <v>121</v>
      </c>
      <c r="E356" s="4" t="s">
        <v>1072</v>
      </c>
      <c r="F356" s="4" t="s">
        <v>923</v>
      </c>
      <c r="G356" s="4" t="s">
        <v>1093</v>
      </c>
      <c r="H356" s="208">
        <v>1</v>
      </c>
      <c r="I356" s="4"/>
      <c r="J356" s="15"/>
      <c r="K356" s="4" t="str">
        <f>_xlfn.IFNA(VLOOKUP($J356,WH_Data[],6,FALSE),"")</f>
        <v/>
      </c>
      <c r="L356" s="4" t="str">
        <f>_xlfn.IFNA(VLOOKUP($J356,WH_Data[],3,FALSE),"")</f>
        <v/>
      </c>
      <c r="M356" s="4" t="str">
        <f>_xlfn.IFNA(VLOOKUP($J356,WH_Data[],5,FALSE),"")</f>
        <v/>
      </c>
      <c r="N356" s="4" t="str">
        <f>_xlfn.IFNA(VLOOKUP($J356,WH_Data[],7,FALSE),"")</f>
        <v/>
      </c>
      <c r="O356" s="4" t="str">
        <f>_xlfn.IFNA(VLOOKUP($J356,WH_Data[],8,FALSE),"")</f>
        <v/>
      </c>
      <c r="P356" s="8"/>
      <c r="Q356" s="209">
        <f>Mon_ILR2[[#This Row],[Qty Required]]-Mon_ILR2[[#This Row],[QTY Transfer]]</f>
        <v>1</v>
      </c>
      <c r="R356" s="66" t="s">
        <v>905</v>
      </c>
      <c r="S356" s="66" t="s">
        <v>922</v>
      </c>
      <c r="T356" s="210">
        <f>_xlfn.IFNA(VLOOKUP(Mon_ILR2[[#This Row],[New Model]],PhilipsLibary[],4,FALSE),"0")</f>
        <v>1088</v>
      </c>
      <c r="U356" s="215">
        <f>_xlfn.IFNA(VLOOKUP(Mon_ILR2[[#This Row],[New Model]],PhilipsLibary[],5,FALSE),"0")</f>
        <v>0</v>
      </c>
      <c r="V356" s="215">
        <f>_xlfn.IFNA(VLOOKUP(Mon_ILR2[[#This Row],[New Model]],PhilipsLibary[],5,FALSE),"0")</f>
        <v>0</v>
      </c>
      <c r="W356" s="215">
        <f>Mon_ILR2[[#This Row],[Accessory Rate]]+Mon_ILR2[[#This Row],[Mounting Rate]]+Mon_ILR2[[#This Row],[Unit Rate]]*Mon_ILR2[[#This Row],[New Quantity Required ]]</f>
        <v>1088</v>
      </c>
      <c r="X356" s="8"/>
      <c r="Y356" s="289" t="s">
        <v>2206</v>
      </c>
    </row>
    <row r="357" spans="2:25" ht="45" x14ac:dyDescent="0.25">
      <c r="B357" s="207" t="s">
        <v>35</v>
      </c>
      <c r="C357" s="66" t="s">
        <v>120</v>
      </c>
      <c r="D357" s="4" t="s">
        <v>134</v>
      </c>
      <c r="E357" s="4" t="s">
        <v>1072</v>
      </c>
      <c r="F357" s="4" t="s">
        <v>923</v>
      </c>
      <c r="G357" s="4" t="s">
        <v>1093</v>
      </c>
      <c r="H357" s="208">
        <v>1</v>
      </c>
      <c r="I357" s="4"/>
      <c r="J357" s="15"/>
      <c r="K357" s="4" t="str">
        <f>_xlfn.IFNA(VLOOKUP($J357,WH_Data[],6,FALSE),"")</f>
        <v/>
      </c>
      <c r="L357" s="4" t="str">
        <f>_xlfn.IFNA(VLOOKUP($J357,WH_Data[],3,FALSE),"")</f>
        <v/>
      </c>
      <c r="M357" s="4" t="str">
        <f>_xlfn.IFNA(VLOOKUP($J357,WH_Data[],5,FALSE),"")</f>
        <v/>
      </c>
      <c r="N357" s="4" t="str">
        <f>_xlfn.IFNA(VLOOKUP($J357,WH_Data[],7,FALSE),"")</f>
        <v/>
      </c>
      <c r="O357" s="4" t="str">
        <f>_xlfn.IFNA(VLOOKUP($J357,WH_Data[],8,FALSE),"")</f>
        <v/>
      </c>
      <c r="P357" s="8"/>
      <c r="Q357" s="209">
        <f>Mon_ILR2[[#This Row],[Qty Required]]-Mon_ILR2[[#This Row],[QTY Transfer]]</f>
        <v>1</v>
      </c>
      <c r="R357" s="66" t="s">
        <v>905</v>
      </c>
      <c r="S357" s="66" t="s">
        <v>922</v>
      </c>
      <c r="T357" s="210">
        <f>_xlfn.IFNA(VLOOKUP(Mon_ILR2[[#This Row],[New Model]],PhilipsLibary[],4,FALSE),"0")</f>
        <v>1088</v>
      </c>
      <c r="U357" s="215">
        <f>_xlfn.IFNA(VLOOKUP(Mon_ILR2[[#This Row],[New Model]],PhilipsLibary[],5,FALSE),"0")</f>
        <v>0</v>
      </c>
      <c r="V357" s="215">
        <f>_xlfn.IFNA(VLOOKUP(Mon_ILR2[[#This Row],[New Model]],PhilipsLibary[],5,FALSE),"0")</f>
        <v>0</v>
      </c>
      <c r="W357" s="215">
        <f>Mon_ILR2[[#This Row],[Accessory Rate]]+Mon_ILR2[[#This Row],[Mounting Rate]]+Mon_ILR2[[#This Row],[Unit Rate]]*Mon_ILR2[[#This Row],[New Quantity Required ]]</f>
        <v>1088</v>
      </c>
      <c r="X357" s="8"/>
      <c r="Y357" s="289" t="s">
        <v>2206</v>
      </c>
    </row>
    <row r="358" spans="2:25" ht="45" x14ac:dyDescent="0.25">
      <c r="B358" s="207" t="s">
        <v>35</v>
      </c>
      <c r="C358" s="66" t="s">
        <v>120</v>
      </c>
      <c r="D358" s="4" t="s">
        <v>138</v>
      </c>
      <c r="E358" s="4" t="s">
        <v>1072</v>
      </c>
      <c r="F358" s="4" t="s">
        <v>923</v>
      </c>
      <c r="G358" s="4" t="s">
        <v>1093</v>
      </c>
      <c r="H358" s="208">
        <v>1</v>
      </c>
      <c r="I358" s="4"/>
      <c r="J358" s="15"/>
      <c r="K358" s="4" t="str">
        <f>_xlfn.IFNA(VLOOKUP($J358,WH_Data[],6,FALSE),"")</f>
        <v/>
      </c>
      <c r="L358" s="4" t="str">
        <f>_xlfn.IFNA(VLOOKUP($J358,WH_Data[],3,FALSE),"")</f>
        <v/>
      </c>
      <c r="M358" s="4" t="str">
        <f>_xlfn.IFNA(VLOOKUP($J358,WH_Data[],5,FALSE),"")</f>
        <v/>
      </c>
      <c r="N358" s="4" t="str">
        <f>_xlfn.IFNA(VLOOKUP($J358,WH_Data[],7,FALSE),"")</f>
        <v/>
      </c>
      <c r="O358" s="4" t="str">
        <f>_xlfn.IFNA(VLOOKUP($J358,WH_Data[],8,FALSE),"")</f>
        <v/>
      </c>
      <c r="P358" s="8"/>
      <c r="Q358" s="209">
        <f>Mon_ILR2[[#This Row],[Qty Required]]-Mon_ILR2[[#This Row],[QTY Transfer]]</f>
        <v>1</v>
      </c>
      <c r="R358" s="66" t="s">
        <v>905</v>
      </c>
      <c r="S358" s="66" t="s">
        <v>922</v>
      </c>
      <c r="T358" s="210">
        <f>_xlfn.IFNA(VLOOKUP(Mon_ILR2[[#This Row],[New Model]],PhilipsLibary[],4,FALSE),"0")</f>
        <v>1088</v>
      </c>
      <c r="U358" s="215">
        <f>_xlfn.IFNA(VLOOKUP(Mon_ILR2[[#This Row],[New Model]],PhilipsLibary[],5,FALSE),"0")</f>
        <v>0</v>
      </c>
      <c r="V358" s="215">
        <f>_xlfn.IFNA(VLOOKUP(Mon_ILR2[[#This Row],[New Model]],PhilipsLibary[],5,FALSE),"0")</f>
        <v>0</v>
      </c>
      <c r="W358" s="215">
        <f>Mon_ILR2[[#This Row],[Accessory Rate]]+Mon_ILR2[[#This Row],[Mounting Rate]]+Mon_ILR2[[#This Row],[Unit Rate]]*Mon_ILR2[[#This Row],[New Quantity Required ]]</f>
        <v>1088</v>
      </c>
      <c r="X358" s="8"/>
      <c r="Y358" s="289" t="s">
        <v>2206</v>
      </c>
    </row>
    <row r="359" spans="2:25" ht="45" x14ac:dyDescent="0.25">
      <c r="B359" s="207" t="s">
        <v>35</v>
      </c>
      <c r="C359" s="66" t="s">
        <v>141</v>
      </c>
      <c r="D359" s="4" t="s">
        <v>142</v>
      </c>
      <c r="E359" s="4" t="s">
        <v>1072</v>
      </c>
      <c r="F359" s="4" t="s">
        <v>923</v>
      </c>
      <c r="G359" s="4" t="s">
        <v>1093</v>
      </c>
      <c r="H359" s="208">
        <v>1</v>
      </c>
      <c r="I359" s="4"/>
      <c r="J359" s="15"/>
      <c r="K359" s="4" t="str">
        <f>_xlfn.IFNA(VLOOKUP($J359,WH_Data[],6,FALSE),"")</f>
        <v/>
      </c>
      <c r="L359" s="4" t="str">
        <f>_xlfn.IFNA(VLOOKUP($J359,WH_Data[],3,FALSE),"")</f>
        <v/>
      </c>
      <c r="M359" s="4" t="str">
        <f>_xlfn.IFNA(VLOOKUP($J359,WH_Data[],5,FALSE),"")</f>
        <v/>
      </c>
      <c r="N359" s="4" t="str">
        <f>_xlfn.IFNA(VLOOKUP($J359,WH_Data[],7,FALSE),"")</f>
        <v/>
      </c>
      <c r="O359" s="4" t="str">
        <f>_xlfn.IFNA(VLOOKUP($J359,WH_Data[],8,FALSE),"")</f>
        <v/>
      </c>
      <c r="P359" s="8"/>
      <c r="Q359" s="209">
        <f>Mon_ILR2[[#This Row],[Qty Required]]-Mon_ILR2[[#This Row],[QTY Transfer]]</f>
        <v>1</v>
      </c>
      <c r="R359" s="66" t="s">
        <v>905</v>
      </c>
      <c r="S359" s="66" t="s">
        <v>922</v>
      </c>
      <c r="T359" s="210">
        <f>_xlfn.IFNA(VLOOKUP(Mon_ILR2[[#This Row],[New Model]],PhilipsLibary[],4,FALSE),"0")</f>
        <v>1088</v>
      </c>
      <c r="U359" s="215">
        <f>_xlfn.IFNA(VLOOKUP(Mon_ILR2[[#This Row],[New Model]],PhilipsLibary[],5,FALSE),"0")</f>
        <v>0</v>
      </c>
      <c r="V359" s="215">
        <f>_xlfn.IFNA(VLOOKUP(Mon_ILR2[[#This Row],[New Model]],PhilipsLibary[],5,FALSE),"0")</f>
        <v>0</v>
      </c>
      <c r="W359" s="215">
        <f>Mon_ILR2[[#This Row],[Accessory Rate]]+Mon_ILR2[[#This Row],[Mounting Rate]]+Mon_ILR2[[#This Row],[Unit Rate]]*Mon_ILR2[[#This Row],[New Quantity Required ]]</f>
        <v>1088</v>
      </c>
      <c r="X359" s="8"/>
      <c r="Y359" s="289" t="s">
        <v>2206</v>
      </c>
    </row>
    <row r="360" spans="2:25" ht="45" x14ac:dyDescent="0.25">
      <c r="B360" s="207" t="s">
        <v>35</v>
      </c>
      <c r="C360" s="66" t="s">
        <v>145</v>
      </c>
      <c r="D360" s="4" t="s">
        <v>146</v>
      </c>
      <c r="E360" s="4" t="s">
        <v>1072</v>
      </c>
      <c r="F360" s="4" t="s">
        <v>923</v>
      </c>
      <c r="G360" s="4" t="s">
        <v>1093</v>
      </c>
      <c r="H360" s="208">
        <v>1</v>
      </c>
      <c r="I360" s="4"/>
      <c r="J360" s="15"/>
      <c r="K360" s="4" t="str">
        <f>_xlfn.IFNA(VLOOKUP($J360,WH_Data[],6,FALSE),"")</f>
        <v/>
      </c>
      <c r="L360" s="4" t="str">
        <f>_xlfn.IFNA(VLOOKUP($J360,WH_Data[],3,FALSE),"")</f>
        <v/>
      </c>
      <c r="M360" s="4" t="str">
        <f>_xlfn.IFNA(VLOOKUP($J360,WH_Data[],5,FALSE),"")</f>
        <v/>
      </c>
      <c r="N360" s="4" t="str">
        <f>_xlfn.IFNA(VLOOKUP($J360,WH_Data[],7,FALSE),"")</f>
        <v/>
      </c>
      <c r="O360" s="4" t="str">
        <f>_xlfn.IFNA(VLOOKUP($J360,WH_Data[],8,FALSE),"")</f>
        <v/>
      </c>
      <c r="P360" s="8"/>
      <c r="Q360" s="209">
        <f>Mon_ILR2[[#This Row],[Qty Required]]-Mon_ILR2[[#This Row],[QTY Transfer]]</f>
        <v>1</v>
      </c>
      <c r="R360" s="66" t="s">
        <v>905</v>
      </c>
      <c r="S360" s="66" t="s">
        <v>922</v>
      </c>
      <c r="T360" s="210">
        <f>_xlfn.IFNA(VLOOKUP(Mon_ILR2[[#This Row],[New Model]],PhilipsLibary[],4,FALSE),"0")</f>
        <v>1088</v>
      </c>
      <c r="U360" s="215">
        <f>_xlfn.IFNA(VLOOKUP(Mon_ILR2[[#This Row],[New Model]],PhilipsLibary[],5,FALSE),"0")</f>
        <v>0</v>
      </c>
      <c r="V360" s="215">
        <f>_xlfn.IFNA(VLOOKUP(Mon_ILR2[[#This Row],[New Model]],PhilipsLibary[],5,FALSE),"0")</f>
        <v>0</v>
      </c>
      <c r="W360" s="215">
        <f>Mon_ILR2[[#This Row],[Accessory Rate]]+Mon_ILR2[[#This Row],[Mounting Rate]]+Mon_ILR2[[#This Row],[Unit Rate]]*Mon_ILR2[[#This Row],[New Quantity Required ]]</f>
        <v>1088</v>
      </c>
      <c r="X360" s="8"/>
      <c r="Y360" s="289" t="s">
        <v>2206</v>
      </c>
    </row>
    <row r="361" spans="2:25" ht="45" x14ac:dyDescent="0.25">
      <c r="B361" s="207" t="s">
        <v>35</v>
      </c>
      <c r="C361" s="66" t="s">
        <v>149</v>
      </c>
      <c r="D361" s="4" t="s">
        <v>150</v>
      </c>
      <c r="E361" s="4" t="s">
        <v>1072</v>
      </c>
      <c r="F361" s="4" t="s">
        <v>923</v>
      </c>
      <c r="G361" s="4" t="s">
        <v>1093</v>
      </c>
      <c r="H361" s="208">
        <v>1</v>
      </c>
      <c r="I361" s="4"/>
      <c r="J361" s="15"/>
      <c r="K361" s="4" t="str">
        <f>_xlfn.IFNA(VLOOKUP($J361,WH_Data[],6,FALSE),"")</f>
        <v/>
      </c>
      <c r="L361" s="4" t="str">
        <f>_xlfn.IFNA(VLOOKUP($J361,WH_Data[],3,FALSE),"")</f>
        <v/>
      </c>
      <c r="M361" s="4" t="str">
        <f>_xlfn.IFNA(VLOOKUP($J361,WH_Data[],5,FALSE),"")</f>
        <v/>
      </c>
      <c r="N361" s="4" t="str">
        <f>_xlfn.IFNA(VLOOKUP($J361,WH_Data[],7,FALSE),"")</f>
        <v/>
      </c>
      <c r="O361" s="4" t="str">
        <f>_xlfn.IFNA(VLOOKUP($J361,WH_Data[],8,FALSE),"")</f>
        <v/>
      </c>
      <c r="P361" s="8"/>
      <c r="Q361" s="209">
        <f>Mon_ILR2[[#This Row],[Qty Required]]-Mon_ILR2[[#This Row],[QTY Transfer]]</f>
        <v>1</v>
      </c>
      <c r="R361" s="66" t="s">
        <v>905</v>
      </c>
      <c r="S361" s="66" t="s">
        <v>922</v>
      </c>
      <c r="T361" s="210">
        <f>_xlfn.IFNA(VLOOKUP(Mon_ILR2[[#This Row],[New Model]],PhilipsLibary[],4,FALSE),"0")</f>
        <v>1088</v>
      </c>
      <c r="U361" s="215">
        <f>_xlfn.IFNA(VLOOKUP(Mon_ILR2[[#This Row],[New Model]],PhilipsLibary[],5,FALSE),"0")</f>
        <v>0</v>
      </c>
      <c r="V361" s="215">
        <f>_xlfn.IFNA(VLOOKUP(Mon_ILR2[[#This Row],[New Model]],PhilipsLibary[],5,FALSE),"0")</f>
        <v>0</v>
      </c>
      <c r="W361" s="215">
        <f>Mon_ILR2[[#This Row],[Accessory Rate]]+Mon_ILR2[[#This Row],[Mounting Rate]]+Mon_ILR2[[#This Row],[Unit Rate]]*Mon_ILR2[[#This Row],[New Quantity Required ]]</f>
        <v>1088</v>
      </c>
      <c r="X361" s="8"/>
      <c r="Y361" s="289" t="s">
        <v>2206</v>
      </c>
    </row>
    <row r="362" spans="2:25" ht="45" x14ac:dyDescent="0.25">
      <c r="B362" s="207" t="s">
        <v>35</v>
      </c>
      <c r="C362" s="66" t="s">
        <v>153</v>
      </c>
      <c r="D362" s="4" t="s">
        <v>154</v>
      </c>
      <c r="E362" s="4" t="s">
        <v>1072</v>
      </c>
      <c r="F362" s="4" t="s">
        <v>923</v>
      </c>
      <c r="G362" s="4" t="s">
        <v>1093</v>
      </c>
      <c r="H362" s="208">
        <v>1</v>
      </c>
      <c r="I362" s="4"/>
      <c r="J362" s="15"/>
      <c r="K362" s="4" t="str">
        <f>_xlfn.IFNA(VLOOKUP($J362,WH_Data[],6,FALSE),"")</f>
        <v/>
      </c>
      <c r="L362" s="4" t="str">
        <f>_xlfn.IFNA(VLOOKUP($J362,WH_Data[],3,FALSE),"")</f>
        <v/>
      </c>
      <c r="M362" s="4" t="str">
        <f>_xlfn.IFNA(VLOOKUP($J362,WH_Data[],5,FALSE),"")</f>
        <v/>
      </c>
      <c r="N362" s="4" t="str">
        <f>_xlfn.IFNA(VLOOKUP($J362,WH_Data[],7,FALSE),"")</f>
        <v/>
      </c>
      <c r="O362" s="4" t="str">
        <f>_xlfn.IFNA(VLOOKUP($J362,WH_Data[],8,FALSE),"")</f>
        <v/>
      </c>
      <c r="P362" s="8"/>
      <c r="Q362" s="209">
        <f>Mon_ILR2[[#This Row],[Qty Required]]-Mon_ILR2[[#This Row],[QTY Transfer]]</f>
        <v>1</v>
      </c>
      <c r="R362" s="66" t="s">
        <v>905</v>
      </c>
      <c r="S362" s="66" t="s">
        <v>922</v>
      </c>
      <c r="T362" s="210">
        <f>_xlfn.IFNA(VLOOKUP(Mon_ILR2[[#This Row],[New Model]],PhilipsLibary[],4,FALSE),"0")</f>
        <v>1088</v>
      </c>
      <c r="U362" s="215">
        <f>_xlfn.IFNA(VLOOKUP(Mon_ILR2[[#This Row],[New Model]],PhilipsLibary[],5,FALSE),"0")</f>
        <v>0</v>
      </c>
      <c r="V362" s="215">
        <f>_xlfn.IFNA(VLOOKUP(Mon_ILR2[[#This Row],[New Model]],PhilipsLibary[],5,FALSE),"0")</f>
        <v>0</v>
      </c>
      <c r="W362" s="215">
        <f>Mon_ILR2[[#This Row],[Accessory Rate]]+Mon_ILR2[[#This Row],[Mounting Rate]]+Mon_ILR2[[#This Row],[Unit Rate]]*Mon_ILR2[[#This Row],[New Quantity Required ]]</f>
        <v>1088</v>
      </c>
      <c r="X362" s="8"/>
      <c r="Y362" s="289" t="s">
        <v>2206</v>
      </c>
    </row>
    <row r="363" spans="2:25" ht="45" x14ac:dyDescent="0.25">
      <c r="B363" s="207" t="s">
        <v>35</v>
      </c>
      <c r="C363" s="66" t="s">
        <v>157</v>
      </c>
      <c r="D363" s="4" t="s">
        <v>158</v>
      </c>
      <c r="E363" s="4" t="s">
        <v>1072</v>
      </c>
      <c r="F363" s="4" t="s">
        <v>923</v>
      </c>
      <c r="G363" s="4" t="s">
        <v>1093</v>
      </c>
      <c r="H363" s="208">
        <v>1</v>
      </c>
      <c r="I363" s="4"/>
      <c r="J363" s="15"/>
      <c r="K363" s="4" t="str">
        <f>_xlfn.IFNA(VLOOKUP($J363,WH_Data[],6,FALSE),"")</f>
        <v/>
      </c>
      <c r="L363" s="4" t="str">
        <f>_xlfn.IFNA(VLOOKUP($J363,WH_Data[],3,FALSE),"")</f>
        <v/>
      </c>
      <c r="M363" s="4" t="str">
        <f>_xlfn.IFNA(VLOOKUP($J363,WH_Data[],5,FALSE),"")</f>
        <v/>
      </c>
      <c r="N363" s="4" t="str">
        <f>_xlfn.IFNA(VLOOKUP($J363,WH_Data[],7,FALSE),"")</f>
        <v/>
      </c>
      <c r="O363" s="4" t="str">
        <f>_xlfn.IFNA(VLOOKUP($J363,WH_Data[],8,FALSE),"")</f>
        <v/>
      </c>
      <c r="P363" s="8"/>
      <c r="Q363" s="209">
        <f>Mon_ILR2[[#This Row],[Qty Required]]-Mon_ILR2[[#This Row],[QTY Transfer]]</f>
        <v>1</v>
      </c>
      <c r="R363" s="66" t="s">
        <v>905</v>
      </c>
      <c r="S363" s="66" t="s">
        <v>922</v>
      </c>
      <c r="T363" s="210">
        <f>_xlfn.IFNA(VLOOKUP(Mon_ILR2[[#This Row],[New Model]],PhilipsLibary[],4,FALSE),"0")</f>
        <v>1088</v>
      </c>
      <c r="U363" s="215">
        <f>_xlfn.IFNA(VLOOKUP(Mon_ILR2[[#This Row],[New Model]],PhilipsLibary[],5,FALSE),"0")</f>
        <v>0</v>
      </c>
      <c r="V363" s="215">
        <f>_xlfn.IFNA(VLOOKUP(Mon_ILR2[[#This Row],[New Model]],PhilipsLibary[],5,FALSE),"0")</f>
        <v>0</v>
      </c>
      <c r="W363" s="215">
        <f>Mon_ILR2[[#This Row],[Accessory Rate]]+Mon_ILR2[[#This Row],[Mounting Rate]]+Mon_ILR2[[#This Row],[Unit Rate]]*Mon_ILR2[[#This Row],[New Quantity Required ]]</f>
        <v>1088</v>
      </c>
      <c r="X363" s="8"/>
      <c r="Y363" s="289" t="s">
        <v>2206</v>
      </c>
    </row>
    <row r="364" spans="2:25" ht="45" x14ac:dyDescent="0.25">
      <c r="B364" s="207" t="s">
        <v>35</v>
      </c>
      <c r="C364" s="66" t="s">
        <v>866</v>
      </c>
      <c r="D364" s="4" t="s">
        <v>867</v>
      </c>
      <c r="E364" s="4" t="s">
        <v>1072</v>
      </c>
      <c r="F364" s="4" t="s">
        <v>923</v>
      </c>
      <c r="G364" s="4" t="s">
        <v>1093</v>
      </c>
      <c r="H364" s="208">
        <v>1</v>
      </c>
      <c r="I364" s="4"/>
      <c r="J364" s="15"/>
      <c r="K364" s="4" t="str">
        <f>_xlfn.IFNA(VLOOKUP($J364,WH_Data[],6,FALSE),"")</f>
        <v/>
      </c>
      <c r="L364" s="4" t="str">
        <f>_xlfn.IFNA(VLOOKUP($J364,WH_Data[],3,FALSE),"")</f>
        <v/>
      </c>
      <c r="M364" s="4" t="str">
        <f>_xlfn.IFNA(VLOOKUP($J364,WH_Data[],5,FALSE),"")</f>
        <v/>
      </c>
      <c r="N364" s="4" t="str">
        <f>_xlfn.IFNA(VLOOKUP($J364,WH_Data[],7,FALSE),"")</f>
        <v/>
      </c>
      <c r="O364" s="4" t="str">
        <f>_xlfn.IFNA(VLOOKUP($J364,WH_Data[],8,FALSE),"")</f>
        <v/>
      </c>
      <c r="P364" s="8"/>
      <c r="Q364" s="209">
        <f>Mon_ILR2[[#This Row],[Qty Required]]-Mon_ILR2[[#This Row],[QTY Transfer]]</f>
        <v>1</v>
      </c>
      <c r="R364" s="66" t="s">
        <v>905</v>
      </c>
      <c r="S364" s="66" t="s">
        <v>922</v>
      </c>
      <c r="T364" s="210">
        <f>_xlfn.IFNA(VLOOKUP(Mon_ILR2[[#This Row],[New Model]],PhilipsLibary[],4,FALSE),"0")</f>
        <v>1088</v>
      </c>
      <c r="U364" s="215">
        <f>_xlfn.IFNA(VLOOKUP(Mon_ILR2[[#This Row],[New Model]],PhilipsLibary[],5,FALSE),"0")</f>
        <v>0</v>
      </c>
      <c r="V364" s="215">
        <f>_xlfn.IFNA(VLOOKUP(Mon_ILR2[[#This Row],[New Model]],PhilipsLibary[],5,FALSE),"0")</f>
        <v>0</v>
      </c>
      <c r="W364" s="215">
        <f>Mon_ILR2[[#This Row],[Accessory Rate]]+Mon_ILR2[[#This Row],[Mounting Rate]]+Mon_ILR2[[#This Row],[Unit Rate]]*Mon_ILR2[[#This Row],[New Quantity Required ]]</f>
        <v>1088</v>
      </c>
      <c r="X364" s="8"/>
      <c r="Y364" s="289" t="s">
        <v>2206</v>
      </c>
    </row>
    <row r="365" spans="2:25" ht="45" x14ac:dyDescent="0.25">
      <c r="B365" s="207" t="s">
        <v>35</v>
      </c>
      <c r="C365" s="66" t="s">
        <v>868</v>
      </c>
      <c r="D365" s="4" t="s">
        <v>869</v>
      </c>
      <c r="E365" s="4" t="s">
        <v>1072</v>
      </c>
      <c r="F365" s="4" t="s">
        <v>923</v>
      </c>
      <c r="G365" s="4" t="s">
        <v>1093</v>
      </c>
      <c r="H365" s="208">
        <v>1</v>
      </c>
      <c r="I365" s="4"/>
      <c r="J365" s="15"/>
      <c r="K365" s="4" t="str">
        <f>_xlfn.IFNA(VLOOKUP($J365,WH_Data[],6,FALSE),"")</f>
        <v/>
      </c>
      <c r="L365" s="4" t="str">
        <f>_xlfn.IFNA(VLOOKUP($J365,WH_Data[],3,FALSE),"")</f>
        <v/>
      </c>
      <c r="M365" s="4" t="str">
        <f>_xlfn.IFNA(VLOOKUP($J365,WH_Data[],5,FALSE),"")</f>
        <v/>
      </c>
      <c r="N365" s="4" t="str">
        <f>_xlfn.IFNA(VLOOKUP($J365,WH_Data[],7,FALSE),"")</f>
        <v/>
      </c>
      <c r="O365" s="4" t="str">
        <f>_xlfn.IFNA(VLOOKUP($J365,WH_Data[],8,FALSE),"")</f>
        <v/>
      </c>
      <c r="P365" s="8"/>
      <c r="Q365" s="209">
        <f>Mon_ILR2[[#This Row],[Qty Required]]-Mon_ILR2[[#This Row],[QTY Transfer]]</f>
        <v>1</v>
      </c>
      <c r="R365" s="66" t="s">
        <v>905</v>
      </c>
      <c r="S365" s="66" t="s">
        <v>922</v>
      </c>
      <c r="T365" s="210">
        <f>_xlfn.IFNA(VLOOKUP(Mon_ILR2[[#This Row],[New Model]],PhilipsLibary[],4,FALSE),"0")</f>
        <v>1088</v>
      </c>
      <c r="U365" s="215">
        <f>_xlfn.IFNA(VLOOKUP(Mon_ILR2[[#This Row],[New Model]],PhilipsLibary[],5,FALSE),"0")</f>
        <v>0</v>
      </c>
      <c r="V365" s="215">
        <f>_xlfn.IFNA(VLOOKUP(Mon_ILR2[[#This Row],[New Model]],PhilipsLibary[],5,FALSE),"0")</f>
        <v>0</v>
      </c>
      <c r="W365" s="215">
        <f>Mon_ILR2[[#This Row],[Accessory Rate]]+Mon_ILR2[[#This Row],[Mounting Rate]]+Mon_ILR2[[#This Row],[Unit Rate]]*Mon_ILR2[[#This Row],[New Quantity Required ]]</f>
        <v>1088</v>
      </c>
      <c r="X365" s="8"/>
      <c r="Y365" s="289" t="s">
        <v>2206</v>
      </c>
    </row>
    <row r="366" spans="2:25" ht="45" x14ac:dyDescent="0.25">
      <c r="B366" s="207" t="s">
        <v>35</v>
      </c>
      <c r="C366" s="66" t="s">
        <v>872</v>
      </c>
      <c r="D366" s="4" t="s">
        <v>873</v>
      </c>
      <c r="E366" s="4" t="s">
        <v>1072</v>
      </c>
      <c r="F366" s="4" t="s">
        <v>923</v>
      </c>
      <c r="G366" s="4" t="s">
        <v>1093</v>
      </c>
      <c r="H366" s="208">
        <v>1</v>
      </c>
      <c r="I366" s="4"/>
      <c r="J366" s="15"/>
      <c r="K366" s="4" t="str">
        <f>_xlfn.IFNA(VLOOKUP($J366,WH_Data[],6,FALSE),"")</f>
        <v/>
      </c>
      <c r="L366" s="4" t="str">
        <f>_xlfn.IFNA(VLOOKUP($J366,WH_Data[],3,FALSE),"")</f>
        <v/>
      </c>
      <c r="M366" s="4" t="str">
        <f>_xlfn.IFNA(VLOOKUP($J366,WH_Data[],5,FALSE),"")</f>
        <v/>
      </c>
      <c r="N366" s="4" t="str">
        <f>_xlfn.IFNA(VLOOKUP($J366,WH_Data[],7,FALSE),"")</f>
        <v/>
      </c>
      <c r="O366" s="4" t="str">
        <f>_xlfn.IFNA(VLOOKUP($J366,WH_Data[],8,FALSE),"")</f>
        <v/>
      </c>
      <c r="P366" s="8"/>
      <c r="Q366" s="209">
        <f>Mon_ILR2[[#This Row],[Qty Required]]-Mon_ILR2[[#This Row],[QTY Transfer]]</f>
        <v>1</v>
      </c>
      <c r="R366" s="66" t="s">
        <v>905</v>
      </c>
      <c r="S366" s="66" t="s">
        <v>922</v>
      </c>
      <c r="T366" s="210">
        <f>_xlfn.IFNA(VLOOKUP(Mon_ILR2[[#This Row],[New Model]],PhilipsLibary[],4,FALSE),"0")</f>
        <v>1088</v>
      </c>
      <c r="U366" s="215">
        <f>_xlfn.IFNA(VLOOKUP(Mon_ILR2[[#This Row],[New Model]],PhilipsLibary[],5,FALSE),"0")</f>
        <v>0</v>
      </c>
      <c r="V366" s="215">
        <f>_xlfn.IFNA(VLOOKUP(Mon_ILR2[[#This Row],[New Model]],PhilipsLibary[],5,FALSE),"0")</f>
        <v>0</v>
      </c>
      <c r="W366" s="215">
        <f>Mon_ILR2[[#This Row],[Accessory Rate]]+Mon_ILR2[[#This Row],[Mounting Rate]]+Mon_ILR2[[#This Row],[Unit Rate]]*Mon_ILR2[[#This Row],[New Quantity Required ]]</f>
        <v>1088</v>
      </c>
      <c r="X366" s="8"/>
      <c r="Y366" s="289" t="s">
        <v>2206</v>
      </c>
    </row>
    <row r="367" spans="2:25" ht="45" x14ac:dyDescent="0.25">
      <c r="B367" s="207" t="s">
        <v>35</v>
      </c>
      <c r="C367" s="66" t="s">
        <v>868</v>
      </c>
      <c r="D367" s="4" t="s">
        <v>874</v>
      </c>
      <c r="E367" s="4" t="s">
        <v>1072</v>
      </c>
      <c r="F367" s="4" t="s">
        <v>923</v>
      </c>
      <c r="G367" s="4" t="s">
        <v>1093</v>
      </c>
      <c r="H367" s="208">
        <v>1</v>
      </c>
      <c r="I367" s="4"/>
      <c r="J367" s="15"/>
      <c r="K367" s="4" t="str">
        <f>_xlfn.IFNA(VLOOKUP($J367,WH_Data[],6,FALSE),"")</f>
        <v/>
      </c>
      <c r="L367" s="4" t="str">
        <f>_xlfn.IFNA(VLOOKUP($J367,WH_Data[],3,FALSE),"")</f>
        <v/>
      </c>
      <c r="M367" s="4" t="str">
        <f>_xlfn.IFNA(VLOOKUP($J367,WH_Data[],5,FALSE),"")</f>
        <v/>
      </c>
      <c r="N367" s="4" t="str">
        <f>_xlfn.IFNA(VLOOKUP($J367,WH_Data[],7,FALSE),"")</f>
        <v/>
      </c>
      <c r="O367" s="4" t="str">
        <f>_xlfn.IFNA(VLOOKUP($J367,WH_Data[],8,FALSE),"")</f>
        <v/>
      </c>
      <c r="P367" s="8"/>
      <c r="Q367" s="209">
        <f>Mon_ILR2[[#This Row],[Qty Required]]-Mon_ILR2[[#This Row],[QTY Transfer]]</f>
        <v>1</v>
      </c>
      <c r="R367" s="66" t="s">
        <v>905</v>
      </c>
      <c r="S367" s="66" t="s">
        <v>922</v>
      </c>
      <c r="T367" s="210">
        <f>_xlfn.IFNA(VLOOKUP(Mon_ILR2[[#This Row],[New Model]],PhilipsLibary[],4,FALSE),"0")</f>
        <v>1088</v>
      </c>
      <c r="U367" s="215">
        <f>_xlfn.IFNA(VLOOKUP(Mon_ILR2[[#This Row],[New Model]],PhilipsLibary[],5,FALSE),"0")</f>
        <v>0</v>
      </c>
      <c r="V367" s="215">
        <f>_xlfn.IFNA(VLOOKUP(Mon_ILR2[[#This Row],[New Model]],PhilipsLibary[],5,FALSE),"0")</f>
        <v>0</v>
      </c>
      <c r="W367" s="215">
        <f>Mon_ILR2[[#This Row],[Accessory Rate]]+Mon_ILR2[[#This Row],[Mounting Rate]]+Mon_ILR2[[#This Row],[Unit Rate]]*Mon_ILR2[[#This Row],[New Quantity Required ]]</f>
        <v>1088</v>
      </c>
      <c r="X367" s="8"/>
      <c r="Y367" s="289" t="s">
        <v>2206</v>
      </c>
    </row>
    <row r="368" spans="2:25" ht="45" x14ac:dyDescent="0.25">
      <c r="B368" s="207" t="s">
        <v>35</v>
      </c>
      <c r="C368" s="66" t="s">
        <v>872</v>
      </c>
      <c r="D368" s="4" t="s">
        <v>878</v>
      </c>
      <c r="E368" s="4" t="s">
        <v>1072</v>
      </c>
      <c r="F368" s="4" t="s">
        <v>923</v>
      </c>
      <c r="G368" s="4" t="s">
        <v>1093</v>
      </c>
      <c r="H368" s="208">
        <v>1</v>
      </c>
      <c r="I368" s="4"/>
      <c r="J368" s="15"/>
      <c r="K368" s="4" t="str">
        <f>_xlfn.IFNA(VLOOKUP($J368,WH_Data[],6,FALSE),"")</f>
        <v/>
      </c>
      <c r="L368" s="4" t="str">
        <f>_xlfn.IFNA(VLOOKUP($J368,WH_Data[],3,FALSE),"")</f>
        <v/>
      </c>
      <c r="M368" s="4" t="str">
        <f>_xlfn.IFNA(VLOOKUP($J368,WH_Data[],5,FALSE),"")</f>
        <v/>
      </c>
      <c r="N368" s="4" t="str">
        <f>_xlfn.IFNA(VLOOKUP($J368,WH_Data[],7,FALSE),"")</f>
        <v/>
      </c>
      <c r="O368" s="4" t="str">
        <f>_xlfn.IFNA(VLOOKUP($J368,WH_Data[],8,FALSE),"")</f>
        <v/>
      </c>
      <c r="P368" s="8"/>
      <c r="Q368" s="209">
        <f>Mon_ILR2[[#This Row],[Qty Required]]-Mon_ILR2[[#This Row],[QTY Transfer]]</f>
        <v>1</v>
      </c>
      <c r="R368" s="66" t="s">
        <v>905</v>
      </c>
      <c r="S368" s="66" t="s">
        <v>922</v>
      </c>
      <c r="T368" s="210">
        <f>_xlfn.IFNA(VLOOKUP(Mon_ILR2[[#This Row],[New Model]],PhilipsLibary[],4,FALSE),"0")</f>
        <v>1088</v>
      </c>
      <c r="U368" s="215">
        <f>_xlfn.IFNA(VLOOKUP(Mon_ILR2[[#This Row],[New Model]],PhilipsLibary[],5,FALSE),"0")</f>
        <v>0</v>
      </c>
      <c r="V368" s="215">
        <f>_xlfn.IFNA(VLOOKUP(Mon_ILR2[[#This Row],[New Model]],PhilipsLibary[],5,FALSE),"0")</f>
        <v>0</v>
      </c>
      <c r="W368" s="215">
        <f>Mon_ILR2[[#This Row],[Accessory Rate]]+Mon_ILR2[[#This Row],[Mounting Rate]]+Mon_ILR2[[#This Row],[Unit Rate]]*Mon_ILR2[[#This Row],[New Quantity Required ]]</f>
        <v>1088</v>
      </c>
      <c r="X368" s="8"/>
      <c r="Y368" s="289" t="s">
        <v>2206</v>
      </c>
    </row>
    <row r="369" spans="2:25" ht="45" x14ac:dyDescent="0.25">
      <c r="B369" s="207" t="s">
        <v>35</v>
      </c>
      <c r="C369" s="66" t="s">
        <v>872</v>
      </c>
      <c r="D369" s="4" t="s">
        <v>879</v>
      </c>
      <c r="E369" s="4" t="s">
        <v>1072</v>
      </c>
      <c r="F369" s="4" t="s">
        <v>923</v>
      </c>
      <c r="G369" s="4" t="s">
        <v>1093</v>
      </c>
      <c r="H369" s="208">
        <v>1</v>
      </c>
      <c r="I369" s="4"/>
      <c r="J369" s="15"/>
      <c r="K369" s="4" t="str">
        <f>_xlfn.IFNA(VLOOKUP($J369,WH_Data[],6,FALSE),"")</f>
        <v/>
      </c>
      <c r="L369" s="4" t="str">
        <f>_xlfn.IFNA(VLOOKUP($J369,WH_Data[],3,FALSE),"")</f>
        <v/>
      </c>
      <c r="M369" s="4" t="str">
        <f>_xlfn.IFNA(VLOOKUP($J369,WH_Data[],5,FALSE),"")</f>
        <v/>
      </c>
      <c r="N369" s="4" t="str">
        <f>_xlfn.IFNA(VLOOKUP($J369,WH_Data[],7,FALSE),"")</f>
        <v/>
      </c>
      <c r="O369" s="4" t="str">
        <f>_xlfn.IFNA(VLOOKUP($J369,WH_Data[],8,FALSE),"")</f>
        <v/>
      </c>
      <c r="P369" s="8"/>
      <c r="Q369" s="209">
        <f>Mon_ILR2[[#This Row],[Qty Required]]-Mon_ILR2[[#This Row],[QTY Transfer]]</f>
        <v>1</v>
      </c>
      <c r="R369" s="66" t="s">
        <v>905</v>
      </c>
      <c r="S369" s="66" t="s">
        <v>922</v>
      </c>
      <c r="T369" s="210">
        <f>_xlfn.IFNA(VLOOKUP(Mon_ILR2[[#This Row],[New Model]],PhilipsLibary[],4,FALSE),"0")</f>
        <v>1088</v>
      </c>
      <c r="U369" s="215">
        <f>_xlfn.IFNA(VLOOKUP(Mon_ILR2[[#This Row],[New Model]],PhilipsLibary[],5,FALSE),"0")</f>
        <v>0</v>
      </c>
      <c r="V369" s="215">
        <f>_xlfn.IFNA(VLOOKUP(Mon_ILR2[[#This Row],[New Model]],PhilipsLibary[],5,FALSE),"0")</f>
        <v>0</v>
      </c>
      <c r="W369" s="215">
        <f>Mon_ILR2[[#This Row],[Accessory Rate]]+Mon_ILR2[[#This Row],[Mounting Rate]]+Mon_ILR2[[#This Row],[Unit Rate]]*Mon_ILR2[[#This Row],[New Quantity Required ]]</f>
        <v>1088</v>
      </c>
      <c r="X369" s="8"/>
      <c r="Y369" s="289" t="s">
        <v>2206</v>
      </c>
    </row>
    <row r="370" spans="2:25" ht="45" x14ac:dyDescent="0.25">
      <c r="B370" s="207" t="s">
        <v>35</v>
      </c>
      <c r="C370" s="66" t="s">
        <v>872</v>
      </c>
      <c r="D370" s="4" t="s">
        <v>880</v>
      </c>
      <c r="E370" s="4" t="s">
        <v>1072</v>
      </c>
      <c r="F370" s="4" t="s">
        <v>923</v>
      </c>
      <c r="G370" s="4" t="s">
        <v>1093</v>
      </c>
      <c r="H370" s="208">
        <v>1</v>
      </c>
      <c r="I370" s="4"/>
      <c r="J370" s="15"/>
      <c r="K370" s="4" t="str">
        <f>_xlfn.IFNA(VLOOKUP($J370,WH_Data[],6,FALSE),"")</f>
        <v/>
      </c>
      <c r="L370" s="4" t="str">
        <f>_xlfn.IFNA(VLOOKUP($J370,WH_Data[],3,FALSE),"")</f>
        <v/>
      </c>
      <c r="M370" s="4" t="str">
        <f>_xlfn.IFNA(VLOOKUP($J370,WH_Data[],5,FALSE),"")</f>
        <v/>
      </c>
      <c r="N370" s="4" t="str">
        <f>_xlfn.IFNA(VLOOKUP($J370,WH_Data[],7,FALSE),"")</f>
        <v/>
      </c>
      <c r="O370" s="4" t="str">
        <f>_xlfn.IFNA(VLOOKUP($J370,WH_Data[],8,FALSE),"")</f>
        <v/>
      </c>
      <c r="P370" s="8"/>
      <c r="Q370" s="209">
        <f>Mon_ILR2[[#This Row],[Qty Required]]-Mon_ILR2[[#This Row],[QTY Transfer]]</f>
        <v>1</v>
      </c>
      <c r="R370" s="66" t="s">
        <v>905</v>
      </c>
      <c r="S370" s="66" t="s">
        <v>922</v>
      </c>
      <c r="T370" s="210">
        <f>_xlfn.IFNA(VLOOKUP(Mon_ILR2[[#This Row],[New Model]],PhilipsLibary[],4,FALSE),"0")</f>
        <v>1088</v>
      </c>
      <c r="U370" s="215">
        <f>_xlfn.IFNA(VLOOKUP(Mon_ILR2[[#This Row],[New Model]],PhilipsLibary[],5,FALSE),"0")</f>
        <v>0</v>
      </c>
      <c r="V370" s="215">
        <f>_xlfn.IFNA(VLOOKUP(Mon_ILR2[[#This Row],[New Model]],PhilipsLibary[],5,FALSE),"0")</f>
        <v>0</v>
      </c>
      <c r="W370" s="215">
        <f>Mon_ILR2[[#This Row],[Accessory Rate]]+Mon_ILR2[[#This Row],[Mounting Rate]]+Mon_ILR2[[#This Row],[Unit Rate]]*Mon_ILR2[[#This Row],[New Quantity Required ]]</f>
        <v>1088</v>
      </c>
      <c r="X370" s="8"/>
      <c r="Y370" s="289" t="s">
        <v>2206</v>
      </c>
    </row>
    <row r="371" spans="2:25" ht="45" x14ac:dyDescent="0.25">
      <c r="B371" s="207" t="s">
        <v>35</v>
      </c>
      <c r="C371" s="66" t="s">
        <v>872</v>
      </c>
      <c r="D371" s="4" t="s">
        <v>886</v>
      </c>
      <c r="E371" s="4" t="s">
        <v>1072</v>
      </c>
      <c r="F371" s="4" t="s">
        <v>923</v>
      </c>
      <c r="G371" s="4" t="s">
        <v>1093</v>
      </c>
      <c r="H371" s="208">
        <v>1</v>
      </c>
      <c r="I371" s="4"/>
      <c r="J371" s="15"/>
      <c r="K371" s="4" t="str">
        <f>_xlfn.IFNA(VLOOKUP($J371,WH_Data[],6,FALSE),"")</f>
        <v/>
      </c>
      <c r="L371" s="4" t="str">
        <f>_xlfn.IFNA(VLOOKUP($J371,WH_Data[],3,FALSE),"")</f>
        <v/>
      </c>
      <c r="M371" s="4" t="str">
        <f>_xlfn.IFNA(VLOOKUP($J371,WH_Data[],5,FALSE),"")</f>
        <v/>
      </c>
      <c r="N371" s="4" t="str">
        <f>_xlfn.IFNA(VLOOKUP($J371,WH_Data[],7,FALSE),"")</f>
        <v/>
      </c>
      <c r="O371" s="4" t="str">
        <f>_xlfn.IFNA(VLOOKUP($J371,WH_Data[],8,FALSE),"")</f>
        <v/>
      </c>
      <c r="P371" s="8"/>
      <c r="Q371" s="209">
        <f>Mon_ILR2[[#This Row],[Qty Required]]-Mon_ILR2[[#This Row],[QTY Transfer]]</f>
        <v>1</v>
      </c>
      <c r="R371" s="66" t="s">
        <v>905</v>
      </c>
      <c r="S371" s="66" t="s">
        <v>922</v>
      </c>
      <c r="T371" s="210">
        <f>_xlfn.IFNA(VLOOKUP(Mon_ILR2[[#This Row],[New Model]],PhilipsLibary[],4,FALSE),"0")</f>
        <v>1088</v>
      </c>
      <c r="U371" s="215">
        <f>_xlfn.IFNA(VLOOKUP(Mon_ILR2[[#This Row],[New Model]],PhilipsLibary[],5,FALSE),"0")</f>
        <v>0</v>
      </c>
      <c r="V371" s="215">
        <f>_xlfn.IFNA(VLOOKUP(Mon_ILR2[[#This Row],[New Model]],PhilipsLibary[],5,FALSE),"0")</f>
        <v>0</v>
      </c>
      <c r="W371" s="215">
        <f>Mon_ILR2[[#This Row],[Accessory Rate]]+Mon_ILR2[[#This Row],[Mounting Rate]]+Mon_ILR2[[#This Row],[Unit Rate]]*Mon_ILR2[[#This Row],[New Quantity Required ]]</f>
        <v>1088</v>
      </c>
      <c r="X371" s="8"/>
      <c r="Y371" s="289" t="s">
        <v>2206</v>
      </c>
    </row>
    <row r="372" spans="2:25" ht="15.75" customHeight="1" x14ac:dyDescent="0.25">
      <c r="B372" s="207" t="s">
        <v>35</v>
      </c>
      <c r="C372" s="66" t="s">
        <v>120</v>
      </c>
      <c r="D372" s="4" t="s">
        <v>121</v>
      </c>
      <c r="E372" s="4" t="s">
        <v>1072</v>
      </c>
      <c r="F372" s="4" t="s">
        <v>917</v>
      </c>
      <c r="G372" s="4" t="s">
        <v>1093</v>
      </c>
      <c r="H372" s="208">
        <v>1</v>
      </c>
      <c r="I372" s="4"/>
      <c r="J372" s="15"/>
      <c r="K372" s="4" t="str">
        <f>_xlfn.IFNA(VLOOKUP($J372,WH_Data[],6,FALSE),"")</f>
        <v/>
      </c>
      <c r="L372" s="4" t="str">
        <f>_xlfn.IFNA(VLOOKUP($J372,WH_Data[],3,FALSE),"")</f>
        <v/>
      </c>
      <c r="M372" s="4" t="str">
        <f>_xlfn.IFNA(VLOOKUP($J372,WH_Data[],5,FALSE),"")</f>
        <v/>
      </c>
      <c r="N372" s="4" t="str">
        <f>_xlfn.IFNA(VLOOKUP($J372,WH_Data[],7,FALSE),"")</f>
        <v/>
      </c>
      <c r="O372" s="4" t="str">
        <f>_xlfn.IFNA(VLOOKUP($J372,WH_Data[],8,FALSE),"")</f>
        <v/>
      </c>
      <c r="P372" s="8"/>
      <c r="Q372" s="209">
        <f>Mon_ILR2[[#This Row],[Qty Required]]-Mon_ILR2[[#This Row],[QTY Transfer]]</f>
        <v>1</v>
      </c>
      <c r="R372" s="66" t="s">
        <v>905</v>
      </c>
      <c r="S372" s="66" t="s">
        <v>916</v>
      </c>
      <c r="T372" s="210">
        <f>_xlfn.IFNA(VLOOKUP(Mon_ILR2[[#This Row],[New Model]],PhilipsLibary[],4,FALSE),"0")</f>
        <v>4869</v>
      </c>
      <c r="U372" s="215">
        <f>_xlfn.IFNA(VLOOKUP(Mon_ILR2[[#This Row],[New Model]],PhilipsLibary[],5,FALSE),"0")</f>
        <v>0</v>
      </c>
      <c r="V372" s="215">
        <f>_xlfn.IFNA(VLOOKUP(Mon_ILR2[[#This Row],[New Model]],PhilipsLibary[],5,FALSE),"0")</f>
        <v>0</v>
      </c>
      <c r="W372" s="215">
        <f>Mon_ILR2[[#This Row],[Accessory Rate]]+Mon_ILR2[[#This Row],[Mounting Rate]]+Mon_ILR2[[#This Row],[Unit Rate]]*Mon_ILR2[[#This Row],[New Quantity Required ]]</f>
        <v>4869</v>
      </c>
      <c r="X372" s="8"/>
      <c r="Y372" s="246"/>
    </row>
    <row r="373" spans="2:25" ht="15.75" customHeight="1" x14ac:dyDescent="0.25">
      <c r="B373" s="207" t="s">
        <v>35</v>
      </c>
      <c r="C373" s="66" t="s">
        <v>120</v>
      </c>
      <c r="D373" s="4" t="s">
        <v>134</v>
      </c>
      <c r="E373" s="4" t="s">
        <v>1072</v>
      </c>
      <c r="F373" s="4" t="s">
        <v>917</v>
      </c>
      <c r="G373" s="4" t="s">
        <v>1093</v>
      </c>
      <c r="H373" s="208">
        <v>1</v>
      </c>
      <c r="I373" s="4"/>
      <c r="J373" s="15"/>
      <c r="K373" s="4" t="str">
        <f>_xlfn.IFNA(VLOOKUP($J373,WH_Data[],6,FALSE),"")</f>
        <v/>
      </c>
      <c r="L373" s="4" t="str">
        <f>_xlfn.IFNA(VLOOKUP($J373,WH_Data[],3,FALSE),"")</f>
        <v/>
      </c>
      <c r="M373" s="4" t="str">
        <f>_xlfn.IFNA(VLOOKUP($J373,WH_Data[],5,FALSE),"")</f>
        <v/>
      </c>
      <c r="N373" s="4" t="str">
        <f>_xlfn.IFNA(VLOOKUP($J373,WH_Data[],7,FALSE),"")</f>
        <v/>
      </c>
      <c r="O373" s="4" t="str">
        <f>_xlfn.IFNA(VLOOKUP($J373,WH_Data[],8,FALSE),"")</f>
        <v/>
      </c>
      <c r="P373" s="8"/>
      <c r="Q373" s="209">
        <f>Mon_ILR2[[#This Row],[Qty Required]]-Mon_ILR2[[#This Row],[QTY Transfer]]</f>
        <v>1</v>
      </c>
      <c r="R373" s="66" t="s">
        <v>905</v>
      </c>
      <c r="S373" s="66" t="s">
        <v>916</v>
      </c>
      <c r="T373" s="210">
        <f>_xlfn.IFNA(VLOOKUP(Mon_ILR2[[#This Row],[New Model]],PhilipsLibary[],4,FALSE),"0")</f>
        <v>4869</v>
      </c>
      <c r="U373" s="215">
        <f>_xlfn.IFNA(VLOOKUP(Mon_ILR2[[#This Row],[New Model]],PhilipsLibary[],5,FALSE),"0")</f>
        <v>0</v>
      </c>
      <c r="V373" s="215">
        <f>_xlfn.IFNA(VLOOKUP(Mon_ILR2[[#This Row],[New Model]],PhilipsLibary[],5,FALSE),"0")</f>
        <v>0</v>
      </c>
      <c r="W373" s="215">
        <f>Mon_ILR2[[#This Row],[Accessory Rate]]+Mon_ILR2[[#This Row],[Mounting Rate]]+Mon_ILR2[[#This Row],[Unit Rate]]*Mon_ILR2[[#This Row],[New Quantity Required ]]</f>
        <v>4869</v>
      </c>
      <c r="X373" s="8"/>
      <c r="Y373" s="246"/>
    </row>
    <row r="374" spans="2:25" ht="15.75" customHeight="1" x14ac:dyDescent="0.25">
      <c r="B374" s="207" t="s">
        <v>35</v>
      </c>
      <c r="C374" s="66" t="s">
        <v>120</v>
      </c>
      <c r="D374" s="4" t="s">
        <v>138</v>
      </c>
      <c r="E374" s="4" t="s">
        <v>1072</v>
      </c>
      <c r="F374" s="4" t="s">
        <v>917</v>
      </c>
      <c r="G374" s="4" t="s">
        <v>1093</v>
      </c>
      <c r="H374" s="208">
        <v>1</v>
      </c>
      <c r="I374" s="4"/>
      <c r="J374" s="15"/>
      <c r="K374" s="4" t="str">
        <f>_xlfn.IFNA(VLOOKUP($J374,WH_Data[],6,FALSE),"")</f>
        <v/>
      </c>
      <c r="L374" s="4" t="str">
        <f>_xlfn.IFNA(VLOOKUP($J374,WH_Data[],3,FALSE),"")</f>
        <v/>
      </c>
      <c r="M374" s="4" t="str">
        <f>_xlfn.IFNA(VLOOKUP($J374,WH_Data[],5,FALSE),"")</f>
        <v/>
      </c>
      <c r="N374" s="4" t="str">
        <f>_xlfn.IFNA(VLOOKUP($J374,WH_Data[],7,FALSE),"")</f>
        <v/>
      </c>
      <c r="O374" s="4" t="str">
        <f>_xlfn.IFNA(VLOOKUP($J374,WH_Data[],8,FALSE),"")</f>
        <v/>
      </c>
      <c r="P374" s="8"/>
      <c r="Q374" s="209">
        <f>Mon_ILR2[[#This Row],[Qty Required]]-Mon_ILR2[[#This Row],[QTY Transfer]]</f>
        <v>1</v>
      </c>
      <c r="R374" s="66" t="s">
        <v>905</v>
      </c>
      <c r="S374" s="66" t="s">
        <v>916</v>
      </c>
      <c r="T374" s="210">
        <f>_xlfn.IFNA(VLOOKUP(Mon_ILR2[[#This Row],[New Model]],PhilipsLibary[],4,FALSE),"0")</f>
        <v>4869</v>
      </c>
      <c r="U374" s="215">
        <f>_xlfn.IFNA(VLOOKUP(Mon_ILR2[[#This Row],[New Model]],PhilipsLibary[],5,FALSE),"0")</f>
        <v>0</v>
      </c>
      <c r="V374" s="215">
        <f>_xlfn.IFNA(VLOOKUP(Mon_ILR2[[#This Row],[New Model]],PhilipsLibary[],5,FALSE),"0")</f>
        <v>0</v>
      </c>
      <c r="W374" s="215">
        <f>Mon_ILR2[[#This Row],[Accessory Rate]]+Mon_ILR2[[#This Row],[Mounting Rate]]+Mon_ILR2[[#This Row],[Unit Rate]]*Mon_ILR2[[#This Row],[New Quantity Required ]]</f>
        <v>4869</v>
      </c>
      <c r="X374" s="8"/>
      <c r="Y374" s="246"/>
    </row>
    <row r="375" spans="2:25" ht="15.75" customHeight="1" x14ac:dyDescent="0.25">
      <c r="B375" s="207" t="s">
        <v>35</v>
      </c>
      <c r="C375" s="66" t="s">
        <v>141</v>
      </c>
      <c r="D375" s="4" t="s">
        <v>142</v>
      </c>
      <c r="E375" s="4" t="s">
        <v>1072</v>
      </c>
      <c r="F375" s="4" t="s">
        <v>917</v>
      </c>
      <c r="G375" s="4" t="s">
        <v>1093</v>
      </c>
      <c r="H375" s="208">
        <v>1</v>
      </c>
      <c r="I375" s="4"/>
      <c r="J375" s="15"/>
      <c r="K375" s="4" t="str">
        <f>_xlfn.IFNA(VLOOKUP($J375,WH_Data[],6,FALSE),"")</f>
        <v/>
      </c>
      <c r="L375" s="4" t="str">
        <f>_xlfn.IFNA(VLOOKUP($J375,WH_Data[],3,FALSE),"")</f>
        <v/>
      </c>
      <c r="M375" s="4" t="str">
        <f>_xlfn.IFNA(VLOOKUP($J375,WH_Data[],5,FALSE),"")</f>
        <v/>
      </c>
      <c r="N375" s="4" t="str">
        <f>_xlfn.IFNA(VLOOKUP($J375,WH_Data[],7,FALSE),"")</f>
        <v/>
      </c>
      <c r="O375" s="4" t="str">
        <f>_xlfn.IFNA(VLOOKUP($J375,WH_Data[],8,FALSE),"")</f>
        <v/>
      </c>
      <c r="P375" s="8"/>
      <c r="Q375" s="209">
        <f>Mon_ILR2[[#This Row],[Qty Required]]-Mon_ILR2[[#This Row],[QTY Transfer]]</f>
        <v>1</v>
      </c>
      <c r="R375" s="66" t="s">
        <v>905</v>
      </c>
      <c r="S375" s="66" t="s">
        <v>916</v>
      </c>
      <c r="T375" s="210">
        <f>_xlfn.IFNA(VLOOKUP(Mon_ILR2[[#This Row],[New Model]],PhilipsLibary[],4,FALSE),"0")</f>
        <v>4869</v>
      </c>
      <c r="U375" s="215">
        <f>_xlfn.IFNA(VLOOKUP(Mon_ILR2[[#This Row],[New Model]],PhilipsLibary[],5,FALSE),"0")</f>
        <v>0</v>
      </c>
      <c r="V375" s="215">
        <f>_xlfn.IFNA(VLOOKUP(Mon_ILR2[[#This Row],[New Model]],PhilipsLibary[],5,FALSE),"0")</f>
        <v>0</v>
      </c>
      <c r="W375" s="215">
        <f>Mon_ILR2[[#This Row],[Accessory Rate]]+Mon_ILR2[[#This Row],[Mounting Rate]]+Mon_ILR2[[#This Row],[Unit Rate]]*Mon_ILR2[[#This Row],[New Quantity Required ]]</f>
        <v>4869</v>
      </c>
      <c r="X375" s="8"/>
      <c r="Y375" s="246"/>
    </row>
    <row r="376" spans="2:25" ht="15.75" customHeight="1" x14ac:dyDescent="0.25">
      <c r="B376" s="207" t="s">
        <v>35</v>
      </c>
      <c r="C376" s="66" t="s">
        <v>145</v>
      </c>
      <c r="D376" s="4" t="s">
        <v>146</v>
      </c>
      <c r="E376" s="4" t="s">
        <v>1072</v>
      </c>
      <c r="F376" s="4" t="s">
        <v>917</v>
      </c>
      <c r="G376" s="4" t="s">
        <v>1093</v>
      </c>
      <c r="H376" s="208">
        <v>1</v>
      </c>
      <c r="I376" s="4"/>
      <c r="J376" s="15"/>
      <c r="K376" s="4" t="str">
        <f>_xlfn.IFNA(VLOOKUP($J376,WH_Data[],6,FALSE),"")</f>
        <v/>
      </c>
      <c r="L376" s="4" t="str">
        <f>_xlfn.IFNA(VLOOKUP($J376,WH_Data[],3,FALSE),"")</f>
        <v/>
      </c>
      <c r="M376" s="4" t="str">
        <f>_xlfn.IFNA(VLOOKUP($J376,WH_Data[],5,FALSE),"")</f>
        <v/>
      </c>
      <c r="N376" s="4" t="str">
        <f>_xlfn.IFNA(VLOOKUP($J376,WH_Data[],7,FALSE),"")</f>
        <v/>
      </c>
      <c r="O376" s="4" t="str">
        <f>_xlfn.IFNA(VLOOKUP($J376,WH_Data[],8,FALSE),"")</f>
        <v/>
      </c>
      <c r="P376" s="8"/>
      <c r="Q376" s="209">
        <f>Mon_ILR2[[#This Row],[Qty Required]]-Mon_ILR2[[#This Row],[QTY Transfer]]</f>
        <v>1</v>
      </c>
      <c r="R376" s="66" t="s">
        <v>905</v>
      </c>
      <c r="S376" s="66" t="s">
        <v>916</v>
      </c>
      <c r="T376" s="210">
        <f>_xlfn.IFNA(VLOOKUP(Mon_ILR2[[#This Row],[New Model]],PhilipsLibary[],4,FALSE),"0")</f>
        <v>4869</v>
      </c>
      <c r="U376" s="215">
        <f>_xlfn.IFNA(VLOOKUP(Mon_ILR2[[#This Row],[New Model]],PhilipsLibary[],5,FALSE),"0")</f>
        <v>0</v>
      </c>
      <c r="V376" s="215">
        <f>_xlfn.IFNA(VLOOKUP(Mon_ILR2[[#This Row],[New Model]],PhilipsLibary[],5,FALSE),"0")</f>
        <v>0</v>
      </c>
      <c r="W376" s="215">
        <f>Mon_ILR2[[#This Row],[Accessory Rate]]+Mon_ILR2[[#This Row],[Mounting Rate]]+Mon_ILR2[[#This Row],[Unit Rate]]*Mon_ILR2[[#This Row],[New Quantity Required ]]</f>
        <v>4869</v>
      </c>
      <c r="X376" s="8"/>
      <c r="Y376" s="246"/>
    </row>
    <row r="377" spans="2:25" ht="15.75" customHeight="1" x14ac:dyDescent="0.25">
      <c r="B377" s="207" t="s">
        <v>35</v>
      </c>
      <c r="C377" s="66" t="s">
        <v>149</v>
      </c>
      <c r="D377" s="4" t="s">
        <v>150</v>
      </c>
      <c r="E377" s="4" t="s">
        <v>1072</v>
      </c>
      <c r="F377" s="4" t="s">
        <v>917</v>
      </c>
      <c r="G377" s="4" t="s">
        <v>1093</v>
      </c>
      <c r="H377" s="208">
        <v>1</v>
      </c>
      <c r="I377" s="4"/>
      <c r="J377" s="15"/>
      <c r="K377" s="4" t="str">
        <f>_xlfn.IFNA(VLOOKUP($J377,WH_Data[],6,FALSE),"")</f>
        <v/>
      </c>
      <c r="L377" s="4" t="str">
        <f>_xlfn.IFNA(VLOOKUP($J377,WH_Data[],3,FALSE),"")</f>
        <v/>
      </c>
      <c r="M377" s="4" t="str">
        <f>_xlfn.IFNA(VLOOKUP($J377,WH_Data[],5,FALSE),"")</f>
        <v/>
      </c>
      <c r="N377" s="4" t="str">
        <f>_xlfn.IFNA(VLOOKUP($J377,WH_Data[],7,FALSE),"")</f>
        <v/>
      </c>
      <c r="O377" s="4" t="str">
        <f>_xlfn.IFNA(VLOOKUP($J377,WH_Data[],8,FALSE),"")</f>
        <v/>
      </c>
      <c r="P377" s="8"/>
      <c r="Q377" s="209">
        <f>Mon_ILR2[[#This Row],[Qty Required]]-Mon_ILR2[[#This Row],[QTY Transfer]]</f>
        <v>1</v>
      </c>
      <c r="R377" s="66" t="s">
        <v>905</v>
      </c>
      <c r="S377" s="66" t="s">
        <v>916</v>
      </c>
      <c r="T377" s="210">
        <f>_xlfn.IFNA(VLOOKUP(Mon_ILR2[[#This Row],[New Model]],PhilipsLibary[],4,FALSE),"0")</f>
        <v>4869</v>
      </c>
      <c r="U377" s="215">
        <f>_xlfn.IFNA(VLOOKUP(Mon_ILR2[[#This Row],[New Model]],PhilipsLibary[],5,FALSE),"0")</f>
        <v>0</v>
      </c>
      <c r="V377" s="215">
        <f>_xlfn.IFNA(VLOOKUP(Mon_ILR2[[#This Row],[New Model]],PhilipsLibary[],5,FALSE),"0")</f>
        <v>0</v>
      </c>
      <c r="W377" s="215">
        <f>Mon_ILR2[[#This Row],[Accessory Rate]]+Mon_ILR2[[#This Row],[Mounting Rate]]+Mon_ILR2[[#This Row],[Unit Rate]]*Mon_ILR2[[#This Row],[New Quantity Required ]]</f>
        <v>4869</v>
      </c>
      <c r="X377" s="8"/>
      <c r="Y377" s="246"/>
    </row>
    <row r="378" spans="2:25" ht="15.75" customHeight="1" x14ac:dyDescent="0.25">
      <c r="B378" s="207" t="s">
        <v>35</v>
      </c>
      <c r="C378" s="66" t="s">
        <v>153</v>
      </c>
      <c r="D378" s="4" t="s">
        <v>154</v>
      </c>
      <c r="E378" s="4" t="s">
        <v>1072</v>
      </c>
      <c r="F378" s="4" t="s">
        <v>917</v>
      </c>
      <c r="G378" s="4" t="s">
        <v>1093</v>
      </c>
      <c r="H378" s="208">
        <v>1</v>
      </c>
      <c r="I378" s="4"/>
      <c r="J378" s="15"/>
      <c r="K378" s="4" t="str">
        <f>_xlfn.IFNA(VLOOKUP($J378,WH_Data[],6,FALSE),"")</f>
        <v/>
      </c>
      <c r="L378" s="4" t="str">
        <f>_xlfn.IFNA(VLOOKUP($J378,WH_Data[],3,FALSE),"")</f>
        <v/>
      </c>
      <c r="M378" s="4" t="str">
        <f>_xlfn.IFNA(VLOOKUP($J378,WH_Data[],5,FALSE),"")</f>
        <v/>
      </c>
      <c r="N378" s="4" t="str">
        <f>_xlfn.IFNA(VLOOKUP($J378,WH_Data[],7,FALSE),"")</f>
        <v/>
      </c>
      <c r="O378" s="4" t="str">
        <f>_xlfn.IFNA(VLOOKUP($J378,WH_Data[],8,FALSE),"")</f>
        <v/>
      </c>
      <c r="P378" s="8"/>
      <c r="Q378" s="209">
        <f>Mon_ILR2[[#This Row],[Qty Required]]-Mon_ILR2[[#This Row],[QTY Transfer]]</f>
        <v>1</v>
      </c>
      <c r="R378" s="66" t="s">
        <v>905</v>
      </c>
      <c r="S378" s="66" t="s">
        <v>916</v>
      </c>
      <c r="T378" s="210">
        <f>_xlfn.IFNA(VLOOKUP(Mon_ILR2[[#This Row],[New Model]],PhilipsLibary[],4,FALSE),"0")</f>
        <v>4869</v>
      </c>
      <c r="U378" s="215">
        <f>_xlfn.IFNA(VLOOKUP(Mon_ILR2[[#This Row],[New Model]],PhilipsLibary[],5,FALSE),"0")</f>
        <v>0</v>
      </c>
      <c r="V378" s="215">
        <f>_xlfn.IFNA(VLOOKUP(Mon_ILR2[[#This Row],[New Model]],PhilipsLibary[],5,FALSE),"0")</f>
        <v>0</v>
      </c>
      <c r="W378" s="215">
        <f>Mon_ILR2[[#This Row],[Accessory Rate]]+Mon_ILR2[[#This Row],[Mounting Rate]]+Mon_ILR2[[#This Row],[Unit Rate]]*Mon_ILR2[[#This Row],[New Quantity Required ]]</f>
        <v>4869</v>
      </c>
      <c r="X378" s="8"/>
      <c r="Y378" s="246"/>
    </row>
    <row r="379" spans="2:25" ht="15.75" customHeight="1" x14ac:dyDescent="0.25">
      <c r="B379" s="207" t="s">
        <v>35</v>
      </c>
      <c r="C379" s="66" t="s">
        <v>157</v>
      </c>
      <c r="D379" s="4" t="s">
        <v>158</v>
      </c>
      <c r="E379" s="4" t="s">
        <v>1072</v>
      </c>
      <c r="F379" s="4" t="s">
        <v>917</v>
      </c>
      <c r="G379" s="4" t="s">
        <v>1093</v>
      </c>
      <c r="H379" s="208">
        <v>1</v>
      </c>
      <c r="I379" s="4"/>
      <c r="J379" s="15"/>
      <c r="K379" s="4" t="str">
        <f>_xlfn.IFNA(VLOOKUP($J379,WH_Data[],6,FALSE),"")</f>
        <v/>
      </c>
      <c r="L379" s="4" t="str">
        <f>_xlfn.IFNA(VLOOKUP($J379,WH_Data[],3,FALSE),"")</f>
        <v/>
      </c>
      <c r="M379" s="4" t="str">
        <f>_xlfn.IFNA(VLOOKUP($J379,WH_Data[],5,FALSE),"")</f>
        <v/>
      </c>
      <c r="N379" s="4" t="str">
        <f>_xlfn.IFNA(VLOOKUP($J379,WH_Data[],7,FALSE),"")</f>
        <v/>
      </c>
      <c r="O379" s="4" t="str">
        <f>_xlfn.IFNA(VLOOKUP($J379,WH_Data[],8,FALSE),"")</f>
        <v/>
      </c>
      <c r="P379" s="8"/>
      <c r="Q379" s="209">
        <f>Mon_ILR2[[#This Row],[Qty Required]]-Mon_ILR2[[#This Row],[QTY Transfer]]</f>
        <v>1</v>
      </c>
      <c r="R379" s="66" t="s">
        <v>905</v>
      </c>
      <c r="S379" s="66" t="s">
        <v>916</v>
      </c>
      <c r="T379" s="210">
        <f>_xlfn.IFNA(VLOOKUP(Mon_ILR2[[#This Row],[New Model]],PhilipsLibary[],4,FALSE),"0")</f>
        <v>4869</v>
      </c>
      <c r="U379" s="215">
        <f>_xlfn.IFNA(VLOOKUP(Mon_ILR2[[#This Row],[New Model]],PhilipsLibary[],5,FALSE),"0")</f>
        <v>0</v>
      </c>
      <c r="V379" s="215">
        <f>_xlfn.IFNA(VLOOKUP(Mon_ILR2[[#This Row],[New Model]],PhilipsLibary[],5,FALSE),"0")</f>
        <v>0</v>
      </c>
      <c r="W379" s="215">
        <f>Mon_ILR2[[#This Row],[Accessory Rate]]+Mon_ILR2[[#This Row],[Mounting Rate]]+Mon_ILR2[[#This Row],[Unit Rate]]*Mon_ILR2[[#This Row],[New Quantity Required ]]</f>
        <v>4869</v>
      </c>
      <c r="X379" s="8"/>
      <c r="Y379" s="246"/>
    </row>
    <row r="380" spans="2:25" ht="15.75" customHeight="1" x14ac:dyDescent="0.25">
      <c r="B380" s="207" t="s">
        <v>35</v>
      </c>
      <c r="C380" s="66" t="s">
        <v>866</v>
      </c>
      <c r="D380" s="4" t="s">
        <v>867</v>
      </c>
      <c r="E380" s="4" t="s">
        <v>1072</v>
      </c>
      <c r="F380" s="4" t="s">
        <v>917</v>
      </c>
      <c r="G380" s="4" t="s">
        <v>1093</v>
      </c>
      <c r="H380" s="208">
        <v>1</v>
      </c>
      <c r="I380" s="4"/>
      <c r="J380" s="15"/>
      <c r="K380" s="4" t="str">
        <f>_xlfn.IFNA(VLOOKUP($J380,WH_Data[],6,FALSE),"")</f>
        <v/>
      </c>
      <c r="L380" s="4" t="str">
        <f>_xlfn.IFNA(VLOOKUP($J380,WH_Data[],3,FALSE),"")</f>
        <v/>
      </c>
      <c r="M380" s="4" t="str">
        <f>_xlfn.IFNA(VLOOKUP($J380,WH_Data[],5,FALSE),"")</f>
        <v/>
      </c>
      <c r="N380" s="4" t="str">
        <f>_xlfn.IFNA(VLOOKUP($J380,WH_Data[],7,FALSE),"")</f>
        <v/>
      </c>
      <c r="O380" s="4" t="str">
        <f>_xlfn.IFNA(VLOOKUP($J380,WH_Data[],8,FALSE),"")</f>
        <v/>
      </c>
      <c r="P380" s="8"/>
      <c r="Q380" s="209">
        <f>Mon_ILR2[[#This Row],[Qty Required]]-Mon_ILR2[[#This Row],[QTY Transfer]]</f>
        <v>1</v>
      </c>
      <c r="R380" s="66" t="s">
        <v>905</v>
      </c>
      <c r="S380" s="66" t="s">
        <v>916</v>
      </c>
      <c r="T380" s="210">
        <f>_xlfn.IFNA(VLOOKUP(Mon_ILR2[[#This Row],[New Model]],PhilipsLibary[],4,FALSE),"0")</f>
        <v>4869</v>
      </c>
      <c r="U380" s="215">
        <f>_xlfn.IFNA(VLOOKUP(Mon_ILR2[[#This Row],[New Model]],PhilipsLibary[],5,FALSE),"0")</f>
        <v>0</v>
      </c>
      <c r="V380" s="215">
        <f>_xlfn.IFNA(VLOOKUP(Mon_ILR2[[#This Row],[New Model]],PhilipsLibary[],5,FALSE),"0")</f>
        <v>0</v>
      </c>
      <c r="W380" s="215">
        <f>Mon_ILR2[[#This Row],[Accessory Rate]]+Mon_ILR2[[#This Row],[Mounting Rate]]+Mon_ILR2[[#This Row],[Unit Rate]]*Mon_ILR2[[#This Row],[New Quantity Required ]]</f>
        <v>4869</v>
      </c>
      <c r="X380" s="8"/>
      <c r="Y380" s="246"/>
    </row>
    <row r="381" spans="2:25" ht="15.75" customHeight="1" x14ac:dyDescent="0.25">
      <c r="B381" s="207" t="s">
        <v>35</v>
      </c>
      <c r="C381" s="66" t="s">
        <v>868</v>
      </c>
      <c r="D381" s="4" t="s">
        <v>869</v>
      </c>
      <c r="E381" s="4" t="s">
        <v>1072</v>
      </c>
      <c r="F381" s="4" t="s">
        <v>917</v>
      </c>
      <c r="G381" s="4" t="s">
        <v>1093</v>
      </c>
      <c r="H381" s="208">
        <v>1</v>
      </c>
      <c r="I381" s="4"/>
      <c r="J381" s="15"/>
      <c r="K381" s="4" t="str">
        <f>_xlfn.IFNA(VLOOKUP($J381,WH_Data[],6,FALSE),"")</f>
        <v/>
      </c>
      <c r="L381" s="4" t="str">
        <f>_xlfn.IFNA(VLOOKUP($J381,WH_Data[],3,FALSE),"")</f>
        <v/>
      </c>
      <c r="M381" s="4" t="str">
        <f>_xlfn.IFNA(VLOOKUP($J381,WH_Data[],5,FALSE),"")</f>
        <v/>
      </c>
      <c r="N381" s="4" t="str">
        <f>_xlfn.IFNA(VLOOKUP($J381,WH_Data[],7,FALSE),"")</f>
        <v/>
      </c>
      <c r="O381" s="4" t="str">
        <f>_xlfn.IFNA(VLOOKUP($J381,WH_Data[],8,FALSE),"")</f>
        <v/>
      </c>
      <c r="P381" s="8"/>
      <c r="Q381" s="209">
        <f>Mon_ILR2[[#This Row],[Qty Required]]-Mon_ILR2[[#This Row],[QTY Transfer]]</f>
        <v>1</v>
      </c>
      <c r="R381" s="66" t="s">
        <v>905</v>
      </c>
      <c r="S381" s="66" t="s">
        <v>916</v>
      </c>
      <c r="T381" s="210">
        <f>_xlfn.IFNA(VLOOKUP(Mon_ILR2[[#This Row],[New Model]],PhilipsLibary[],4,FALSE),"0")</f>
        <v>4869</v>
      </c>
      <c r="U381" s="215">
        <f>_xlfn.IFNA(VLOOKUP(Mon_ILR2[[#This Row],[New Model]],PhilipsLibary[],5,FALSE),"0")</f>
        <v>0</v>
      </c>
      <c r="V381" s="215">
        <f>_xlfn.IFNA(VLOOKUP(Mon_ILR2[[#This Row],[New Model]],PhilipsLibary[],5,FALSE),"0")</f>
        <v>0</v>
      </c>
      <c r="W381" s="215">
        <f>Mon_ILR2[[#This Row],[Accessory Rate]]+Mon_ILR2[[#This Row],[Mounting Rate]]+Mon_ILR2[[#This Row],[Unit Rate]]*Mon_ILR2[[#This Row],[New Quantity Required ]]</f>
        <v>4869</v>
      </c>
      <c r="X381" s="8"/>
      <c r="Y381" s="246"/>
    </row>
    <row r="382" spans="2:25" ht="15.75" customHeight="1" x14ac:dyDescent="0.25">
      <c r="B382" s="207" t="s">
        <v>35</v>
      </c>
      <c r="C382" s="66" t="s">
        <v>872</v>
      </c>
      <c r="D382" s="4" t="s">
        <v>873</v>
      </c>
      <c r="E382" s="4" t="s">
        <v>1072</v>
      </c>
      <c r="F382" s="4" t="s">
        <v>917</v>
      </c>
      <c r="G382" s="4" t="s">
        <v>1093</v>
      </c>
      <c r="H382" s="208">
        <v>1</v>
      </c>
      <c r="I382" s="4"/>
      <c r="J382" s="15"/>
      <c r="K382" s="4" t="str">
        <f>_xlfn.IFNA(VLOOKUP($J382,WH_Data[],6,FALSE),"")</f>
        <v/>
      </c>
      <c r="L382" s="4" t="str">
        <f>_xlfn.IFNA(VLOOKUP($J382,WH_Data[],3,FALSE),"")</f>
        <v/>
      </c>
      <c r="M382" s="4" t="str">
        <f>_xlfn.IFNA(VLOOKUP($J382,WH_Data[],5,FALSE),"")</f>
        <v/>
      </c>
      <c r="N382" s="4" t="str">
        <f>_xlfn.IFNA(VLOOKUP($J382,WH_Data[],7,FALSE),"")</f>
        <v/>
      </c>
      <c r="O382" s="4" t="str">
        <f>_xlfn.IFNA(VLOOKUP($J382,WH_Data[],8,FALSE),"")</f>
        <v/>
      </c>
      <c r="P382" s="8"/>
      <c r="Q382" s="209">
        <f>Mon_ILR2[[#This Row],[Qty Required]]-Mon_ILR2[[#This Row],[QTY Transfer]]</f>
        <v>1</v>
      </c>
      <c r="R382" s="66" t="s">
        <v>905</v>
      </c>
      <c r="S382" s="66" t="s">
        <v>916</v>
      </c>
      <c r="T382" s="210">
        <f>_xlfn.IFNA(VLOOKUP(Mon_ILR2[[#This Row],[New Model]],PhilipsLibary[],4,FALSE),"0")</f>
        <v>4869</v>
      </c>
      <c r="U382" s="215">
        <f>_xlfn.IFNA(VLOOKUP(Mon_ILR2[[#This Row],[New Model]],PhilipsLibary[],5,FALSE),"0")</f>
        <v>0</v>
      </c>
      <c r="V382" s="215">
        <f>_xlfn.IFNA(VLOOKUP(Mon_ILR2[[#This Row],[New Model]],PhilipsLibary[],5,FALSE),"0")</f>
        <v>0</v>
      </c>
      <c r="W382" s="215">
        <f>Mon_ILR2[[#This Row],[Accessory Rate]]+Mon_ILR2[[#This Row],[Mounting Rate]]+Mon_ILR2[[#This Row],[Unit Rate]]*Mon_ILR2[[#This Row],[New Quantity Required ]]</f>
        <v>4869</v>
      </c>
      <c r="X382" s="8"/>
      <c r="Y382" s="246"/>
    </row>
    <row r="383" spans="2:25" ht="15.75" customHeight="1" x14ac:dyDescent="0.25">
      <c r="B383" s="207" t="s">
        <v>35</v>
      </c>
      <c r="C383" s="66" t="s">
        <v>868</v>
      </c>
      <c r="D383" s="4" t="s">
        <v>874</v>
      </c>
      <c r="E383" s="4" t="s">
        <v>1072</v>
      </c>
      <c r="F383" s="4" t="s">
        <v>917</v>
      </c>
      <c r="G383" s="4" t="s">
        <v>1093</v>
      </c>
      <c r="H383" s="208">
        <v>1</v>
      </c>
      <c r="I383" s="4"/>
      <c r="J383" s="15"/>
      <c r="K383" s="4" t="str">
        <f>_xlfn.IFNA(VLOOKUP($J383,WH_Data[],6,FALSE),"")</f>
        <v/>
      </c>
      <c r="L383" s="4" t="str">
        <f>_xlfn.IFNA(VLOOKUP($J383,WH_Data[],3,FALSE),"")</f>
        <v/>
      </c>
      <c r="M383" s="4" t="str">
        <f>_xlfn.IFNA(VLOOKUP($J383,WH_Data[],5,FALSE),"")</f>
        <v/>
      </c>
      <c r="N383" s="4" t="str">
        <f>_xlfn.IFNA(VLOOKUP($J383,WH_Data[],7,FALSE),"")</f>
        <v/>
      </c>
      <c r="O383" s="4" t="str">
        <f>_xlfn.IFNA(VLOOKUP($J383,WH_Data[],8,FALSE),"")</f>
        <v/>
      </c>
      <c r="P383" s="8"/>
      <c r="Q383" s="209">
        <f>Mon_ILR2[[#This Row],[Qty Required]]-Mon_ILR2[[#This Row],[QTY Transfer]]</f>
        <v>1</v>
      </c>
      <c r="R383" s="66" t="s">
        <v>905</v>
      </c>
      <c r="S383" s="66" t="s">
        <v>916</v>
      </c>
      <c r="T383" s="210">
        <f>_xlfn.IFNA(VLOOKUP(Mon_ILR2[[#This Row],[New Model]],PhilipsLibary[],4,FALSE),"0")</f>
        <v>4869</v>
      </c>
      <c r="U383" s="215">
        <f>_xlfn.IFNA(VLOOKUP(Mon_ILR2[[#This Row],[New Model]],PhilipsLibary[],5,FALSE),"0")</f>
        <v>0</v>
      </c>
      <c r="V383" s="215">
        <f>_xlfn.IFNA(VLOOKUP(Mon_ILR2[[#This Row],[New Model]],PhilipsLibary[],5,FALSE),"0")</f>
        <v>0</v>
      </c>
      <c r="W383" s="215">
        <f>Mon_ILR2[[#This Row],[Accessory Rate]]+Mon_ILR2[[#This Row],[Mounting Rate]]+Mon_ILR2[[#This Row],[Unit Rate]]*Mon_ILR2[[#This Row],[New Quantity Required ]]</f>
        <v>4869</v>
      </c>
      <c r="X383" s="8"/>
      <c r="Y383" s="246"/>
    </row>
    <row r="384" spans="2:25" ht="15.75" customHeight="1" x14ac:dyDescent="0.25">
      <c r="B384" s="207" t="s">
        <v>35</v>
      </c>
      <c r="C384" s="66" t="s">
        <v>872</v>
      </c>
      <c r="D384" s="4" t="s">
        <v>878</v>
      </c>
      <c r="E384" s="4" t="s">
        <v>1072</v>
      </c>
      <c r="F384" s="4" t="s">
        <v>917</v>
      </c>
      <c r="G384" s="4" t="s">
        <v>1093</v>
      </c>
      <c r="H384" s="208">
        <v>1</v>
      </c>
      <c r="I384" s="4"/>
      <c r="J384" s="15"/>
      <c r="K384" s="4" t="str">
        <f>_xlfn.IFNA(VLOOKUP($J384,WH_Data[],6,FALSE),"")</f>
        <v/>
      </c>
      <c r="L384" s="4" t="str">
        <f>_xlfn.IFNA(VLOOKUP($J384,WH_Data[],3,FALSE),"")</f>
        <v/>
      </c>
      <c r="M384" s="4" t="str">
        <f>_xlfn.IFNA(VLOOKUP($J384,WH_Data[],5,FALSE),"")</f>
        <v/>
      </c>
      <c r="N384" s="4" t="str">
        <f>_xlfn.IFNA(VLOOKUP($J384,WH_Data[],7,FALSE),"")</f>
        <v/>
      </c>
      <c r="O384" s="4" t="str">
        <f>_xlfn.IFNA(VLOOKUP($J384,WH_Data[],8,FALSE),"")</f>
        <v/>
      </c>
      <c r="P384" s="8"/>
      <c r="Q384" s="209">
        <f>Mon_ILR2[[#This Row],[Qty Required]]-Mon_ILR2[[#This Row],[QTY Transfer]]</f>
        <v>1</v>
      </c>
      <c r="R384" s="66" t="s">
        <v>905</v>
      </c>
      <c r="S384" s="66" t="s">
        <v>916</v>
      </c>
      <c r="T384" s="210">
        <f>_xlfn.IFNA(VLOOKUP(Mon_ILR2[[#This Row],[New Model]],PhilipsLibary[],4,FALSE),"0")</f>
        <v>4869</v>
      </c>
      <c r="U384" s="215">
        <f>_xlfn.IFNA(VLOOKUP(Mon_ILR2[[#This Row],[New Model]],PhilipsLibary[],5,FALSE),"0")</f>
        <v>0</v>
      </c>
      <c r="V384" s="215">
        <f>_xlfn.IFNA(VLOOKUP(Mon_ILR2[[#This Row],[New Model]],PhilipsLibary[],5,FALSE),"0")</f>
        <v>0</v>
      </c>
      <c r="W384" s="215">
        <f>Mon_ILR2[[#This Row],[Accessory Rate]]+Mon_ILR2[[#This Row],[Mounting Rate]]+Mon_ILR2[[#This Row],[Unit Rate]]*Mon_ILR2[[#This Row],[New Quantity Required ]]</f>
        <v>4869</v>
      </c>
      <c r="X384" s="8"/>
      <c r="Y384" s="246"/>
    </row>
    <row r="385" spans="2:25" ht="15.75" customHeight="1" x14ac:dyDescent="0.25">
      <c r="B385" s="207" t="s">
        <v>35</v>
      </c>
      <c r="C385" s="66" t="s">
        <v>872</v>
      </c>
      <c r="D385" s="4" t="s">
        <v>879</v>
      </c>
      <c r="E385" s="4" t="s">
        <v>1072</v>
      </c>
      <c r="F385" s="4" t="s">
        <v>917</v>
      </c>
      <c r="G385" s="4" t="s">
        <v>1093</v>
      </c>
      <c r="H385" s="208">
        <v>1</v>
      </c>
      <c r="I385" s="4"/>
      <c r="J385" s="15"/>
      <c r="K385" s="4" t="str">
        <f>_xlfn.IFNA(VLOOKUP($J385,WH_Data[],6,FALSE),"")</f>
        <v/>
      </c>
      <c r="L385" s="4" t="str">
        <f>_xlfn.IFNA(VLOOKUP($J385,WH_Data[],3,FALSE),"")</f>
        <v/>
      </c>
      <c r="M385" s="4" t="str">
        <f>_xlfn.IFNA(VLOOKUP($J385,WH_Data[],5,FALSE),"")</f>
        <v/>
      </c>
      <c r="N385" s="4" t="str">
        <f>_xlfn.IFNA(VLOOKUP($J385,WH_Data[],7,FALSE),"")</f>
        <v/>
      </c>
      <c r="O385" s="4" t="str">
        <f>_xlfn.IFNA(VLOOKUP($J385,WH_Data[],8,FALSE),"")</f>
        <v/>
      </c>
      <c r="P385" s="8"/>
      <c r="Q385" s="209">
        <f>Mon_ILR2[[#This Row],[Qty Required]]-Mon_ILR2[[#This Row],[QTY Transfer]]</f>
        <v>1</v>
      </c>
      <c r="R385" s="66" t="s">
        <v>905</v>
      </c>
      <c r="S385" s="66" t="s">
        <v>916</v>
      </c>
      <c r="T385" s="210">
        <f>_xlfn.IFNA(VLOOKUP(Mon_ILR2[[#This Row],[New Model]],PhilipsLibary[],4,FALSE),"0")</f>
        <v>4869</v>
      </c>
      <c r="U385" s="215">
        <f>_xlfn.IFNA(VLOOKUP(Mon_ILR2[[#This Row],[New Model]],PhilipsLibary[],5,FALSE),"0")</f>
        <v>0</v>
      </c>
      <c r="V385" s="215">
        <f>_xlfn.IFNA(VLOOKUP(Mon_ILR2[[#This Row],[New Model]],PhilipsLibary[],5,FALSE),"0")</f>
        <v>0</v>
      </c>
      <c r="W385" s="215">
        <f>Mon_ILR2[[#This Row],[Accessory Rate]]+Mon_ILR2[[#This Row],[Mounting Rate]]+Mon_ILR2[[#This Row],[Unit Rate]]*Mon_ILR2[[#This Row],[New Quantity Required ]]</f>
        <v>4869</v>
      </c>
      <c r="X385" s="8"/>
      <c r="Y385" s="246"/>
    </row>
    <row r="386" spans="2:25" ht="15.75" customHeight="1" x14ac:dyDescent="0.25">
      <c r="B386" s="207" t="s">
        <v>35</v>
      </c>
      <c r="C386" s="66" t="s">
        <v>872</v>
      </c>
      <c r="D386" s="4" t="s">
        <v>880</v>
      </c>
      <c r="E386" s="4" t="s">
        <v>1072</v>
      </c>
      <c r="F386" s="4" t="s">
        <v>917</v>
      </c>
      <c r="G386" s="4" t="s">
        <v>1093</v>
      </c>
      <c r="H386" s="208">
        <v>1</v>
      </c>
      <c r="I386" s="4"/>
      <c r="J386" s="15"/>
      <c r="K386" s="4" t="str">
        <f>_xlfn.IFNA(VLOOKUP($J386,WH_Data[],6,FALSE),"")</f>
        <v/>
      </c>
      <c r="L386" s="4" t="str">
        <f>_xlfn.IFNA(VLOOKUP($J386,WH_Data[],3,FALSE),"")</f>
        <v/>
      </c>
      <c r="M386" s="4" t="str">
        <f>_xlfn.IFNA(VLOOKUP($J386,WH_Data[],5,FALSE),"")</f>
        <v/>
      </c>
      <c r="N386" s="4" t="str">
        <f>_xlfn.IFNA(VLOOKUP($J386,WH_Data[],7,FALSE),"")</f>
        <v/>
      </c>
      <c r="O386" s="4" t="str">
        <f>_xlfn.IFNA(VLOOKUP($J386,WH_Data[],8,FALSE),"")</f>
        <v/>
      </c>
      <c r="P386" s="8"/>
      <c r="Q386" s="209">
        <f>Mon_ILR2[[#This Row],[Qty Required]]-Mon_ILR2[[#This Row],[QTY Transfer]]</f>
        <v>1</v>
      </c>
      <c r="R386" s="66" t="s">
        <v>905</v>
      </c>
      <c r="S386" s="66" t="s">
        <v>916</v>
      </c>
      <c r="T386" s="210">
        <f>_xlfn.IFNA(VLOOKUP(Mon_ILR2[[#This Row],[New Model]],PhilipsLibary[],4,FALSE),"0")</f>
        <v>4869</v>
      </c>
      <c r="U386" s="215">
        <f>_xlfn.IFNA(VLOOKUP(Mon_ILR2[[#This Row],[New Model]],PhilipsLibary[],5,FALSE),"0")</f>
        <v>0</v>
      </c>
      <c r="V386" s="215">
        <f>_xlfn.IFNA(VLOOKUP(Mon_ILR2[[#This Row],[New Model]],PhilipsLibary[],5,FALSE),"0")</f>
        <v>0</v>
      </c>
      <c r="W386" s="215">
        <f>Mon_ILR2[[#This Row],[Accessory Rate]]+Mon_ILR2[[#This Row],[Mounting Rate]]+Mon_ILR2[[#This Row],[Unit Rate]]*Mon_ILR2[[#This Row],[New Quantity Required ]]</f>
        <v>4869</v>
      </c>
      <c r="X386" s="8"/>
      <c r="Y386" s="246"/>
    </row>
    <row r="387" spans="2:25" ht="15.75" customHeight="1" x14ac:dyDescent="0.25">
      <c r="B387" s="207" t="s">
        <v>35</v>
      </c>
      <c r="C387" s="66" t="s">
        <v>872</v>
      </c>
      <c r="D387" s="4" t="s">
        <v>886</v>
      </c>
      <c r="E387" s="4" t="s">
        <v>1072</v>
      </c>
      <c r="F387" s="4" t="s">
        <v>917</v>
      </c>
      <c r="G387" s="4" t="s">
        <v>1093</v>
      </c>
      <c r="H387" s="208">
        <v>1</v>
      </c>
      <c r="I387" s="4"/>
      <c r="J387" s="15"/>
      <c r="K387" s="4" t="str">
        <f>_xlfn.IFNA(VLOOKUP($J387,WH_Data[],6,FALSE),"")</f>
        <v/>
      </c>
      <c r="L387" s="4" t="str">
        <f>_xlfn.IFNA(VLOOKUP($J387,WH_Data[],3,FALSE),"")</f>
        <v/>
      </c>
      <c r="M387" s="4" t="str">
        <f>_xlfn.IFNA(VLOOKUP($J387,WH_Data[],5,FALSE),"")</f>
        <v/>
      </c>
      <c r="N387" s="4" t="str">
        <f>_xlfn.IFNA(VLOOKUP($J387,WH_Data[],7,FALSE),"")</f>
        <v/>
      </c>
      <c r="O387" s="4" t="str">
        <f>_xlfn.IFNA(VLOOKUP($J387,WH_Data[],8,FALSE),"")</f>
        <v/>
      </c>
      <c r="P387" s="8"/>
      <c r="Q387" s="209">
        <f>Mon_ILR2[[#This Row],[Qty Required]]-Mon_ILR2[[#This Row],[QTY Transfer]]</f>
        <v>1</v>
      </c>
      <c r="R387" s="66" t="s">
        <v>905</v>
      </c>
      <c r="S387" s="66" t="s">
        <v>916</v>
      </c>
      <c r="T387" s="210">
        <f>_xlfn.IFNA(VLOOKUP(Mon_ILR2[[#This Row],[New Model]],PhilipsLibary[],4,FALSE),"0")</f>
        <v>4869</v>
      </c>
      <c r="U387" s="215">
        <f>_xlfn.IFNA(VLOOKUP(Mon_ILR2[[#This Row],[New Model]],PhilipsLibary[],5,FALSE),"0")</f>
        <v>0</v>
      </c>
      <c r="V387" s="215">
        <f>_xlfn.IFNA(VLOOKUP(Mon_ILR2[[#This Row],[New Model]],PhilipsLibary[],5,FALSE),"0")</f>
        <v>0</v>
      </c>
      <c r="W387" s="215">
        <f>Mon_ILR2[[#This Row],[Accessory Rate]]+Mon_ILR2[[#This Row],[Mounting Rate]]+Mon_ILR2[[#This Row],[Unit Rate]]*Mon_ILR2[[#This Row],[New Quantity Required ]]</f>
        <v>4869</v>
      </c>
      <c r="X387" s="8"/>
      <c r="Y387" s="246"/>
    </row>
    <row r="388" spans="2:25" ht="15.75" customHeight="1" x14ac:dyDescent="0.25">
      <c r="B388" s="207" t="s">
        <v>35</v>
      </c>
      <c r="C388" s="66" t="s">
        <v>887</v>
      </c>
      <c r="D388" s="4" t="s">
        <v>888</v>
      </c>
      <c r="E388" s="4" t="s">
        <v>1027</v>
      </c>
      <c r="F388" s="43" t="s">
        <v>929</v>
      </c>
      <c r="G388" s="4" t="s">
        <v>1093</v>
      </c>
      <c r="H388" s="208">
        <v>10</v>
      </c>
      <c r="I388" s="4"/>
      <c r="J388" s="15"/>
      <c r="K388" s="4" t="str">
        <f>_xlfn.IFNA(VLOOKUP($J388,WH_Data[],6,FALSE),"")</f>
        <v/>
      </c>
      <c r="L388" s="4" t="str">
        <f>_xlfn.IFNA(VLOOKUP($J388,WH_Data[],3,FALSE),"")</f>
        <v/>
      </c>
      <c r="M388" s="4" t="str">
        <f>_xlfn.IFNA(VLOOKUP($J388,WH_Data[],5,FALSE),"")</f>
        <v/>
      </c>
      <c r="N388" s="4" t="str">
        <f>_xlfn.IFNA(VLOOKUP($J388,WH_Data[],7,FALSE),"")</f>
        <v/>
      </c>
      <c r="O388" s="4" t="str">
        <f>_xlfn.IFNA(VLOOKUP($J388,WH_Data[],8,FALSE),"")</f>
        <v/>
      </c>
      <c r="P388" s="8"/>
      <c r="Q388" s="209">
        <f>Mon_ILR2[[#This Row],[Qty Required]]-Mon_ILR2[[#This Row],[QTY Transfer]]</f>
        <v>10</v>
      </c>
      <c r="R388" s="66" t="s">
        <v>905</v>
      </c>
      <c r="S388" t="s">
        <v>928</v>
      </c>
      <c r="T388" s="210">
        <f>_xlfn.IFNA(VLOOKUP(Mon_ILR2[[#This Row],[New Model]],PhilipsLibary[],4,FALSE),"0")</f>
        <v>4924</v>
      </c>
      <c r="U388" s="210">
        <f>_xlfn.IFNA(VLOOKUP(Mon_ILR2[[#This Row],[New Model]],PhilipsLibary[],5,FALSE),"0")</f>
        <v>0</v>
      </c>
      <c r="V388" s="210">
        <f>_xlfn.IFNA(VLOOKUP(Mon_ILR2[[#This Row],[New Model]],PhilipsLibary[],5,FALSE),"0")</f>
        <v>0</v>
      </c>
      <c r="W388" s="210">
        <f>Mon_ILR2[[#This Row],[Accessory Rate]]+Mon_ILR2[[#This Row],[Mounting Rate]]+Mon_ILR2[[#This Row],[Unit Rate]]*Mon_ILR2[[#This Row],[New Quantity Required ]]</f>
        <v>49240</v>
      </c>
      <c r="X388" s="8"/>
      <c r="Y388" s="246"/>
    </row>
    <row r="389" spans="2:25" ht="15.75" customHeight="1" x14ac:dyDescent="0.25">
      <c r="B389" s="207" t="s">
        <v>35</v>
      </c>
      <c r="C389" s="66" t="s">
        <v>120</v>
      </c>
      <c r="D389" s="4" t="s">
        <v>121</v>
      </c>
      <c r="E389" s="4" t="s">
        <v>1072</v>
      </c>
      <c r="F389" s="4" t="s">
        <v>941</v>
      </c>
      <c r="G389" s="4" t="s">
        <v>1093</v>
      </c>
      <c r="H389" s="208">
        <v>1</v>
      </c>
      <c r="I389" s="4"/>
      <c r="J389" s="15"/>
      <c r="K389" s="4" t="str">
        <f>_xlfn.IFNA(VLOOKUP($J389,WH_Data[],6,FALSE),"")</f>
        <v/>
      </c>
      <c r="L389" s="4" t="str">
        <f>_xlfn.IFNA(VLOOKUP($J389,WH_Data[],3,FALSE),"")</f>
        <v/>
      </c>
      <c r="M389" s="4" t="str">
        <f>_xlfn.IFNA(VLOOKUP($J389,WH_Data[],5,FALSE),"")</f>
        <v/>
      </c>
      <c r="N389" s="4" t="str">
        <f>_xlfn.IFNA(VLOOKUP($J389,WH_Data[],7,FALSE),"")</f>
        <v/>
      </c>
      <c r="O389" s="4" t="str">
        <f>_xlfn.IFNA(VLOOKUP($J389,WH_Data[],8,FALSE),"")</f>
        <v/>
      </c>
      <c r="P389" s="8"/>
      <c r="Q389" s="209">
        <f>Mon_ILR2[[#This Row],[Qty Required]]-Mon_ILR2[[#This Row],[QTY Transfer]]</f>
        <v>1</v>
      </c>
      <c r="R389" s="66" t="s">
        <v>905</v>
      </c>
      <c r="S389" s="66" t="s">
        <v>940</v>
      </c>
      <c r="T389" s="210">
        <f>_xlfn.IFNA(VLOOKUP(Mon_ILR2[[#This Row],[New Model]],PhilipsLibary[],4,FALSE),"0")</f>
        <v>2572</v>
      </c>
      <c r="U389" s="215">
        <f>_xlfn.IFNA(VLOOKUP(Mon_ILR2[[#This Row],[New Model]],PhilipsLibary[],5,FALSE),"0")</f>
        <v>0</v>
      </c>
      <c r="V389" s="215">
        <f>_xlfn.IFNA(VLOOKUP(Mon_ILR2[[#This Row],[New Model]],PhilipsLibary[],5,FALSE),"0")</f>
        <v>0</v>
      </c>
      <c r="W389" s="215">
        <f>Mon_ILR2[[#This Row],[Accessory Rate]]+Mon_ILR2[[#This Row],[Mounting Rate]]+Mon_ILR2[[#This Row],[Unit Rate]]*Mon_ILR2[[#This Row],[New Quantity Required ]]</f>
        <v>2572</v>
      </c>
      <c r="X389" s="8"/>
      <c r="Y389" s="246"/>
    </row>
    <row r="390" spans="2:25" ht="15.75" customHeight="1" x14ac:dyDescent="0.25">
      <c r="B390" s="207" t="s">
        <v>35</v>
      </c>
      <c r="C390" s="66" t="s">
        <v>120</v>
      </c>
      <c r="D390" s="4" t="s">
        <v>134</v>
      </c>
      <c r="E390" s="4" t="s">
        <v>1072</v>
      </c>
      <c r="F390" s="4" t="s">
        <v>941</v>
      </c>
      <c r="G390" s="4" t="s">
        <v>1093</v>
      </c>
      <c r="H390" s="208">
        <v>1</v>
      </c>
      <c r="I390" s="4"/>
      <c r="J390" s="15"/>
      <c r="K390" s="4" t="str">
        <f>_xlfn.IFNA(VLOOKUP($J390,WH_Data[],6,FALSE),"")</f>
        <v/>
      </c>
      <c r="L390" s="4" t="str">
        <f>_xlfn.IFNA(VLOOKUP($J390,WH_Data[],3,FALSE),"")</f>
        <v/>
      </c>
      <c r="M390" s="4" t="str">
        <f>_xlfn.IFNA(VLOOKUP($J390,WH_Data[],5,FALSE),"")</f>
        <v/>
      </c>
      <c r="N390" s="4" t="str">
        <f>_xlfn.IFNA(VLOOKUP($J390,WH_Data[],7,FALSE),"")</f>
        <v/>
      </c>
      <c r="O390" s="4" t="str">
        <f>_xlfn.IFNA(VLOOKUP($J390,WH_Data[],8,FALSE),"")</f>
        <v/>
      </c>
      <c r="P390" s="8"/>
      <c r="Q390" s="209">
        <f>Mon_ILR2[[#This Row],[Qty Required]]-Mon_ILR2[[#This Row],[QTY Transfer]]</f>
        <v>1</v>
      </c>
      <c r="R390" s="66" t="s">
        <v>905</v>
      </c>
      <c r="S390" s="66" t="s">
        <v>940</v>
      </c>
      <c r="T390" s="210">
        <f>_xlfn.IFNA(VLOOKUP(Mon_ILR2[[#This Row],[New Model]],PhilipsLibary[],4,FALSE),"0")</f>
        <v>2572</v>
      </c>
      <c r="U390" s="215">
        <f>_xlfn.IFNA(VLOOKUP(Mon_ILR2[[#This Row],[New Model]],PhilipsLibary[],5,FALSE),"0")</f>
        <v>0</v>
      </c>
      <c r="V390" s="215">
        <f>_xlfn.IFNA(VLOOKUP(Mon_ILR2[[#This Row],[New Model]],PhilipsLibary[],5,FALSE),"0")</f>
        <v>0</v>
      </c>
      <c r="W390" s="215">
        <f>Mon_ILR2[[#This Row],[Accessory Rate]]+Mon_ILR2[[#This Row],[Mounting Rate]]+Mon_ILR2[[#This Row],[Unit Rate]]*Mon_ILR2[[#This Row],[New Quantity Required ]]</f>
        <v>2572</v>
      </c>
      <c r="X390" s="8"/>
      <c r="Y390" s="246"/>
    </row>
    <row r="391" spans="2:25" ht="15.75" customHeight="1" x14ac:dyDescent="0.25">
      <c r="B391" s="207" t="s">
        <v>35</v>
      </c>
      <c r="C391" s="66" t="s">
        <v>120</v>
      </c>
      <c r="D391" s="4" t="s">
        <v>138</v>
      </c>
      <c r="E391" s="4" t="s">
        <v>1072</v>
      </c>
      <c r="F391" s="4" t="s">
        <v>941</v>
      </c>
      <c r="G391" s="4" t="s">
        <v>1093</v>
      </c>
      <c r="H391" s="208">
        <v>1</v>
      </c>
      <c r="I391" s="4"/>
      <c r="J391" s="15"/>
      <c r="K391" s="4" t="str">
        <f>_xlfn.IFNA(VLOOKUP($J391,WH_Data[],6,FALSE),"")</f>
        <v/>
      </c>
      <c r="L391" s="4" t="str">
        <f>_xlfn.IFNA(VLOOKUP($J391,WH_Data[],3,FALSE),"")</f>
        <v/>
      </c>
      <c r="M391" s="4" t="str">
        <f>_xlfn.IFNA(VLOOKUP($J391,WH_Data[],5,FALSE),"")</f>
        <v/>
      </c>
      <c r="N391" s="4" t="str">
        <f>_xlfn.IFNA(VLOOKUP($J391,WH_Data[],7,FALSE),"")</f>
        <v/>
      </c>
      <c r="O391" s="4" t="str">
        <f>_xlfn.IFNA(VLOOKUP($J391,WH_Data[],8,FALSE),"")</f>
        <v/>
      </c>
      <c r="P391" s="8"/>
      <c r="Q391" s="209">
        <f>Mon_ILR2[[#This Row],[Qty Required]]-Mon_ILR2[[#This Row],[QTY Transfer]]</f>
        <v>1</v>
      </c>
      <c r="R391" s="66" t="s">
        <v>905</v>
      </c>
      <c r="S391" s="66" t="s">
        <v>940</v>
      </c>
      <c r="T391" s="210">
        <f>_xlfn.IFNA(VLOOKUP(Mon_ILR2[[#This Row],[New Model]],PhilipsLibary[],4,FALSE),"0")</f>
        <v>2572</v>
      </c>
      <c r="U391" s="215">
        <f>_xlfn.IFNA(VLOOKUP(Mon_ILR2[[#This Row],[New Model]],PhilipsLibary[],5,FALSE),"0")</f>
        <v>0</v>
      </c>
      <c r="V391" s="215">
        <f>_xlfn.IFNA(VLOOKUP(Mon_ILR2[[#This Row],[New Model]],PhilipsLibary[],5,FALSE),"0")</f>
        <v>0</v>
      </c>
      <c r="W391" s="215">
        <f>Mon_ILR2[[#This Row],[Accessory Rate]]+Mon_ILR2[[#This Row],[Mounting Rate]]+Mon_ILR2[[#This Row],[Unit Rate]]*Mon_ILR2[[#This Row],[New Quantity Required ]]</f>
        <v>2572</v>
      </c>
      <c r="X391" s="8"/>
      <c r="Y391" s="246"/>
    </row>
    <row r="392" spans="2:25" ht="15.75" customHeight="1" x14ac:dyDescent="0.25">
      <c r="B392" s="207" t="s">
        <v>35</v>
      </c>
      <c r="C392" s="66" t="s">
        <v>141</v>
      </c>
      <c r="D392" s="4" t="s">
        <v>142</v>
      </c>
      <c r="E392" s="4" t="s">
        <v>1072</v>
      </c>
      <c r="F392" s="4" t="s">
        <v>941</v>
      </c>
      <c r="G392" s="4" t="s">
        <v>1093</v>
      </c>
      <c r="H392" s="208">
        <v>1</v>
      </c>
      <c r="I392" s="4"/>
      <c r="J392" s="15"/>
      <c r="K392" s="4" t="str">
        <f>_xlfn.IFNA(VLOOKUP($J392,WH_Data[],6,FALSE),"")</f>
        <v/>
      </c>
      <c r="L392" s="4" t="str">
        <f>_xlfn.IFNA(VLOOKUP($J392,WH_Data[],3,FALSE),"")</f>
        <v/>
      </c>
      <c r="M392" s="4" t="str">
        <f>_xlfn.IFNA(VLOOKUP($J392,WH_Data[],5,FALSE),"")</f>
        <v/>
      </c>
      <c r="N392" s="4" t="str">
        <f>_xlfn.IFNA(VLOOKUP($J392,WH_Data[],7,FALSE),"")</f>
        <v/>
      </c>
      <c r="O392" s="4" t="str">
        <f>_xlfn.IFNA(VLOOKUP($J392,WH_Data[],8,FALSE),"")</f>
        <v/>
      </c>
      <c r="P392" s="8"/>
      <c r="Q392" s="209">
        <f>Mon_ILR2[[#This Row],[Qty Required]]-Mon_ILR2[[#This Row],[QTY Transfer]]</f>
        <v>1</v>
      </c>
      <c r="R392" s="66" t="s">
        <v>905</v>
      </c>
      <c r="S392" s="66" t="s">
        <v>940</v>
      </c>
      <c r="T392" s="210">
        <f>_xlfn.IFNA(VLOOKUP(Mon_ILR2[[#This Row],[New Model]],PhilipsLibary[],4,FALSE),"0")</f>
        <v>2572</v>
      </c>
      <c r="U392" s="215">
        <f>_xlfn.IFNA(VLOOKUP(Mon_ILR2[[#This Row],[New Model]],PhilipsLibary[],5,FALSE),"0")</f>
        <v>0</v>
      </c>
      <c r="V392" s="215">
        <f>_xlfn.IFNA(VLOOKUP(Mon_ILR2[[#This Row],[New Model]],PhilipsLibary[],5,FALSE),"0")</f>
        <v>0</v>
      </c>
      <c r="W392" s="215">
        <f>Mon_ILR2[[#This Row],[Accessory Rate]]+Mon_ILR2[[#This Row],[Mounting Rate]]+Mon_ILR2[[#This Row],[Unit Rate]]*Mon_ILR2[[#This Row],[New Quantity Required ]]</f>
        <v>2572</v>
      </c>
      <c r="X392" s="8"/>
      <c r="Y392" s="246"/>
    </row>
    <row r="393" spans="2:25" ht="15.75" customHeight="1" x14ac:dyDescent="0.25">
      <c r="B393" s="207" t="s">
        <v>35</v>
      </c>
      <c r="C393" s="66" t="s">
        <v>145</v>
      </c>
      <c r="D393" s="4" t="s">
        <v>146</v>
      </c>
      <c r="E393" s="4" t="s">
        <v>1072</v>
      </c>
      <c r="F393" s="4" t="s">
        <v>941</v>
      </c>
      <c r="G393" s="4" t="s">
        <v>1093</v>
      </c>
      <c r="H393" s="208">
        <v>1</v>
      </c>
      <c r="I393" s="4"/>
      <c r="J393" s="15"/>
      <c r="K393" s="4" t="str">
        <f>_xlfn.IFNA(VLOOKUP($J393,WH_Data[],6,FALSE),"")</f>
        <v/>
      </c>
      <c r="L393" s="4" t="str">
        <f>_xlfn.IFNA(VLOOKUP($J393,WH_Data[],3,FALSE),"")</f>
        <v/>
      </c>
      <c r="M393" s="4" t="str">
        <f>_xlfn.IFNA(VLOOKUP($J393,WH_Data[],5,FALSE),"")</f>
        <v/>
      </c>
      <c r="N393" s="4" t="str">
        <f>_xlfn.IFNA(VLOOKUP($J393,WH_Data[],7,FALSE),"")</f>
        <v/>
      </c>
      <c r="O393" s="4" t="str">
        <f>_xlfn.IFNA(VLOOKUP($J393,WH_Data[],8,FALSE),"")</f>
        <v/>
      </c>
      <c r="P393" s="8"/>
      <c r="Q393" s="209">
        <f>Mon_ILR2[[#This Row],[Qty Required]]-Mon_ILR2[[#This Row],[QTY Transfer]]</f>
        <v>1</v>
      </c>
      <c r="R393" s="66" t="s">
        <v>905</v>
      </c>
      <c r="S393" s="66" t="s">
        <v>940</v>
      </c>
      <c r="T393" s="210">
        <f>_xlfn.IFNA(VLOOKUP(Mon_ILR2[[#This Row],[New Model]],PhilipsLibary[],4,FALSE),"0")</f>
        <v>2572</v>
      </c>
      <c r="U393" s="215">
        <f>_xlfn.IFNA(VLOOKUP(Mon_ILR2[[#This Row],[New Model]],PhilipsLibary[],5,FALSE),"0")</f>
        <v>0</v>
      </c>
      <c r="V393" s="215">
        <f>_xlfn.IFNA(VLOOKUP(Mon_ILR2[[#This Row],[New Model]],PhilipsLibary[],5,FALSE),"0")</f>
        <v>0</v>
      </c>
      <c r="W393" s="215">
        <f>Mon_ILR2[[#This Row],[Accessory Rate]]+Mon_ILR2[[#This Row],[Mounting Rate]]+Mon_ILR2[[#This Row],[Unit Rate]]*Mon_ILR2[[#This Row],[New Quantity Required ]]</f>
        <v>2572</v>
      </c>
      <c r="X393" s="8"/>
      <c r="Y393" s="246"/>
    </row>
    <row r="394" spans="2:25" ht="15.75" customHeight="1" x14ac:dyDescent="0.25">
      <c r="B394" s="207" t="s">
        <v>35</v>
      </c>
      <c r="C394" s="66" t="s">
        <v>149</v>
      </c>
      <c r="D394" s="4" t="s">
        <v>150</v>
      </c>
      <c r="E394" s="4" t="s">
        <v>1072</v>
      </c>
      <c r="F394" s="4" t="s">
        <v>941</v>
      </c>
      <c r="G394" s="4" t="s">
        <v>1093</v>
      </c>
      <c r="H394" s="208">
        <v>1</v>
      </c>
      <c r="I394" s="4"/>
      <c r="J394" s="15"/>
      <c r="K394" s="4" t="str">
        <f>_xlfn.IFNA(VLOOKUP($J394,WH_Data[],6,FALSE),"")</f>
        <v/>
      </c>
      <c r="L394" s="4" t="str">
        <f>_xlfn.IFNA(VLOOKUP($J394,WH_Data[],3,FALSE),"")</f>
        <v/>
      </c>
      <c r="M394" s="4" t="str">
        <f>_xlfn.IFNA(VLOOKUP($J394,WH_Data[],5,FALSE),"")</f>
        <v/>
      </c>
      <c r="N394" s="4" t="str">
        <f>_xlfn.IFNA(VLOOKUP($J394,WH_Data[],7,FALSE),"")</f>
        <v/>
      </c>
      <c r="O394" s="4" t="str">
        <f>_xlfn.IFNA(VLOOKUP($J394,WH_Data[],8,FALSE),"")</f>
        <v/>
      </c>
      <c r="P394" s="8"/>
      <c r="Q394" s="209">
        <f>Mon_ILR2[[#This Row],[Qty Required]]-Mon_ILR2[[#This Row],[QTY Transfer]]</f>
        <v>1</v>
      </c>
      <c r="R394" s="66" t="s">
        <v>905</v>
      </c>
      <c r="S394" s="66" t="s">
        <v>940</v>
      </c>
      <c r="T394" s="210">
        <f>_xlfn.IFNA(VLOOKUP(Mon_ILR2[[#This Row],[New Model]],PhilipsLibary[],4,FALSE),"0")</f>
        <v>2572</v>
      </c>
      <c r="U394" s="215">
        <f>_xlfn.IFNA(VLOOKUP(Mon_ILR2[[#This Row],[New Model]],PhilipsLibary[],5,FALSE),"0")</f>
        <v>0</v>
      </c>
      <c r="V394" s="215">
        <f>_xlfn.IFNA(VLOOKUP(Mon_ILR2[[#This Row],[New Model]],PhilipsLibary[],5,FALSE),"0")</f>
        <v>0</v>
      </c>
      <c r="W394" s="215">
        <f>Mon_ILR2[[#This Row],[Accessory Rate]]+Mon_ILR2[[#This Row],[Mounting Rate]]+Mon_ILR2[[#This Row],[Unit Rate]]*Mon_ILR2[[#This Row],[New Quantity Required ]]</f>
        <v>2572</v>
      </c>
      <c r="X394" s="8"/>
      <c r="Y394" s="246"/>
    </row>
    <row r="395" spans="2:25" ht="15.75" customHeight="1" x14ac:dyDescent="0.25">
      <c r="B395" s="207" t="s">
        <v>35</v>
      </c>
      <c r="C395" s="66" t="s">
        <v>153</v>
      </c>
      <c r="D395" s="4" t="s">
        <v>154</v>
      </c>
      <c r="E395" s="4" t="s">
        <v>1072</v>
      </c>
      <c r="F395" s="4" t="s">
        <v>941</v>
      </c>
      <c r="G395" s="4" t="s">
        <v>1093</v>
      </c>
      <c r="H395" s="208">
        <v>1</v>
      </c>
      <c r="I395" s="4"/>
      <c r="J395" s="15"/>
      <c r="K395" s="4" t="str">
        <f>_xlfn.IFNA(VLOOKUP($J395,WH_Data[],6,FALSE),"")</f>
        <v/>
      </c>
      <c r="L395" s="4" t="str">
        <f>_xlfn.IFNA(VLOOKUP($J395,WH_Data[],3,FALSE),"")</f>
        <v/>
      </c>
      <c r="M395" s="4" t="str">
        <f>_xlfn.IFNA(VLOOKUP($J395,WH_Data[],5,FALSE),"")</f>
        <v/>
      </c>
      <c r="N395" s="4" t="str">
        <f>_xlfn.IFNA(VLOOKUP($J395,WH_Data[],7,FALSE),"")</f>
        <v/>
      </c>
      <c r="O395" s="4" t="str">
        <f>_xlfn.IFNA(VLOOKUP($J395,WH_Data[],8,FALSE),"")</f>
        <v/>
      </c>
      <c r="P395" s="8"/>
      <c r="Q395" s="209">
        <f>Mon_ILR2[[#This Row],[Qty Required]]-Mon_ILR2[[#This Row],[QTY Transfer]]</f>
        <v>1</v>
      </c>
      <c r="R395" s="66" t="s">
        <v>905</v>
      </c>
      <c r="S395" s="66" t="s">
        <v>940</v>
      </c>
      <c r="T395" s="210">
        <f>_xlfn.IFNA(VLOOKUP(Mon_ILR2[[#This Row],[New Model]],PhilipsLibary[],4,FALSE),"0")</f>
        <v>2572</v>
      </c>
      <c r="U395" s="215">
        <f>_xlfn.IFNA(VLOOKUP(Mon_ILR2[[#This Row],[New Model]],PhilipsLibary[],5,FALSE),"0")</f>
        <v>0</v>
      </c>
      <c r="V395" s="215">
        <f>_xlfn.IFNA(VLOOKUP(Mon_ILR2[[#This Row],[New Model]],PhilipsLibary[],5,FALSE),"0")</f>
        <v>0</v>
      </c>
      <c r="W395" s="215">
        <f>Mon_ILR2[[#This Row],[Accessory Rate]]+Mon_ILR2[[#This Row],[Mounting Rate]]+Mon_ILR2[[#This Row],[Unit Rate]]*Mon_ILR2[[#This Row],[New Quantity Required ]]</f>
        <v>2572</v>
      </c>
      <c r="X395" s="8"/>
      <c r="Y395" s="246"/>
    </row>
    <row r="396" spans="2:25" ht="15.75" customHeight="1" x14ac:dyDescent="0.25">
      <c r="B396" s="207" t="s">
        <v>35</v>
      </c>
      <c r="C396" s="66" t="s">
        <v>157</v>
      </c>
      <c r="D396" s="4" t="s">
        <v>158</v>
      </c>
      <c r="E396" s="4" t="s">
        <v>1072</v>
      </c>
      <c r="F396" s="4" t="s">
        <v>941</v>
      </c>
      <c r="G396" s="4" t="s">
        <v>1093</v>
      </c>
      <c r="H396" s="208">
        <v>1</v>
      </c>
      <c r="I396" s="4"/>
      <c r="J396" s="15"/>
      <c r="K396" s="4" t="str">
        <f>_xlfn.IFNA(VLOOKUP($J396,WH_Data[],6,FALSE),"")</f>
        <v/>
      </c>
      <c r="L396" s="4" t="str">
        <f>_xlfn.IFNA(VLOOKUP($J396,WH_Data[],3,FALSE),"")</f>
        <v/>
      </c>
      <c r="M396" s="4" t="str">
        <f>_xlfn.IFNA(VLOOKUP($J396,WH_Data[],5,FALSE),"")</f>
        <v/>
      </c>
      <c r="N396" s="4" t="str">
        <f>_xlfn.IFNA(VLOOKUP($J396,WH_Data[],7,FALSE),"")</f>
        <v/>
      </c>
      <c r="O396" s="4" t="str">
        <f>_xlfn.IFNA(VLOOKUP($J396,WH_Data[],8,FALSE),"")</f>
        <v/>
      </c>
      <c r="P396" s="8"/>
      <c r="Q396" s="209">
        <f>Mon_ILR2[[#This Row],[Qty Required]]-Mon_ILR2[[#This Row],[QTY Transfer]]</f>
        <v>1</v>
      </c>
      <c r="R396" s="66" t="s">
        <v>905</v>
      </c>
      <c r="S396" s="66" t="s">
        <v>940</v>
      </c>
      <c r="T396" s="210">
        <f>_xlfn.IFNA(VLOOKUP(Mon_ILR2[[#This Row],[New Model]],PhilipsLibary[],4,FALSE),"0")</f>
        <v>2572</v>
      </c>
      <c r="U396" s="215">
        <f>_xlfn.IFNA(VLOOKUP(Mon_ILR2[[#This Row],[New Model]],PhilipsLibary[],5,FALSE),"0")</f>
        <v>0</v>
      </c>
      <c r="V396" s="215">
        <f>_xlfn.IFNA(VLOOKUP(Mon_ILR2[[#This Row],[New Model]],PhilipsLibary[],5,FALSE),"0")</f>
        <v>0</v>
      </c>
      <c r="W396" s="215">
        <f>Mon_ILR2[[#This Row],[Accessory Rate]]+Mon_ILR2[[#This Row],[Mounting Rate]]+Mon_ILR2[[#This Row],[Unit Rate]]*Mon_ILR2[[#This Row],[New Quantity Required ]]</f>
        <v>2572</v>
      </c>
      <c r="X396" s="8"/>
      <c r="Y396" s="246"/>
    </row>
    <row r="397" spans="2:25" ht="15.75" customHeight="1" x14ac:dyDescent="0.25">
      <c r="B397" s="207" t="s">
        <v>35</v>
      </c>
      <c r="C397" s="66" t="s">
        <v>866</v>
      </c>
      <c r="D397" s="4" t="s">
        <v>867</v>
      </c>
      <c r="E397" s="4" t="s">
        <v>1072</v>
      </c>
      <c r="F397" s="4" t="s">
        <v>941</v>
      </c>
      <c r="G397" s="4" t="s">
        <v>1093</v>
      </c>
      <c r="H397" s="208">
        <v>1</v>
      </c>
      <c r="I397" s="4"/>
      <c r="J397" s="15"/>
      <c r="K397" s="4" t="str">
        <f>_xlfn.IFNA(VLOOKUP($J397,WH_Data[],6,FALSE),"")</f>
        <v/>
      </c>
      <c r="L397" s="4" t="str">
        <f>_xlfn.IFNA(VLOOKUP($J397,WH_Data[],3,FALSE),"")</f>
        <v/>
      </c>
      <c r="M397" s="4" t="str">
        <f>_xlfn.IFNA(VLOOKUP($J397,WH_Data[],5,FALSE),"")</f>
        <v/>
      </c>
      <c r="N397" s="4" t="str">
        <f>_xlfn.IFNA(VLOOKUP($J397,WH_Data[],7,FALSE),"")</f>
        <v/>
      </c>
      <c r="O397" s="4" t="str">
        <f>_xlfn.IFNA(VLOOKUP($J397,WH_Data[],8,FALSE),"")</f>
        <v/>
      </c>
      <c r="P397" s="8"/>
      <c r="Q397" s="209">
        <f>Mon_ILR2[[#This Row],[Qty Required]]-Mon_ILR2[[#This Row],[QTY Transfer]]</f>
        <v>1</v>
      </c>
      <c r="R397" s="66" t="s">
        <v>905</v>
      </c>
      <c r="S397" s="66" t="s">
        <v>940</v>
      </c>
      <c r="T397" s="210">
        <f>_xlfn.IFNA(VLOOKUP(Mon_ILR2[[#This Row],[New Model]],PhilipsLibary[],4,FALSE),"0")</f>
        <v>2572</v>
      </c>
      <c r="U397" s="215">
        <f>_xlfn.IFNA(VLOOKUP(Mon_ILR2[[#This Row],[New Model]],PhilipsLibary[],5,FALSE),"0")</f>
        <v>0</v>
      </c>
      <c r="V397" s="215">
        <f>_xlfn.IFNA(VLOOKUP(Mon_ILR2[[#This Row],[New Model]],PhilipsLibary[],5,FALSE),"0")</f>
        <v>0</v>
      </c>
      <c r="W397" s="215">
        <f>Mon_ILR2[[#This Row],[Accessory Rate]]+Mon_ILR2[[#This Row],[Mounting Rate]]+Mon_ILR2[[#This Row],[Unit Rate]]*Mon_ILR2[[#This Row],[New Quantity Required ]]</f>
        <v>2572</v>
      </c>
      <c r="X397" s="8"/>
      <c r="Y397" s="246"/>
    </row>
    <row r="398" spans="2:25" ht="15.75" customHeight="1" x14ac:dyDescent="0.25">
      <c r="B398" s="207" t="s">
        <v>35</v>
      </c>
      <c r="C398" s="66" t="s">
        <v>868</v>
      </c>
      <c r="D398" s="4" t="s">
        <v>869</v>
      </c>
      <c r="E398" s="4" t="s">
        <v>1072</v>
      </c>
      <c r="F398" s="4" t="s">
        <v>941</v>
      </c>
      <c r="G398" s="4" t="s">
        <v>1093</v>
      </c>
      <c r="H398" s="208">
        <v>1</v>
      </c>
      <c r="I398" s="4"/>
      <c r="J398" s="15"/>
      <c r="K398" s="4" t="str">
        <f>_xlfn.IFNA(VLOOKUP($J398,WH_Data[],6,FALSE),"")</f>
        <v/>
      </c>
      <c r="L398" s="4" t="str">
        <f>_xlfn.IFNA(VLOOKUP($J398,WH_Data[],3,FALSE),"")</f>
        <v/>
      </c>
      <c r="M398" s="4" t="str">
        <f>_xlfn.IFNA(VLOOKUP($J398,WH_Data[],5,FALSE),"")</f>
        <v/>
      </c>
      <c r="N398" s="4" t="str">
        <f>_xlfn.IFNA(VLOOKUP($J398,WH_Data[],7,FALSE),"")</f>
        <v/>
      </c>
      <c r="O398" s="4" t="str">
        <f>_xlfn.IFNA(VLOOKUP($J398,WH_Data[],8,FALSE),"")</f>
        <v/>
      </c>
      <c r="P398" s="8"/>
      <c r="Q398" s="209">
        <f>Mon_ILR2[[#This Row],[Qty Required]]-Mon_ILR2[[#This Row],[QTY Transfer]]</f>
        <v>1</v>
      </c>
      <c r="R398" s="66" t="s">
        <v>905</v>
      </c>
      <c r="S398" s="66" t="s">
        <v>940</v>
      </c>
      <c r="T398" s="210">
        <f>_xlfn.IFNA(VLOOKUP(Mon_ILR2[[#This Row],[New Model]],PhilipsLibary[],4,FALSE),"0")</f>
        <v>2572</v>
      </c>
      <c r="U398" s="215">
        <f>_xlfn.IFNA(VLOOKUP(Mon_ILR2[[#This Row],[New Model]],PhilipsLibary[],5,FALSE),"0")</f>
        <v>0</v>
      </c>
      <c r="V398" s="215">
        <f>_xlfn.IFNA(VLOOKUP(Mon_ILR2[[#This Row],[New Model]],PhilipsLibary[],5,FALSE),"0")</f>
        <v>0</v>
      </c>
      <c r="W398" s="215">
        <f>Mon_ILR2[[#This Row],[Accessory Rate]]+Mon_ILR2[[#This Row],[Mounting Rate]]+Mon_ILR2[[#This Row],[Unit Rate]]*Mon_ILR2[[#This Row],[New Quantity Required ]]</f>
        <v>2572</v>
      </c>
      <c r="X398" s="8"/>
      <c r="Y398" s="246"/>
    </row>
    <row r="399" spans="2:25" ht="15.75" customHeight="1" x14ac:dyDescent="0.25">
      <c r="B399" s="207" t="s">
        <v>35</v>
      </c>
      <c r="C399" s="66" t="s">
        <v>872</v>
      </c>
      <c r="D399" s="4" t="s">
        <v>873</v>
      </c>
      <c r="E399" s="4" t="s">
        <v>1072</v>
      </c>
      <c r="F399" s="4" t="s">
        <v>941</v>
      </c>
      <c r="G399" s="4" t="s">
        <v>1093</v>
      </c>
      <c r="H399" s="208">
        <v>1</v>
      </c>
      <c r="I399" s="4"/>
      <c r="J399" s="15"/>
      <c r="K399" s="4" t="str">
        <f>_xlfn.IFNA(VLOOKUP($J399,WH_Data[],6,FALSE),"")</f>
        <v/>
      </c>
      <c r="L399" s="4" t="str">
        <f>_xlfn.IFNA(VLOOKUP($J399,WH_Data[],3,FALSE),"")</f>
        <v/>
      </c>
      <c r="M399" s="4" t="str">
        <f>_xlfn.IFNA(VLOOKUP($J399,WH_Data[],5,FALSE),"")</f>
        <v/>
      </c>
      <c r="N399" s="4" t="str">
        <f>_xlfn.IFNA(VLOOKUP($J399,WH_Data[],7,FALSE),"")</f>
        <v/>
      </c>
      <c r="O399" s="4" t="str">
        <f>_xlfn.IFNA(VLOOKUP($J399,WH_Data[],8,FALSE),"")</f>
        <v/>
      </c>
      <c r="P399" s="8"/>
      <c r="Q399" s="209">
        <f>Mon_ILR2[[#This Row],[Qty Required]]-Mon_ILR2[[#This Row],[QTY Transfer]]</f>
        <v>1</v>
      </c>
      <c r="R399" s="66" t="s">
        <v>905</v>
      </c>
      <c r="S399" s="66" t="s">
        <v>940</v>
      </c>
      <c r="T399" s="210">
        <f>_xlfn.IFNA(VLOOKUP(Mon_ILR2[[#This Row],[New Model]],PhilipsLibary[],4,FALSE),"0")</f>
        <v>2572</v>
      </c>
      <c r="U399" s="215">
        <f>_xlfn.IFNA(VLOOKUP(Mon_ILR2[[#This Row],[New Model]],PhilipsLibary[],5,FALSE),"0")</f>
        <v>0</v>
      </c>
      <c r="V399" s="215">
        <f>_xlfn.IFNA(VLOOKUP(Mon_ILR2[[#This Row],[New Model]],PhilipsLibary[],5,FALSE),"0")</f>
        <v>0</v>
      </c>
      <c r="W399" s="215">
        <f>Mon_ILR2[[#This Row],[Accessory Rate]]+Mon_ILR2[[#This Row],[Mounting Rate]]+Mon_ILR2[[#This Row],[Unit Rate]]*Mon_ILR2[[#This Row],[New Quantity Required ]]</f>
        <v>2572</v>
      </c>
      <c r="X399" s="8"/>
      <c r="Y399" s="246"/>
    </row>
    <row r="400" spans="2:25" ht="15.75" customHeight="1" x14ac:dyDescent="0.25">
      <c r="B400" s="207" t="s">
        <v>35</v>
      </c>
      <c r="C400" s="66" t="s">
        <v>868</v>
      </c>
      <c r="D400" s="4" t="s">
        <v>874</v>
      </c>
      <c r="E400" s="4" t="s">
        <v>1072</v>
      </c>
      <c r="F400" s="4" t="s">
        <v>941</v>
      </c>
      <c r="G400" s="4" t="s">
        <v>1093</v>
      </c>
      <c r="H400" s="208">
        <v>1</v>
      </c>
      <c r="I400" s="4"/>
      <c r="J400" s="15"/>
      <c r="K400" s="4" t="str">
        <f>_xlfn.IFNA(VLOOKUP($J400,WH_Data[],6,FALSE),"")</f>
        <v/>
      </c>
      <c r="L400" s="4" t="str">
        <f>_xlfn.IFNA(VLOOKUP($J400,WH_Data[],3,FALSE),"")</f>
        <v/>
      </c>
      <c r="M400" s="4" t="str">
        <f>_xlfn.IFNA(VLOOKUP($J400,WH_Data[],5,FALSE),"")</f>
        <v/>
      </c>
      <c r="N400" s="4" t="str">
        <f>_xlfn.IFNA(VLOOKUP($J400,WH_Data[],7,FALSE),"")</f>
        <v/>
      </c>
      <c r="O400" s="4" t="str">
        <f>_xlfn.IFNA(VLOOKUP($J400,WH_Data[],8,FALSE),"")</f>
        <v/>
      </c>
      <c r="P400" s="8"/>
      <c r="Q400" s="209">
        <f>Mon_ILR2[[#This Row],[Qty Required]]-Mon_ILR2[[#This Row],[QTY Transfer]]</f>
        <v>1</v>
      </c>
      <c r="R400" s="66" t="s">
        <v>905</v>
      </c>
      <c r="S400" s="66" t="s">
        <v>940</v>
      </c>
      <c r="T400" s="210">
        <f>_xlfn.IFNA(VLOOKUP(Mon_ILR2[[#This Row],[New Model]],PhilipsLibary[],4,FALSE),"0")</f>
        <v>2572</v>
      </c>
      <c r="U400" s="215">
        <f>_xlfn.IFNA(VLOOKUP(Mon_ILR2[[#This Row],[New Model]],PhilipsLibary[],5,FALSE),"0")</f>
        <v>0</v>
      </c>
      <c r="V400" s="215">
        <f>_xlfn.IFNA(VLOOKUP(Mon_ILR2[[#This Row],[New Model]],PhilipsLibary[],5,FALSE),"0")</f>
        <v>0</v>
      </c>
      <c r="W400" s="215">
        <f>Mon_ILR2[[#This Row],[Accessory Rate]]+Mon_ILR2[[#This Row],[Mounting Rate]]+Mon_ILR2[[#This Row],[Unit Rate]]*Mon_ILR2[[#This Row],[New Quantity Required ]]</f>
        <v>2572</v>
      </c>
      <c r="X400" s="8"/>
      <c r="Y400" s="246"/>
    </row>
    <row r="401" spans="2:25" ht="15.75" customHeight="1" x14ac:dyDescent="0.25">
      <c r="B401" s="207" t="s">
        <v>35</v>
      </c>
      <c r="C401" s="66" t="s">
        <v>872</v>
      </c>
      <c r="D401" s="4" t="s">
        <v>878</v>
      </c>
      <c r="E401" s="4" t="s">
        <v>1072</v>
      </c>
      <c r="F401" s="4" t="s">
        <v>941</v>
      </c>
      <c r="G401" s="4" t="s">
        <v>1093</v>
      </c>
      <c r="H401" s="208">
        <v>1</v>
      </c>
      <c r="I401" s="4"/>
      <c r="J401" s="15"/>
      <c r="K401" s="4" t="str">
        <f>_xlfn.IFNA(VLOOKUP($J401,WH_Data[],6,FALSE),"")</f>
        <v/>
      </c>
      <c r="L401" s="4" t="str">
        <f>_xlfn.IFNA(VLOOKUP($J401,WH_Data[],3,FALSE),"")</f>
        <v/>
      </c>
      <c r="M401" s="4" t="str">
        <f>_xlfn.IFNA(VLOOKUP($J401,WH_Data[],5,FALSE),"")</f>
        <v/>
      </c>
      <c r="N401" s="4" t="str">
        <f>_xlfn.IFNA(VLOOKUP($J401,WH_Data[],7,FALSE),"")</f>
        <v/>
      </c>
      <c r="O401" s="4" t="str">
        <f>_xlfn.IFNA(VLOOKUP($J401,WH_Data[],8,FALSE),"")</f>
        <v/>
      </c>
      <c r="P401" s="8"/>
      <c r="Q401" s="209">
        <f>Mon_ILR2[[#This Row],[Qty Required]]-Mon_ILR2[[#This Row],[QTY Transfer]]</f>
        <v>1</v>
      </c>
      <c r="R401" s="66" t="s">
        <v>905</v>
      </c>
      <c r="S401" s="66" t="s">
        <v>940</v>
      </c>
      <c r="T401" s="210">
        <f>_xlfn.IFNA(VLOOKUP(Mon_ILR2[[#This Row],[New Model]],PhilipsLibary[],4,FALSE),"0")</f>
        <v>2572</v>
      </c>
      <c r="U401" s="215">
        <f>_xlfn.IFNA(VLOOKUP(Mon_ILR2[[#This Row],[New Model]],PhilipsLibary[],5,FALSE),"0")</f>
        <v>0</v>
      </c>
      <c r="V401" s="215">
        <f>_xlfn.IFNA(VLOOKUP(Mon_ILR2[[#This Row],[New Model]],PhilipsLibary[],5,FALSE),"0")</f>
        <v>0</v>
      </c>
      <c r="W401" s="215">
        <f>Mon_ILR2[[#This Row],[Accessory Rate]]+Mon_ILR2[[#This Row],[Mounting Rate]]+Mon_ILR2[[#This Row],[Unit Rate]]*Mon_ILR2[[#This Row],[New Quantity Required ]]</f>
        <v>2572</v>
      </c>
      <c r="X401" s="8"/>
      <c r="Y401" s="246"/>
    </row>
    <row r="402" spans="2:25" ht="15.75" customHeight="1" x14ac:dyDescent="0.25">
      <c r="B402" s="207" t="s">
        <v>35</v>
      </c>
      <c r="C402" s="66" t="s">
        <v>872</v>
      </c>
      <c r="D402" s="4" t="s">
        <v>879</v>
      </c>
      <c r="E402" s="4" t="s">
        <v>1072</v>
      </c>
      <c r="F402" s="4" t="s">
        <v>941</v>
      </c>
      <c r="G402" s="4" t="s">
        <v>1093</v>
      </c>
      <c r="H402" s="208">
        <v>1</v>
      </c>
      <c r="I402" s="4"/>
      <c r="J402" s="15"/>
      <c r="K402" s="4" t="str">
        <f>_xlfn.IFNA(VLOOKUP($J402,WH_Data[],6,FALSE),"")</f>
        <v/>
      </c>
      <c r="L402" s="4" t="str">
        <f>_xlfn.IFNA(VLOOKUP($J402,WH_Data[],3,FALSE),"")</f>
        <v/>
      </c>
      <c r="M402" s="4" t="str">
        <f>_xlfn.IFNA(VLOOKUP($J402,WH_Data[],5,FALSE),"")</f>
        <v/>
      </c>
      <c r="N402" s="4" t="str">
        <f>_xlfn.IFNA(VLOOKUP($J402,WH_Data[],7,FALSE),"")</f>
        <v/>
      </c>
      <c r="O402" s="4" t="str">
        <f>_xlfn.IFNA(VLOOKUP($J402,WH_Data[],8,FALSE),"")</f>
        <v/>
      </c>
      <c r="P402" s="8"/>
      <c r="Q402" s="209">
        <f>Mon_ILR2[[#This Row],[Qty Required]]-Mon_ILR2[[#This Row],[QTY Transfer]]</f>
        <v>1</v>
      </c>
      <c r="R402" s="66" t="s">
        <v>905</v>
      </c>
      <c r="S402" s="66" t="s">
        <v>940</v>
      </c>
      <c r="T402" s="210">
        <f>_xlfn.IFNA(VLOOKUP(Mon_ILR2[[#This Row],[New Model]],PhilipsLibary[],4,FALSE),"0")</f>
        <v>2572</v>
      </c>
      <c r="U402" s="215">
        <f>_xlfn.IFNA(VLOOKUP(Mon_ILR2[[#This Row],[New Model]],PhilipsLibary[],5,FALSE),"0")</f>
        <v>0</v>
      </c>
      <c r="V402" s="215">
        <f>_xlfn.IFNA(VLOOKUP(Mon_ILR2[[#This Row],[New Model]],PhilipsLibary[],5,FALSE),"0")</f>
        <v>0</v>
      </c>
      <c r="W402" s="215">
        <f>Mon_ILR2[[#This Row],[Accessory Rate]]+Mon_ILR2[[#This Row],[Mounting Rate]]+Mon_ILR2[[#This Row],[Unit Rate]]*Mon_ILR2[[#This Row],[New Quantity Required ]]</f>
        <v>2572</v>
      </c>
      <c r="X402" s="8"/>
      <c r="Y402" s="246"/>
    </row>
    <row r="403" spans="2:25" ht="15.75" customHeight="1" x14ac:dyDescent="0.25">
      <c r="B403" s="207" t="s">
        <v>35</v>
      </c>
      <c r="C403" s="66" t="s">
        <v>872</v>
      </c>
      <c r="D403" s="4" t="s">
        <v>880</v>
      </c>
      <c r="E403" s="4" t="s">
        <v>1072</v>
      </c>
      <c r="F403" s="4" t="s">
        <v>941</v>
      </c>
      <c r="G403" s="4" t="s">
        <v>1093</v>
      </c>
      <c r="H403" s="208">
        <v>1</v>
      </c>
      <c r="I403" s="4"/>
      <c r="J403" s="15"/>
      <c r="K403" s="4" t="str">
        <f>_xlfn.IFNA(VLOOKUP($J403,WH_Data[],6,FALSE),"")</f>
        <v/>
      </c>
      <c r="L403" s="4" t="str">
        <f>_xlfn.IFNA(VLOOKUP($J403,WH_Data[],3,FALSE),"")</f>
        <v/>
      </c>
      <c r="M403" s="4" t="str">
        <f>_xlfn.IFNA(VLOOKUP($J403,WH_Data[],5,FALSE),"")</f>
        <v/>
      </c>
      <c r="N403" s="4" t="str">
        <f>_xlfn.IFNA(VLOOKUP($J403,WH_Data[],7,FALSE),"")</f>
        <v/>
      </c>
      <c r="O403" s="4" t="str">
        <f>_xlfn.IFNA(VLOOKUP($J403,WH_Data[],8,FALSE),"")</f>
        <v/>
      </c>
      <c r="P403" s="8"/>
      <c r="Q403" s="209">
        <f>Mon_ILR2[[#This Row],[Qty Required]]-Mon_ILR2[[#This Row],[QTY Transfer]]</f>
        <v>1</v>
      </c>
      <c r="R403" s="66" t="s">
        <v>905</v>
      </c>
      <c r="S403" s="66" t="s">
        <v>940</v>
      </c>
      <c r="T403" s="210">
        <f>_xlfn.IFNA(VLOOKUP(Mon_ILR2[[#This Row],[New Model]],PhilipsLibary[],4,FALSE),"0")</f>
        <v>2572</v>
      </c>
      <c r="U403" s="215">
        <f>_xlfn.IFNA(VLOOKUP(Mon_ILR2[[#This Row],[New Model]],PhilipsLibary[],5,FALSE),"0")</f>
        <v>0</v>
      </c>
      <c r="V403" s="215">
        <f>_xlfn.IFNA(VLOOKUP(Mon_ILR2[[#This Row],[New Model]],PhilipsLibary[],5,FALSE),"0")</f>
        <v>0</v>
      </c>
      <c r="W403" s="215">
        <f>Mon_ILR2[[#This Row],[Accessory Rate]]+Mon_ILR2[[#This Row],[Mounting Rate]]+Mon_ILR2[[#This Row],[Unit Rate]]*Mon_ILR2[[#This Row],[New Quantity Required ]]</f>
        <v>2572</v>
      </c>
      <c r="X403" s="8"/>
      <c r="Y403" s="246"/>
    </row>
    <row r="404" spans="2:25" ht="15.75" customHeight="1" x14ac:dyDescent="0.25">
      <c r="B404" s="207" t="s">
        <v>35</v>
      </c>
      <c r="C404" s="66" t="s">
        <v>872</v>
      </c>
      <c r="D404" s="4" t="s">
        <v>886</v>
      </c>
      <c r="E404" s="4" t="s">
        <v>1072</v>
      </c>
      <c r="F404" s="4" t="s">
        <v>941</v>
      </c>
      <c r="G404" s="4" t="s">
        <v>1093</v>
      </c>
      <c r="H404" s="208">
        <v>1</v>
      </c>
      <c r="I404" s="4"/>
      <c r="J404" s="15"/>
      <c r="K404" s="4" t="str">
        <f>_xlfn.IFNA(VLOOKUP($J404,WH_Data[],6,FALSE),"")</f>
        <v/>
      </c>
      <c r="L404" s="4" t="str">
        <f>_xlfn.IFNA(VLOOKUP($J404,WH_Data[],3,FALSE),"")</f>
        <v/>
      </c>
      <c r="M404" s="4" t="str">
        <f>_xlfn.IFNA(VLOOKUP($J404,WH_Data[],5,FALSE),"")</f>
        <v/>
      </c>
      <c r="N404" s="4" t="str">
        <f>_xlfn.IFNA(VLOOKUP($J404,WH_Data[],7,FALSE),"")</f>
        <v/>
      </c>
      <c r="O404" s="4" t="str">
        <f>_xlfn.IFNA(VLOOKUP($J404,WH_Data[],8,FALSE),"")</f>
        <v/>
      </c>
      <c r="P404" s="8"/>
      <c r="Q404" s="209">
        <f>Mon_ILR2[[#This Row],[Qty Required]]-Mon_ILR2[[#This Row],[QTY Transfer]]</f>
        <v>1</v>
      </c>
      <c r="R404" s="66" t="s">
        <v>905</v>
      </c>
      <c r="S404" s="66" t="s">
        <v>940</v>
      </c>
      <c r="T404" s="210">
        <f>_xlfn.IFNA(VLOOKUP(Mon_ILR2[[#This Row],[New Model]],PhilipsLibary[],4,FALSE),"0")</f>
        <v>2572</v>
      </c>
      <c r="U404" s="215">
        <f>_xlfn.IFNA(VLOOKUP(Mon_ILR2[[#This Row],[New Model]],PhilipsLibary[],5,FALSE),"0")</f>
        <v>0</v>
      </c>
      <c r="V404" s="215">
        <f>_xlfn.IFNA(VLOOKUP(Mon_ILR2[[#This Row],[New Model]],PhilipsLibary[],5,FALSE),"0")</f>
        <v>0</v>
      </c>
      <c r="W404" s="215">
        <f>Mon_ILR2[[#This Row],[Accessory Rate]]+Mon_ILR2[[#This Row],[Mounting Rate]]+Mon_ILR2[[#This Row],[Unit Rate]]*Mon_ILR2[[#This Row],[New Quantity Required ]]</f>
        <v>2572</v>
      </c>
      <c r="X404" s="8"/>
      <c r="Y404" s="246"/>
    </row>
    <row r="405" spans="2:25" ht="15.75" customHeight="1" x14ac:dyDescent="0.25">
      <c r="B405" s="207" t="s">
        <v>161</v>
      </c>
      <c r="C405" s="66" t="s">
        <v>174</v>
      </c>
      <c r="D405" s="4" t="s">
        <v>175</v>
      </c>
      <c r="E405" s="4" t="s">
        <v>1027</v>
      </c>
      <c r="F405" s="4" t="str">
        <f>_xlfn.IFNA(VLOOKUP($J405,WH_Data[],5,FALSE),"")</f>
        <v>Hemodynamic Extension</v>
      </c>
      <c r="G405" s="4" t="s">
        <v>1093</v>
      </c>
      <c r="H405" s="208">
        <v>1</v>
      </c>
      <c r="I405" s="4"/>
      <c r="J405" s="46" t="s">
        <v>1152</v>
      </c>
      <c r="K405" s="4" t="str">
        <f>_xlfn.IFNA(VLOOKUP($J405,WH_Data[],6,FALSE),"")</f>
        <v>MULTI-PARAMETERS MODULE, PHYSIOLOGICAL</v>
      </c>
      <c r="L405" s="4" t="str">
        <f>_xlfn.IFNA(VLOOKUP($J405,WH_Data[],3,FALSE),"")</f>
        <v>PHILIPS MEDICAL SYSTEMS AUSTRA</v>
      </c>
      <c r="M405" s="4" t="str">
        <f>_xlfn.IFNA(VLOOKUP($J405,WH_Data[],5,FALSE),"")</f>
        <v>Hemodynamic Extension</v>
      </c>
      <c r="N405" s="4" t="str">
        <f>_xlfn.IFNA(VLOOKUP($J405,WH_Data[],7,FALSE),"")</f>
        <v>DE69763462</v>
      </c>
      <c r="O405" s="4" t="str">
        <f>_xlfn.IFNA(VLOOKUP($J405,WH_Data[],8,FALSE),"")</f>
        <v>CCU FH</v>
      </c>
      <c r="P405" s="8">
        <v>1</v>
      </c>
      <c r="Q405" s="209">
        <f>Mon_ILR2[[#This Row],[Qty Required]]-Mon_ILR2[[#This Row],[QTY Transfer]]</f>
        <v>0</v>
      </c>
      <c r="R405" s="66" t="s">
        <v>905</v>
      </c>
      <c r="S405" s="66" t="s">
        <v>983</v>
      </c>
      <c r="T405" s="210">
        <v>0</v>
      </c>
      <c r="U405" s="210">
        <f>_xlfn.IFNA(VLOOKUP(Mon_ILR2[[#This Row],[New Model]],PhilipsLibary[],5,FALSE),"0")</f>
        <v>0</v>
      </c>
      <c r="V405" s="210">
        <f>_xlfn.IFNA(VLOOKUP(Mon_ILR2[[#This Row],[New Model]],PhilipsLibary[],5,FALSE),"0")</f>
        <v>0</v>
      </c>
      <c r="W405" s="210">
        <f>Mon_ILR2[[#This Row],[Accessory Rate]]+Mon_ILR2[[#This Row],[Mounting Rate]]+Mon_ILR2[[#This Row],[Unit Rate]]*Mon_ILR2[[#This Row],[New Quantity Required ]]</f>
        <v>0</v>
      </c>
      <c r="X405" s="8"/>
      <c r="Y405" s="246" t="s">
        <v>1153</v>
      </c>
    </row>
    <row r="406" spans="2:25" ht="15.75" customHeight="1" x14ac:dyDescent="0.25">
      <c r="B406" s="207" t="s">
        <v>161</v>
      </c>
      <c r="C406" s="66" t="s">
        <v>174</v>
      </c>
      <c r="D406" s="4" t="s">
        <v>175</v>
      </c>
      <c r="E406" s="4" t="s">
        <v>1027</v>
      </c>
      <c r="F406" s="4" t="str">
        <f>_xlfn.IFNA(VLOOKUP($J406,WH_Data[],5,FALSE),"")</f>
        <v>Hemodynamic Extension</v>
      </c>
      <c r="G406" s="4" t="s">
        <v>1093</v>
      </c>
      <c r="H406" s="208">
        <v>1</v>
      </c>
      <c r="I406" s="4"/>
      <c r="J406" s="46" t="s">
        <v>1154</v>
      </c>
      <c r="K406" s="4" t="str">
        <f>_xlfn.IFNA(VLOOKUP($J406,WH_Data[],6,FALSE),"")</f>
        <v>MULTI-PARAMETERS MODULE, PHYSIOLOGICAL</v>
      </c>
      <c r="L406" s="4" t="str">
        <f>_xlfn.IFNA(VLOOKUP($J406,WH_Data[],3,FALSE),"")</f>
        <v>PHILIPS MEDICAL SYSTEMS AUSTRA</v>
      </c>
      <c r="M406" s="4" t="str">
        <f>_xlfn.IFNA(VLOOKUP($J406,WH_Data[],5,FALSE),"")</f>
        <v>Hemodynamic Extension</v>
      </c>
      <c r="N406" s="4" t="str">
        <f>_xlfn.IFNA(VLOOKUP($J406,WH_Data[],7,FALSE),"")</f>
        <v>DE69761357</v>
      </c>
      <c r="O406" s="4" t="str">
        <f>_xlfn.IFNA(VLOOKUP($J406,WH_Data[],8,FALSE),"")</f>
        <v>CCU FH</v>
      </c>
      <c r="P406" s="8">
        <v>1</v>
      </c>
      <c r="Q406" s="209">
        <f>Mon_ILR2[[#This Row],[Qty Required]]-Mon_ILR2[[#This Row],[QTY Transfer]]</f>
        <v>0</v>
      </c>
      <c r="R406" s="66" t="s">
        <v>905</v>
      </c>
      <c r="S406" s="66" t="s">
        <v>983</v>
      </c>
      <c r="T406" s="210">
        <v>0</v>
      </c>
      <c r="U406" s="210">
        <f>_xlfn.IFNA(VLOOKUP(Mon_ILR2[[#This Row],[New Model]],PhilipsLibary[],5,FALSE),"0")</f>
        <v>0</v>
      </c>
      <c r="V406" s="210">
        <f>_xlfn.IFNA(VLOOKUP(Mon_ILR2[[#This Row],[New Model]],PhilipsLibary[],5,FALSE),"0")</f>
        <v>0</v>
      </c>
      <c r="W406" s="210">
        <f>Mon_ILR2[[#This Row],[Accessory Rate]]+Mon_ILR2[[#This Row],[Mounting Rate]]+Mon_ILR2[[#This Row],[Unit Rate]]*Mon_ILR2[[#This Row],[New Quantity Required ]]</f>
        <v>0</v>
      </c>
      <c r="X406" s="8"/>
      <c r="Y406" s="246" t="s">
        <v>1153</v>
      </c>
    </row>
    <row r="407" spans="2:25" ht="15.75" customHeight="1" x14ac:dyDescent="0.25">
      <c r="B407" s="207" t="s">
        <v>161</v>
      </c>
      <c r="C407" s="66" t="s">
        <v>174</v>
      </c>
      <c r="D407" s="4" t="s">
        <v>175</v>
      </c>
      <c r="E407" s="4" t="s">
        <v>1027</v>
      </c>
      <c r="F407" s="43" t="s">
        <v>929</v>
      </c>
      <c r="G407" s="4" t="s">
        <v>1093</v>
      </c>
      <c r="H407" s="208">
        <v>1</v>
      </c>
      <c r="I407" s="4"/>
      <c r="J407" s="46" t="s">
        <v>1155</v>
      </c>
      <c r="K407" s="4" t="str">
        <f>_xlfn.IFNA(VLOOKUP($J407,WH_Data[],6,FALSE),"")</f>
        <v>MODULE, CO2</v>
      </c>
      <c r="L407" s="4" t="str">
        <f>_xlfn.IFNA(VLOOKUP($J407,WH_Data[],3,FALSE),"")</f>
        <v>PHILIPS MEDICAL SYSTEMS AUSTRA</v>
      </c>
      <c r="M407" s="4" t="str">
        <f>_xlfn.IFNA(VLOOKUP($J407,WH_Data[],5,FALSE),"")</f>
        <v>Microstream CO₂ Extension</v>
      </c>
      <c r="N407" s="4" t="str">
        <f>_xlfn.IFNA(VLOOKUP($J407,WH_Data[],7,FALSE),"")</f>
        <v>DE61414245</v>
      </c>
      <c r="O407" s="4" t="str">
        <f>_xlfn.IFNA(VLOOKUP($J407,WH_Data[],8,FALSE),"")</f>
        <v>CCU FH</v>
      </c>
      <c r="P407" s="8">
        <v>1</v>
      </c>
      <c r="Q407" s="209">
        <f>Mon_ILR2[[#This Row],[Qty Required]]-Mon_ILR2[[#This Row],[QTY Transfer]]</f>
        <v>0</v>
      </c>
      <c r="R407" s="66" t="s">
        <v>905</v>
      </c>
      <c r="S407" t="s">
        <v>928</v>
      </c>
      <c r="T407" s="210">
        <f>_xlfn.IFNA(VLOOKUP(Mon_ILR2[[#This Row],[New Model]],PhilipsLibary[],4,FALSE),"0")</f>
        <v>4924</v>
      </c>
      <c r="U407" s="210">
        <f>_xlfn.IFNA(VLOOKUP(Mon_ILR2[[#This Row],[New Model]],PhilipsLibary[],5,FALSE),"0")</f>
        <v>0</v>
      </c>
      <c r="V407" s="210">
        <f>_xlfn.IFNA(VLOOKUP(Mon_ILR2[[#This Row],[New Model]],PhilipsLibary[],5,FALSE),"0")</f>
        <v>0</v>
      </c>
      <c r="W407" s="210">
        <f>Mon_ILR2[[#This Row],[Accessory Rate]]+Mon_ILR2[[#This Row],[Mounting Rate]]+Mon_ILR2[[#This Row],[Unit Rate]]*Mon_ILR2[[#This Row],[New Quantity Required ]]</f>
        <v>0</v>
      </c>
      <c r="X407" s="8"/>
      <c r="Y407" s="246" t="s">
        <v>1153</v>
      </c>
    </row>
    <row r="408" spans="2:25" ht="15.75" customHeight="1" x14ac:dyDescent="0.25">
      <c r="B408" s="207" t="s">
        <v>161</v>
      </c>
      <c r="C408" s="66" t="s">
        <v>174</v>
      </c>
      <c r="D408" s="4" t="s">
        <v>175</v>
      </c>
      <c r="E408" s="4" t="s">
        <v>1027</v>
      </c>
      <c r="F408" s="43" t="s">
        <v>929</v>
      </c>
      <c r="G408" s="4" t="s">
        <v>1093</v>
      </c>
      <c r="H408" s="208">
        <v>1</v>
      </c>
      <c r="I408" s="4"/>
      <c r="J408" s="46" t="s">
        <v>1156</v>
      </c>
      <c r="K408" s="4" t="str">
        <f>_xlfn.IFNA(VLOOKUP($J408,WH_Data[],6,FALSE),"")</f>
        <v>MODULE, CO2</v>
      </c>
      <c r="L408" s="4" t="str">
        <f>_xlfn.IFNA(VLOOKUP($J408,WH_Data[],3,FALSE),"")</f>
        <v>PHILIPS MEDICAL SYSTEMS AUSTRA</v>
      </c>
      <c r="M408" s="4" t="str">
        <f>_xlfn.IFNA(VLOOKUP($J408,WH_Data[],5,FALSE),"")</f>
        <v>Microstream CO₂ Extension</v>
      </c>
      <c r="N408" s="4" t="str">
        <f>_xlfn.IFNA(VLOOKUP($J408,WH_Data[],7,FALSE),"")</f>
        <v>DE61414264</v>
      </c>
      <c r="O408" s="4" t="str">
        <f>_xlfn.IFNA(VLOOKUP($J408,WH_Data[],8,FALSE),"")</f>
        <v>CCU FH</v>
      </c>
      <c r="P408" s="8">
        <v>1</v>
      </c>
      <c r="Q408" s="209">
        <f>Mon_ILR2[[#This Row],[Qty Required]]-Mon_ILR2[[#This Row],[QTY Transfer]]</f>
        <v>0</v>
      </c>
      <c r="R408" s="66" t="s">
        <v>905</v>
      </c>
      <c r="S408" t="s">
        <v>928</v>
      </c>
      <c r="T408" s="210">
        <f>_xlfn.IFNA(VLOOKUP(Mon_ILR2[[#This Row],[New Model]],PhilipsLibary[],4,FALSE),"0")</f>
        <v>4924</v>
      </c>
      <c r="U408" s="210">
        <f>_xlfn.IFNA(VLOOKUP(Mon_ILR2[[#This Row],[New Model]],PhilipsLibary[],5,FALSE),"0")</f>
        <v>0</v>
      </c>
      <c r="V408" s="210">
        <f>_xlfn.IFNA(VLOOKUP(Mon_ILR2[[#This Row],[New Model]],PhilipsLibary[],5,FALSE),"0")</f>
        <v>0</v>
      </c>
      <c r="W408" s="210">
        <f>Mon_ILR2[[#This Row],[Accessory Rate]]+Mon_ILR2[[#This Row],[Mounting Rate]]+Mon_ILR2[[#This Row],[Unit Rate]]*Mon_ILR2[[#This Row],[New Quantity Required ]]</f>
        <v>0</v>
      </c>
      <c r="X408" s="8"/>
      <c r="Y408" s="246" t="s">
        <v>1153</v>
      </c>
    </row>
    <row r="409" spans="2:25" ht="15.75" customHeight="1" x14ac:dyDescent="0.25">
      <c r="B409" s="207" t="s">
        <v>275</v>
      </c>
      <c r="C409" s="66" t="s">
        <v>276</v>
      </c>
      <c r="D409" s="4" t="s">
        <v>277</v>
      </c>
      <c r="E409" s="4" t="s">
        <v>1072</v>
      </c>
      <c r="F409" s="4" t="s">
        <v>929</v>
      </c>
      <c r="G409" s="4" t="s">
        <v>1093</v>
      </c>
      <c r="H409" s="208">
        <v>1</v>
      </c>
      <c r="I409" s="4"/>
      <c r="J409" s="15"/>
      <c r="K409" s="4"/>
      <c r="L409" s="4"/>
      <c r="M409" s="4"/>
      <c r="N409" s="4"/>
      <c r="O409" s="4"/>
      <c r="P409" s="8"/>
      <c r="Q409" s="209">
        <f>Mon_ILR2[[#This Row],[Qty Required]]-Mon_ILR2[[#This Row],[QTY Transfer]]</f>
        <v>1</v>
      </c>
      <c r="R409" s="66" t="s">
        <v>905</v>
      </c>
      <c r="S409" s="66" t="s">
        <v>928</v>
      </c>
      <c r="T409" s="210">
        <f>_xlfn.IFNA(VLOOKUP(Mon_ILR2[[#This Row],[New Model]],PhilipsLibary[],4,FALSE),"0")</f>
        <v>4924</v>
      </c>
      <c r="U409" s="210">
        <f>_xlfn.IFNA(VLOOKUP(Mon_ILR2[[#This Row],[New Model]],PhilipsLibary[],5,FALSE),"0")</f>
        <v>0</v>
      </c>
      <c r="V409" s="210">
        <f>_xlfn.IFNA(VLOOKUP(Mon_ILR2[[#This Row],[New Model]],PhilipsLibary[],5,FALSE),"0")</f>
        <v>0</v>
      </c>
      <c r="W409" s="210">
        <f>Mon_ILR2[[#This Row],[Accessory Rate]]+Mon_ILR2[[#This Row],[Mounting Rate]]+Mon_ILR2[[#This Row],[Unit Rate]]*Mon_ILR2[[#This Row],[New Quantity Required ]]</f>
        <v>4924</v>
      </c>
      <c r="X409" s="8"/>
      <c r="Y409" s="246"/>
    </row>
    <row r="410" spans="2:25" ht="15.75" customHeight="1" x14ac:dyDescent="0.25">
      <c r="B410" s="207" t="s">
        <v>275</v>
      </c>
      <c r="C410" s="66" t="s">
        <v>276</v>
      </c>
      <c r="D410" s="4" t="s">
        <v>282</v>
      </c>
      <c r="E410" s="4" t="s">
        <v>1072</v>
      </c>
      <c r="F410" s="4" t="s">
        <v>929</v>
      </c>
      <c r="G410" s="4" t="s">
        <v>1093</v>
      </c>
      <c r="H410" s="208">
        <v>1</v>
      </c>
      <c r="I410" s="4"/>
      <c r="J410" s="15"/>
      <c r="K410" s="4"/>
      <c r="L410" s="4"/>
      <c r="M410" s="4"/>
      <c r="N410" s="4"/>
      <c r="O410" s="4"/>
      <c r="P410" s="8"/>
      <c r="Q410" s="209">
        <f>Mon_ILR2[[#This Row],[Qty Required]]-Mon_ILR2[[#This Row],[QTY Transfer]]</f>
        <v>1</v>
      </c>
      <c r="R410" s="66" t="s">
        <v>905</v>
      </c>
      <c r="S410" s="66" t="s">
        <v>928</v>
      </c>
      <c r="T410" s="210">
        <f>_xlfn.IFNA(VLOOKUP(Mon_ILR2[[#This Row],[New Model]],PhilipsLibary[],4,FALSE),"0")</f>
        <v>4924</v>
      </c>
      <c r="U410" s="210">
        <f>_xlfn.IFNA(VLOOKUP(Mon_ILR2[[#This Row],[New Model]],PhilipsLibary[],5,FALSE),"0")</f>
        <v>0</v>
      </c>
      <c r="V410" s="210">
        <f>_xlfn.IFNA(VLOOKUP(Mon_ILR2[[#This Row],[New Model]],PhilipsLibary[],5,FALSE),"0")</f>
        <v>0</v>
      </c>
      <c r="W410" s="210">
        <f>Mon_ILR2[[#This Row],[Accessory Rate]]+Mon_ILR2[[#This Row],[Mounting Rate]]+Mon_ILR2[[#This Row],[Unit Rate]]*Mon_ILR2[[#This Row],[New Quantity Required ]]</f>
        <v>4924</v>
      </c>
      <c r="X410" s="8"/>
      <c r="Y410" s="246"/>
    </row>
    <row r="411" spans="2:25" ht="15.75" customHeight="1" x14ac:dyDescent="0.25">
      <c r="B411" s="207" t="s">
        <v>275</v>
      </c>
      <c r="C411" s="66" t="s">
        <v>276</v>
      </c>
      <c r="D411" s="4" t="s">
        <v>285</v>
      </c>
      <c r="E411" s="4" t="s">
        <v>1072</v>
      </c>
      <c r="F411" s="4" t="s">
        <v>929</v>
      </c>
      <c r="G411" s="4" t="s">
        <v>1093</v>
      </c>
      <c r="H411" s="208">
        <v>1</v>
      </c>
      <c r="I411" s="4"/>
      <c r="J411" s="15"/>
      <c r="K411" s="4"/>
      <c r="L411" s="4"/>
      <c r="M411" s="4"/>
      <c r="N411" s="4"/>
      <c r="O411" s="4"/>
      <c r="P411" s="8"/>
      <c r="Q411" s="209">
        <f>Mon_ILR2[[#This Row],[Qty Required]]-Mon_ILR2[[#This Row],[QTY Transfer]]</f>
        <v>1</v>
      </c>
      <c r="R411" s="66" t="s">
        <v>905</v>
      </c>
      <c r="S411" s="66" t="s">
        <v>928</v>
      </c>
      <c r="T411" s="210">
        <f>_xlfn.IFNA(VLOOKUP(Mon_ILR2[[#This Row],[New Model]],PhilipsLibary[],4,FALSE),"0")</f>
        <v>4924</v>
      </c>
      <c r="U411" s="210">
        <f>_xlfn.IFNA(VLOOKUP(Mon_ILR2[[#This Row],[New Model]],PhilipsLibary[],5,FALSE),"0")</f>
        <v>0</v>
      </c>
      <c r="V411" s="210">
        <f>_xlfn.IFNA(VLOOKUP(Mon_ILR2[[#This Row],[New Model]],PhilipsLibary[],5,FALSE),"0")</f>
        <v>0</v>
      </c>
      <c r="W411" s="210">
        <f>Mon_ILR2[[#This Row],[Accessory Rate]]+Mon_ILR2[[#This Row],[Mounting Rate]]+Mon_ILR2[[#This Row],[Unit Rate]]*Mon_ILR2[[#This Row],[New Quantity Required ]]</f>
        <v>4924</v>
      </c>
      <c r="X411" s="8"/>
      <c r="Y411" s="246"/>
    </row>
    <row r="412" spans="2:25" ht="15.75" customHeight="1" x14ac:dyDescent="0.25">
      <c r="B412" s="207" t="s">
        <v>275</v>
      </c>
      <c r="C412" s="66" t="s">
        <v>288</v>
      </c>
      <c r="D412" s="4" t="s">
        <v>289</v>
      </c>
      <c r="E412" s="4" t="s">
        <v>1072</v>
      </c>
      <c r="F412" s="4" t="s">
        <v>929</v>
      </c>
      <c r="G412" s="4" t="s">
        <v>1093</v>
      </c>
      <c r="H412" s="208">
        <v>1</v>
      </c>
      <c r="I412" s="4"/>
      <c r="J412" s="15"/>
      <c r="K412" s="4"/>
      <c r="L412" s="4"/>
      <c r="M412" s="4"/>
      <c r="N412" s="4"/>
      <c r="O412" s="4"/>
      <c r="P412" s="8"/>
      <c r="Q412" s="209">
        <f>Mon_ILR2[[#This Row],[Qty Required]]-Mon_ILR2[[#This Row],[QTY Transfer]]</f>
        <v>1</v>
      </c>
      <c r="R412" s="66" t="s">
        <v>905</v>
      </c>
      <c r="S412" s="66" t="s">
        <v>928</v>
      </c>
      <c r="T412" s="210">
        <f>_xlfn.IFNA(VLOOKUP(Mon_ILR2[[#This Row],[New Model]],PhilipsLibary[],4,FALSE),"0")</f>
        <v>4924</v>
      </c>
      <c r="U412" s="210">
        <f>_xlfn.IFNA(VLOOKUP(Mon_ILR2[[#This Row],[New Model]],PhilipsLibary[],5,FALSE),"0")</f>
        <v>0</v>
      </c>
      <c r="V412" s="210">
        <f>_xlfn.IFNA(VLOOKUP(Mon_ILR2[[#This Row],[New Model]],PhilipsLibary[],5,FALSE),"0")</f>
        <v>0</v>
      </c>
      <c r="W412" s="210">
        <f>Mon_ILR2[[#This Row],[Accessory Rate]]+Mon_ILR2[[#This Row],[Mounting Rate]]+Mon_ILR2[[#This Row],[Unit Rate]]*Mon_ILR2[[#This Row],[New Quantity Required ]]</f>
        <v>4924</v>
      </c>
      <c r="X412" s="8"/>
      <c r="Y412" s="246"/>
    </row>
    <row r="413" spans="2:25" ht="15.75" customHeight="1" x14ac:dyDescent="0.25">
      <c r="B413" s="207" t="s">
        <v>275</v>
      </c>
      <c r="C413" s="66" t="s">
        <v>276</v>
      </c>
      <c r="D413" s="4" t="s">
        <v>292</v>
      </c>
      <c r="E413" s="4" t="s">
        <v>1072</v>
      </c>
      <c r="F413" s="4" t="s">
        <v>929</v>
      </c>
      <c r="G413" s="4" t="s">
        <v>1093</v>
      </c>
      <c r="H413" s="208">
        <v>1</v>
      </c>
      <c r="I413" s="4"/>
      <c r="J413" s="15"/>
      <c r="K413" s="4"/>
      <c r="L413" s="4"/>
      <c r="M413" s="4"/>
      <c r="N413" s="4"/>
      <c r="O413" s="4"/>
      <c r="P413" s="8"/>
      <c r="Q413" s="209">
        <f>Mon_ILR2[[#This Row],[Qty Required]]-Mon_ILR2[[#This Row],[QTY Transfer]]</f>
        <v>1</v>
      </c>
      <c r="R413" s="66" t="s">
        <v>905</v>
      </c>
      <c r="S413" s="66" t="s">
        <v>928</v>
      </c>
      <c r="T413" s="210">
        <f>_xlfn.IFNA(VLOOKUP(Mon_ILR2[[#This Row],[New Model]],PhilipsLibary[],4,FALSE),"0")</f>
        <v>4924</v>
      </c>
      <c r="U413" s="210">
        <f>_xlfn.IFNA(VLOOKUP(Mon_ILR2[[#This Row],[New Model]],PhilipsLibary[],5,FALSE),"0")</f>
        <v>0</v>
      </c>
      <c r="V413" s="210">
        <f>_xlfn.IFNA(VLOOKUP(Mon_ILR2[[#This Row],[New Model]],PhilipsLibary[],5,FALSE),"0")</f>
        <v>0</v>
      </c>
      <c r="W413" s="210">
        <f>Mon_ILR2[[#This Row],[Accessory Rate]]+Mon_ILR2[[#This Row],[Mounting Rate]]+Mon_ILR2[[#This Row],[Unit Rate]]*Mon_ILR2[[#This Row],[New Quantity Required ]]</f>
        <v>4924</v>
      </c>
      <c r="X413" s="8"/>
      <c r="Y413" s="246"/>
    </row>
    <row r="414" spans="2:25" ht="15.75" customHeight="1" x14ac:dyDescent="0.25">
      <c r="B414" s="207" t="s">
        <v>275</v>
      </c>
      <c r="C414" s="66" t="s">
        <v>174</v>
      </c>
      <c r="D414" s="4" t="s">
        <v>295</v>
      </c>
      <c r="E414" s="4" t="s">
        <v>1027</v>
      </c>
      <c r="F414" s="4" t="s">
        <v>929</v>
      </c>
      <c r="G414" s="4" t="s">
        <v>1093</v>
      </c>
      <c r="H414" s="208">
        <v>1</v>
      </c>
      <c r="I414" s="4"/>
      <c r="J414" s="46" t="s">
        <v>1157</v>
      </c>
      <c r="K414" s="4" t="str">
        <f>_xlfn.IFNA(VLOOKUP($J414,WH_Data[],6,FALSE),"")</f>
        <v>MODULE, CO2</v>
      </c>
      <c r="L414" s="4" t="str">
        <f>_xlfn.IFNA(VLOOKUP($J414,WH_Data[],3,FALSE),"")</f>
        <v>PHILIPS MEDICAL SYSTEMS AUSTRA</v>
      </c>
      <c r="M414" s="4" t="str">
        <f>_xlfn.IFNA(VLOOKUP($J414,WH_Data[],5,FALSE),"")</f>
        <v>Capnography Extension</v>
      </c>
      <c r="N414" s="4" t="str">
        <f>_xlfn.IFNA(VLOOKUP($J414,WH_Data[],7,FALSE),"")</f>
        <v>DE69748234</v>
      </c>
      <c r="O414" s="4" t="str">
        <f>_xlfn.IFNA(VLOOKUP($J414,WH_Data[],8,FALSE),"")</f>
        <v>ED - FH</v>
      </c>
      <c r="P414" s="8">
        <v>1</v>
      </c>
      <c r="Q414" s="209">
        <f>Mon_ILR2[[#This Row],[Qty Required]]-Mon_ILR2[[#This Row],[QTY Transfer]]</f>
        <v>0</v>
      </c>
      <c r="R414" s="66" t="s">
        <v>905</v>
      </c>
      <c r="S414" s="66" t="s">
        <v>928</v>
      </c>
      <c r="T414" s="210">
        <f>_xlfn.IFNA(VLOOKUP(Mon_ILR2[[#This Row],[New Model]],PhilipsLibary[],4,FALSE),"0")</f>
        <v>4924</v>
      </c>
      <c r="U414" s="210">
        <f>_xlfn.IFNA(VLOOKUP(Mon_ILR2[[#This Row],[New Model]],PhilipsLibary[],5,FALSE),"0")</f>
        <v>0</v>
      </c>
      <c r="V414" s="210">
        <f>_xlfn.IFNA(VLOOKUP(Mon_ILR2[[#This Row],[New Model]],PhilipsLibary[],5,FALSE),"0")</f>
        <v>0</v>
      </c>
      <c r="W414" s="210">
        <f>Mon_ILR2[[#This Row],[Accessory Rate]]+Mon_ILR2[[#This Row],[Mounting Rate]]+Mon_ILR2[[#This Row],[Unit Rate]]*Mon_ILR2[[#This Row],[New Quantity Required ]]</f>
        <v>0</v>
      </c>
      <c r="X414" s="8"/>
      <c r="Y414" s="246"/>
    </row>
    <row r="415" spans="2:25" ht="15.75" customHeight="1" x14ac:dyDescent="0.25">
      <c r="B415" s="207" t="s">
        <v>275</v>
      </c>
      <c r="C415" s="66" t="s">
        <v>174</v>
      </c>
      <c r="D415" s="4" t="s">
        <v>295</v>
      </c>
      <c r="E415" s="4" t="s">
        <v>1027</v>
      </c>
      <c r="F415" s="4" t="s">
        <v>929</v>
      </c>
      <c r="G415" s="4" t="s">
        <v>1093</v>
      </c>
      <c r="H415" s="208">
        <v>1</v>
      </c>
      <c r="I415" s="4"/>
      <c r="J415" s="46" t="s">
        <v>1158</v>
      </c>
      <c r="K415" s="4" t="str">
        <f>_xlfn.IFNA(VLOOKUP($J415,WH_Data[],6,FALSE),"")</f>
        <v>MODULE, CO2</v>
      </c>
      <c r="L415" s="4" t="str">
        <f>_xlfn.IFNA(VLOOKUP($J415,WH_Data[],3,FALSE),"")</f>
        <v>PHILIPS MEDICAL SYSTEMS AUSTRA</v>
      </c>
      <c r="M415" s="4" t="str">
        <f>_xlfn.IFNA(VLOOKUP($J415,WH_Data[],5,FALSE),"")</f>
        <v>Microstream CO₂ Extension</v>
      </c>
      <c r="N415" s="4" t="str">
        <f>_xlfn.IFNA(VLOOKUP($J415,WH_Data[],7,FALSE),"")</f>
        <v>DE69765780</v>
      </c>
      <c r="O415" s="4" t="str">
        <f>_xlfn.IFNA(VLOOKUP($J415,WH_Data[],8,FALSE),"")</f>
        <v>ED FH</v>
      </c>
      <c r="P415" s="8">
        <v>1</v>
      </c>
      <c r="Q415" s="209">
        <f>Mon_ILR2[[#This Row],[Qty Required]]-Mon_ILR2[[#This Row],[QTY Transfer]]</f>
        <v>0</v>
      </c>
      <c r="R415" s="66" t="s">
        <v>905</v>
      </c>
      <c r="S415" s="66" t="s">
        <v>928</v>
      </c>
      <c r="T415" s="210">
        <f>_xlfn.IFNA(VLOOKUP(Mon_ILR2[[#This Row],[New Model]],PhilipsLibary[],4,FALSE),"0")</f>
        <v>4924</v>
      </c>
      <c r="U415" s="210">
        <f>_xlfn.IFNA(VLOOKUP(Mon_ILR2[[#This Row],[New Model]],PhilipsLibary[],5,FALSE),"0")</f>
        <v>0</v>
      </c>
      <c r="V415" s="210">
        <f>_xlfn.IFNA(VLOOKUP(Mon_ILR2[[#This Row],[New Model]],PhilipsLibary[],5,FALSE),"0")</f>
        <v>0</v>
      </c>
      <c r="W415" s="210">
        <f>Mon_ILR2[[#This Row],[Accessory Rate]]+Mon_ILR2[[#This Row],[Mounting Rate]]+Mon_ILR2[[#This Row],[Unit Rate]]*Mon_ILR2[[#This Row],[New Quantity Required ]]</f>
        <v>0</v>
      </c>
      <c r="X415" s="8"/>
      <c r="Y415" s="246"/>
    </row>
    <row r="416" spans="2:25" ht="15.75" customHeight="1" x14ac:dyDescent="0.25">
      <c r="B416" s="207" t="s">
        <v>275</v>
      </c>
      <c r="C416" s="66" t="s">
        <v>174</v>
      </c>
      <c r="D416" s="4" t="s">
        <v>295</v>
      </c>
      <c r="E416" s="4" t="s">
        <v>1027</v>
      </c>
      <c r="F416" s="4" t="s">
        <v>929</v>
      </c>
      <c r="G416" s="4" t="s">
        <v>1093</v>
      </c>
      <c r="H416" s="208">
        <v>1</v>
      </c>
      <c r="I416" s="4"/>
      <c r="J416" s="46" t="s">
        <v>1159</v>
      </c>
      <c r="K416" s="4" t="str">
        <f>_xlfn.IFNA(VLOOKUP($J416,WH_Data[],6,FALSE),"")</f>
        <v>MODULE, CO2</v>
      </c>
      <c r="L416" s="4" t="str">
        <f>_xlfn.IFNA(VLOOKUP($J416,WH_Data[],3,FALSE),"")</f>
        <v>PHILIPS MEDICAL SYSTEMS AUSTRA</v>
      </c>
      <c r="M416" s="4" t="str">
        <f>_xlfn.IFNA(VLOOKUP($J416,WH_Data[],5,FALSE),"")</f>
        <v>Microstream CO₂ Extension</v>
      </c>
      <c r="N416" s="4" t="str">
        <f>_xlfn.IFNA(VLOOKUP($J416,WH_Data[],7,FALSE),"")</f>
        <v>DE742A2344</v>
      </c>
      <c r="O416" s="4" t="str">
        <f>_xlfn.IFNA(VLOOKUP($J416,WH_Data[],8,FALSE),"")</f>
        <v>ED FH</v>
      </c>
      <c r="P416" s="8">
        <v>1</v>
      </c>
      <c r="Q416" s="209">
        <f>Mon_ILR2[[#This Row],[Qty Required]]-Mon_ILR2[[#This Row],[QTY Transfer]]</f>
        <v>0</v>
      </c>
      <c r="R416" s="66" t="s">
        <v>905</v>
      </c>
      <c r="S416" s="66" t="s">
        <v>928</v>
      </c>
      <c r="T416" s="210">
        <f>_xlfn.IFNA(VLOOKUP(Mon_ILR2[[#This Row],[New Model]],PhilipsLibary[],4,FALSE),"0")</f>
        <v>4924</v>
      </c>
      <c r="U416" s="210">
        <f>_xlfn.IFNA(VLOOKUP(Mon_ILR2[[#This Row],[New Model]],PhilipsLibary[],5,FALSE),"0")</f>
        <v>0</v>
      </c>
      <c r="V416" s="210">
        <f>_xlfn.IFNA(VLOOKUP(Mon_ILR2[[#This Row],[New Model]],PhilipsLibary[],5,FALSE),"0")</f>
        <v>0</v>
      </c>
      <c r="W416" s="210">
        <f>Mon_ILR2[[#This Row],[Accessory Rate]]+Mon_ILR2[[#This Row],[Mounting Rate]]+Mon_ILR2[[#This Row],[Unit Rate]]*Mon_ILR2[[#This Row],[New Quantity Required ]]</f>
        <v>0</v>
      </c>
      <c r="X416" s="8"/>
      <c r="Y416" s="246"/>
    </row>
    <row r="417" spans="2:41" ht="15.75" customHeight="1" x14ac:dyDescent="0.25">
      <c r="B417" s="207" t="s">
        <v>275</v>
      </c>
      <c r="C417" s="66" t="s">
        <v>174</v>
      </c>
      <c r="D417" s="4" t="s">
        <v>295</v>
      </c>
      <c r="E417" s="4" t="s">
        <v>1027</v>
      </c>
      <c r="F417" s="4" t="s">
        <v>929</v>
      </c>
      <c r="G417" s="4" t="s">
        <v>1093</v>
      </c>
      <c r="H417" s="208">
        <v>1</v>
      </c>
      <c r="I417" s="4"/>
      <c r="J417" s="46" t="s">
        <v>1160</v>
      </c>
      <c r="K417" s="4" t="str">
        <f>_xlfn.IFNA(VLOOKUP($J417,WH_Data[],6,FALSE),"")</f>
        <v>MODULE, CO2</v>
      </c>
      <c r="L417" s="4" t="str">
        <f>_xlfn.IFNA(VLOOKUP($J417,WH_Data[],3,FALSE),"")</f>
        <v>PHILIPS MEDICAL SYSTEMS AUSTRA</v>
      </c>
      <c r="M417" s="4" t="str">
        <f>_xlfn.IFNA(VLOOKUP($J417,WH_Data[],5,FALSE),"")</f>
        <v>Microstream CO₂ Extension</v>
      </c>
      <c r="N417" s="4" t="str">
        <f>_xlfn.IFNA(VLOOKUP($J417,WH_Data[],7,FALSE),"")</f>
        <v>DE742A2351</v>
      </c>
      <c r="O417" s="4" t="str">
        <f>_xlfn.IFNA(VLOOKUP($J417,WH_Data[],8,FALSE),"")</f>
        <v>ED FH</v>
      </c>
      <c r="P417" s="8">
        <v>1</v>
      </c>
      <c r="Q417" s="209">
        <f>Mon_ILR2[[#This Row],[Qty Required]]-Mon_ILR2[[#This Row],[QTY Transfer]]</f>
        <v>0</v>
      </c>
      <c r="R417" s="66" t="s">
        <v>905</v>
      </c>
      <c r="S417" s="66" t="s">
        <v>928</v>
      </c>
      <c r="T417" s="210">
        <f>_xlfn.IFNA(VLOOKUP(Mon_ILR2[[#This Row],[New Model]],PhilipsLibary[],4,FALSE),"0")</f>
        <v>4924</v>
      </c>
      <c r="U417" s="210">
        <f>_xlfn.IFNA(VLOOKUP(Mon_ILR2[[#This Row],[New Model]],PhilipsLibary[],5,FALSE),"0")</f>
        <v>0</v>
      </c>
      <c r="V417" s="210">
        <f>_xlfn.IFNA(VLOOKUP(Mon_ILR2[[#This Row],[New Model]],PhilipsLibary[],5,FALSE),"0")</f>
        <v>0</v>
      </c>
      <c r="W417" s="210">
        <f>Mon_ILR2[[#This Row],[Accessory Rate]]+Mon_ILR2[[#This Row],[Mounting Rate]]+Mon_ILR2[[#This Row],[Unit Rate]]*Mon_ILR2[[#This Row],[New Quantity Required ]]</f>
        <v>0</v>
      </c>
      <c r="X417" s="8"/>
      <c r="Y417" s="246"/>
    </row>
    <row r="418" spans="2:41" ht="15.75" customHeight="1" x14ac:dyDescent="0.25">
      <c r="B418" s="207" t="s">
        <v>275</v>
      </c>
      <c r="C418" s="66" t="s">
        <v>174</v>
      </c>
      <c r="D418" s="4" t="s">
        <v>295</v>
      </c>
      <c r="E418" s="4" t="s">
        <v>1027</v>
      </c>
      <c r="F418" s="4" t="s">
        <v>929</v>
      </c>
      <c r="G418" s="4" t="s">
        <v>1093</v>
      </c>
      <c r="H418" s="208">
        <v>1</v>
      </c>
      <c r="I418" s="4"/>
      <c r="J418" s="46" t="s">
        <v>1161</v>
      </c>
      <c r="K418" s="4" t="str">
        <f>_xlfn.IFNA(VLOOKUP($J418,WH_Data[],6,FALSE),"")</f>
        <v>MODULE, CO2</v>
      </c>
      <c r="L418" s="4" t="str">
        <f>_xlfn.IFNA(VLOOKUP($J418,WH_Data[],3,FALSE),"")</f>
        <v>PHILIPS MEDICAL SYSTEMS AUSTRA</v>
      </c>
      <c r="M418" s="4" t="str">
        <f>_xlfn.IFNA(VLOOKUP($J418,WH_Data[],5,FALSE),"")</f>
        <v>Microstream CO₂ Extension</v>
      </c>
      <c r="N418" s="4" t="str">
        <f>_xlfn.IFNA(VLOOKUP($J418,WH_Data[],7,FALSE),"")</f>
        <v>DE742A2354</v>
      </c>
      <c r="O418" s="4" t="str">
        <f>_xlfn.IFNA(VLOOKUP($J418,WH_Data[],8,FALSE),"")</f>
        <v>ED FH</v>
      </c>
      <c r="P418" s="8">
        <v>1</v>
      </c>
      <c r="Q418" s="209">
        <f>Mon_ILR2[[#This Row],[Qty Required]]-Mon_ILR2[[#This Row],[QTY Transfer]]</f>
        <v>0</v>
      </c>
      <c r="R418" s="66" t="s">
        <v>905</v>
      </c>
      <c r="S418" s="66" t="s">
        <v>928</v>
      </c>
      <c r="T418" s="210">
        <f>_xlfn.IFNA(VLOOKUP(Mon_ILR2[[#This Row],[New Model]],PhilipsLibary[],4,FALSE),"0")</f>
        <v>4924</v>
      </c>
      <c r="U418" s="210">
        <f>_xlfn.IFNA(VLOOKUP(Mon_ILR2[[#This Row],[New Model]],PhilipsLibary[],5,FALSE),"0")</f>
        <v>0</v>
      </c>
      <c r="V418" s="210">
        <f>_xlfn.IFNA(VLOOKUP(Mon_ILR2[[#This Row],[New Model]],PhilipsLibary[],5,FALSE),"0")</f>
        <v>0</v>
      </c>
      <c r="W418" s="210">
        <f>Mon_ILR2[[#This Row],[Accessory Rate]]+Mon_ILR2[[#This Row],[Mounting Rate]]+Mon_ILR2[[#This Row],[Unit Rate]]*Mon_ILR2[[#This Row],[New Quantity Required ]]</f>
        <v>0</v>
      </c>
      <c r="X418" s="8"/>
      <c r="Y418" s="246"/>
    </row>
    <row r="419" spans="2:41" ht="15.75" customHeight="1" x14ac:dyDescent="0.25">
      <c r="B419" s="207" t="s">
        <v>275</v>
      </c>
      <c r="C419" s="66" t="s">
        <v>174</v>
      </c>
      <c r="D419" s="4" t="s">
        <v>295</v>
      </c>
      <c r="E419" s="4" t="s">
        <v>1027</v>
      </c>
      <c r="F419" s="4" t="s">
        <v>929</v>
      </c>
      <c r="G419" s="4" t="s">
        <v>1093</v>
      </c>
      <c r="H419" s="208">
        <v>1</v>
      </c>
      <c r="I419" s="4"/>
      <c r="J419" s="15" t="s">
        <v>1162</v>
      </c>
      <c r="K419" s="4" t="str">
        <f>_xlfn.IFNA(VLOOKUP($J419,WH_Data[],6,FALSE),"")</f>
        <v>MODULE, CO2</v>
      </c>
      <c r="L419" s="4" t="str">
        <f>_xlfn.IFNA(VLOOKUP($J419,WH_Data[],3,FALSE),"")</f>
        <v>PHILIPS MEDICAL SYSTEMS AUSTRA</v>
      </c>
      <c r="M419" s="4" t="str">
        <f>_xlfn.IFNA(VLOOKUP($J419,WH_Data[],5,FALSE),"")</f>
        <v xml:space="preserve">CO2,  Microstream -  MMS Module </v>
      </c>
      <c r="N419" s="4" t="str">
        <f>_xlfn.IFNA(VLOOKUP($J419,WH_Data[],7,FALSE),"")</f>
        <v>DE43511160</v>
      </c>
      <c r="O419" s="4" t="str">
        <f>_xlfn.IFNA(VLOOKUP($J419,WH_Data[],8,FALSE),"")</f>
        <v>EMERGENCY DEPARTMENT</v>
      </c>
      <c r="P419" s="8">
        <v>1</v>
      </c>
      <c r="Q419" s="209">
        <f>Mon_ILR2[[#This Row],[Qty Required]]-Mon_ILR2[[#This Row],[QTY Transfer]]</f>
        <v>0</v>
      </c>
      <c r="R419" s="66" t="s">
        <v>905</v>
      </c>
      <c r="S419" s="66" t="s">
        <v>928</v>
      </c>
      <c r="T419" s="210">
        <f>_xlfn.IFNA(VLOOKUP(Mon_ILR2[[#This Row],[New Model]],PhilipsLibary[],4,FALSE),"0")</f>
        <v>4924</v>
      </c>
      <c r="U419" s="210">
        <f>_xlfn.IFNA(VLOOKUP(Mon_ILR2[[#This Row],[New Model]],PhilipsLibary[],5,FALSE),"0")</f>
        <v>0</v>
      </c>
      <c r="V419" s="210">
        <f>_xlfn.IFNA(VLOOKUP(Mon_ILR2[[#This Row],[New Model]],PhilipsLibary[],5,FALSE),"0")</f>
        <v>0</v>
      </c>
      <c r="W419" s="210">
        <f>Mon_ILR2[[#This Row],[Accessory Rate]]+Mon_ILR2[[#This Row],[Mounting Rate]]+Mon_ILR2[[#This Row],[Unit Rate]]*Mon_ILR2[[#This Row],[New Quantity Required ]]</f>
        <v>0</v>
      </c>
      <c r="X419" s="8"/>
      <c r="Y419" s="246"/>
    </row>
    <row r="420" spans="2:41" ht="15.75" customHeight="1" x14ac:dyDescent="0.25">
      <c r="B420" s="207" t="s">
        <v>275</v>
      </c>
      <c r="C420" s="66" t="s">
        <v>174</v>
      </c>
      <c r="D420" s="4" t="s">
        <v>295</v>
      </c>
      <c r="E420" s="4" t="s">
        <v>1027</v>
      </c>
      <c r="F420" s="4" t="s">
        <v>929</v>
      </c>
      <c r="G420" s="4" t="s">
        <v>1093</v>
      </c>
      <c r="H420" s="208">
        <v>1</v>
      </c>
      <c r="I420" s="4"/>
      <c r="J420" s="15" t="s">
        <v>1163</v>
      </c>
      <c r="K420" s="4" t="str">
        <f>_xlfn.IFNA(VLOOKUP($J420,WH_Data[],6,FALSE),"")</f>
        <v>MULTI-PARAMETERS MODULE, PHYSIOLOGICAL</v>
      </c>
      <c r="L420" s="4" t="str">
        <f>_xlfn.IFNA(VLOOKUP($J420,WH_Data[],3,FALSE),"")</f>
        <v>PHILIPS MEDICAL SYSTEMS AUSTRA</v>
      </c>
      <c r="M420" s="4" t="str">
        <f>_xlfn.IFNA(VLOOKUP($J420,WH_Data[],5,FALSE),"")</f>
        <v xml:space="preserve">CO2,  Microstream -  MMS Module </v>
      </c>
      <c r="N420" s="4" t="str">
        <f>_xlfn.IFNA(VLOOKUP($J420,WH_Data[],7,FALSE),"")</f>
        <v>DE45582589</v>
      </c>
      <c r="O420" s="4" t="str">
        <f>_xlfn.IFNA(VLOOKUP($J420,WH_Data[],8,FALSE),"")</f>
        <v>EMERGENCY DEPARTMENT</v>
      </c>
      <c r="P420" s="8">
        <v>1</v>
      </c>
      <c r="Q420" s="209">
        <f>Mon_ILR2[[#This Row],[Qty Required]]-Mon_ILR2[[#This Row],[QTY Transfer]]</f>
        <v>0</v>
      </c>
      <c r="R420" s="66" t="s">
        <v>905</v>
      </c>
      <c r="S420" s="66" t="s">
        <v>928</v>
      </c>
      <c r="T420" s="210">
        <f>_xlfn.IFNA(VLOOKUP(Mon_ILR2[[#This Row],[New Model]],PhilipsLibary[],4,FALSE),"0")</f>
        <v>4924</v>
      </c>
      <c r="U420" s="210">
        <f>_xlfn.IFNA(VLOOKUP(Mon_ILR2[[#This Row],[New Model]],PhilipsLibary[],5,FALSE),"0")</f>
        <v>0</v>
      </c>
      <c r="V420" s="210">
        <f>_xlfn.IFNA(VLOOKUP(Mon_ILR2[[#This Row],[New Model]],PhilipsLibary[],5,FALSE),"0")</f>
        <v>0</v>
      </c>
      <c r="W420" s="210">
        <f>Mon_ILR2[[#This Row],[Accessory Rate]]+Mon_ILR2[[#This Row],[Mounting Rate]]+Mon_ILR2[[#This Row],[Unit Rate]]*Mon_ILR2[[#This Row],[New Quantity Required ]]</f>
        <v>0</v>
      </c>
      <c r="X420" s="8"/>
      <c r="Y420" s="246"/>
    </row>
    <row r="421" spans="2:41" ht="183.75" customHeight="1" x14ac:dyDescent="0.25">
      <c r="B421" s="207" t="s">
        <v>446</v>
      </c>
      <c r="C421" s="66" t="s">
        <v>174</v>
      </c>
      <c r="D421" s="4" t="s">
        <v>447</v>
      </c>
      <c r="E421" s="4" t="s">
        <v>1164</v>
      </c>
      <c r="F421" s="4" t="s">
        <v>448</v>
      </c>
      <c r="G421" s="4" t="s">
        <v>449</v>
      </c>
      <c r="H421" s="208">
        <v>1</v>
      </c>
      <c r="I421" s="4"/>
      <c r="J421" s="15" t="s">
        <v>450</v>
      </c>
      <c r="K421" s="4" t="s">
        <v>448</v>
      </c>
      <c r="L421" s="4" t="s">
        <v>451</v>
      </c>
      <c r="M421" s="4" t="s">
        <v>452</v>
      </c>
      <c r="N421" s="4">
        <v>201406750</v>
      </c>
      <c r="O421" s="4" t="s">
        <v>44</v>
      </c>
      <c r="P421" s="8">
        <v>1</v>
      </c>
      <c r="Q421" s="209">
        <v>0</v>
      </c>
      <c r="R421" s="66" t="s">
        <v>905</v>
      </c>
      <c r="S421" s="66" t="s">
        <v>907</v>
      </c>
      <c r="T421" s="210">
        <f>_xlfn.IFNA(VLOOKUP(Mon_ILR2[[#This Row],[New Model]],PhilipsLibary[],4,FALSE),"0")</f>
        <v>4687.2</v>
      </c>
      <c r="U421" s="210">
        <f>_xlfn.IFNA(VLOOKUP(Mon_ILR2[[#This Row],[New Model]],PhilipsLibary[],5,FALSE),"0")</f>
        <v>0</v>
      </c>
      <c r="V421" s="210">
        <f>_xlfn.IFNA(VLOOKUP(Mon_ILR2[[#This Row],[New Model]],PhilipsLibary[],5,FALSE),"0")</f>
        <v>0</v>
      </c>
      <c r="W421" s="210">
        <v>943.28</v>
      </c>
      <c r="X421" s="8"/>
      <c r="Y421" s="289" t="s">
        <v>2217</v>
      </c>
      <c r="Z421" s="6" t="s">
        <v>453</v>
      </c>
      <c r="AA421" s="6" t="s">
        <v>50</v>
      </c>
      <c r="AB421" s="6" t="s">
        <v>47</v>
      </c>
      <c r="AC421" s="6" t="s">
        <v>48</v>
      </c>
      <c r="AD421" s="6" t="s">
        <v>49</v>
      </c>
      <c r="AE421" s="6" t="s">
        <v>50</v>
      </c>
      <c r="AF421" s="6" t="s">
        <v>50</v>
      </c>
      <c r="AG421" s="6" t="s">
        <v>50</v>
      </c>
      <c r="AH421" s="6" t="s">
        <v>50</v>
      </c>
      <c r="AI421" s="6" t="s">
        <v>50</v>
      </c>
      <c r="AJ421" s="6" t="s">
        <v>50</v>
      </c>
      <c r="AK421" s="6" t="s">
        <v>50</v>
      </c>
      <c r="AL421" s="6" t="s">
        <v>50</v>
      </c>
      <c r="AM421" s="6" t="s">
        <v>50</v>
      </c>
      <c r="AN421" s="6" t="s">
        <v>50</v>
      </c>
      <c r="AO421" s="6" t="s">
        <v>50</v>
      </c>
    </row>
    <row r="422" spans="2:41" ht="189.75" customHeight="1" x14ac:dyDescent="0.25">
      <c r="B422" s="207" t="s">
        <v>446</v>
      </c>
      <c r="C422" s="66" t="s">
        <v>174</v>
      </c>
      <c r="D422" s="4" t="s">
        <v>447</v>
      </c>
      <c r="E422" s="4" t="s">
        <v>1164</v>
      </c>
      <c r="F422" s="4" t="s">
        <v>448</v>
      </c>
      <c r="G422" s="4" t="s">
        <v>449</v>
      </c>
      <c r="H422" s="208">
        <v>1</v>
      </c>
      <c r="I422" s="4"/>
      <c r="J422" s="15" t="s">
        <v>454</v>
      </c>
      <c r="K422" s="4" t="s">
        <v>448</v>
      </c>
      <c r="L422" s="4" t="s">
        <v>451</v>
      </c>
      <c r="M422" s="4" t="s">
        <v>452</v>
      </c>
      <c r="N422" s="4">
        <v>201311656</v>
      </c>
      <c r="O422" s="4" t="s">
        <v>44</v>
      </c>
      <c r="P422" s="8">
        <v>1</v>
      </c>
      <c r="Q422" s="209">
        <f>Mon_ILR2[[#This Row],[Qty Required]]-Mon_ILR2[[#This Row],[QTY Transfer]]</f>
        <v>0</v>
      </c>
      <c r="R422" s="66" t="s">
        <v>905</v>
      </c>
      <c r="S422" s="66" t="s">
        <v>907</v>
      </c>
      <c r="T422" s="210">
        <f>_xlfn.IFNA(VLOOKUP(Mon_ILR2[[#This Row],[New Model]],PhilipsLibary[],4,FALSE),"0")</f>
        <v>4687.2</v>
      </c>
      <c r="U422" s="210">
        <f>_xlfn.IFNA(VLOOKUP(Mon_ILR2[[#This Row],[New Model]],PhilipsLibary[],5,FALSE),"0")</f>
        <v>0</v>
      </c>
      <c r="V422" s="210">
        <f>_xlfn.IFNA(VLOOKUP(Mon_ILR2[[#This Row],[New Model]],PhilipsLibary[],5,FALSE),"0")</f>
        <v>0</v>
      </c>
      <c r="W422" s="210">
        <v>943.28</v>
      </c>
      <c r="X422" s="8"/>
      <c r="Y422" s="289" t="s">
        <v>2217</v>
      </c>
      <c r="Z422" s="6" t="s">
        <v>453</v>
      </c>
      <c r="AA422" s="6" t="s">
        <v>50</v>
      </c>
      <c r="AB422" s="6" t="s">
        <v>47</v>
      </c>
      <c r="AC422" s="6" t="s">
        <v>48</v>
      </c>
      <c r="AD422" s="6" t="s">
        <v>49</v>
      </c>
      <c r="AE422" s="6" t="s">
        <v>50</v>
      </c>
      <c r="AF422" s="6" t="s">
        <v>50</v>
      </c>
      <c r="AG422" s="6" t="s">
        <v>50</v>
      </c>
      <c r="AH422" s="6" t="s">
        <v>50</v>
      </c>
      <c r="AI422" s="6" t="s">
        <v>50</v>
      </c>
      <c r="AJ422" s="6" t="s">
        <v>50</v>
      </c>
      <c r="AK422" s="6" t="s">
        <v>50</v>
      </c>
      <c r="AL422" s="6" t="s">
        <v>50</v>
      </c>
      <c r="AM422" s="6" t="s">
        <v>50</v>
      </c>
      <c r="AN422" s="6" t="s">
        <v>50</v>
      </c>
      <c r="AO422" s="6" t="s">
        <v>50</v>
      </c>
    </row>
    <row r="423" spans="2:41" ht="189.75" customHeight="1" x14ac:dyDescent="0.25">
      <c r="B423" s="207" t="s">
        <v>446</v>
      </c>
      <c r="C423" s="66" t="s">
        <v>174</v>
      </c>
      <c r="D423" s="4" t="s">
        <v>447</v>
      </c>
      <c r="E423" s="4" t="s">
        <v>1164</v>
      </c>
      <c r="F423" s="4" t="s">
        <v>448</v>
      </c>
      <c r="G423" s="4" t="s">
        <v>449</v>
      </c>
      <c r="H423" s="208">
        <v>1</v>
      </c>
      <c r="I423" s="4"/>
      <c r="J423" s="15" t="s">
        <v>455</v>
      </c>
      <c r="K423" s="4" t="s">
        <v>448</v>
      </c>
      <c r="L423" s="4" t="s">
        <v>451</v>
      </c>
      <c r="M423" s="4" t="s">
        <v>452</v>
      </c>
      <c r="N423" s="4">
        <v>201300465</v>
      </c>
      <c r="O423" s="4" t="s">
        <v>44</v>
      </c>
      <c r="P423" s="8">
        <v>1</v>
      </c>
      <c r="Q423" s="209">
        <f>Mon_ILR2[[#This Row],[Qty Required]]-Mon_ILR2[[#This Row],[QTY Transfer]]</f>
        <v>0</v>
      </c>
      <c r="R423" s="66" t="s">
        <v>905</v>
      </c>
      <c r="S423" s="66" t="s">
        <v>907</v>
      </c>
      <c r="T423" s="210">
        <f>_xlfn.IFNA(VLOOKUP(Mon_ILR2[[#This Row],[New Model]],PhilipsLibary[],4,FALSE),"0")</f>
        <v>4687.2</v>
      </c>
      <c r="U423" s="210">
        <f>_xlfn.IFNA(VLOOKUP(Mon_ILR2[[#This Row],[New Model]],PhilipsLibary[],5,FALSE),"0")</f>
        <v>0</v>
      </c>
      <c r="V423" s="210">
        <f>_xlfn.IFNA(VLOOKUP(Mon_ILR2[[#This Row],[New Model]],PhilipsLibary[],5,FALSE),"0")</f>
        <v>0</v>
      </c>
      <c r="W423" s="210">
        <v>943.28</v>
      </c>
      <c r="X423" s="8"/>
      <c r="Y423" s="289" t="s">
        <v>2217</v>
      </c>
      <c r="Z423" s="6" t="s">
        <v>453</v>
      </c>
      <c r="AA423" s="6" t="s">
        <v>50</v>
      </c>
      <c r="AB423" s="6" t="s">
        <v>47</v>
      </c>
      <c r="AC423" s="6" t="s">
        <v>48</v>
      </c>
      <c r="AD423" s="6" t="s">
        <v>49</v>
      </c>
      <c r="AE423" s="6" t="s">
        <v>50</v>
      </c>
      <c r="AF423" s="6" t="s">
        <v>50</v>
      </c>
      <c r="AG423" s="6" t="s">
        <v>50</v>
      </c>
      <c r="AH423" s="6" t="s">
        <v>50</v>
      </c>
      <c r="AI423" s="6" t="s">
        <v>50</v>
      </c>
      <c r="AJ423" s="6" t="s">
        <v>50</v>
      </c>
      <c r="AK423" s="6" t="s">
        <v>50</v>
      </c>
      <c r="AL423" s="6" t="s">
        <v>50</v>
      </c>
      <c r="AM423" s="6" t="s">
        <v>50</v>
      </c>
      <c r="AN423" s="6" t="s">
        <v>50</v>
      </c>
      <c r="AO423" s="6" t="s">
        <v>50</v>
      </c>
    </row>
    <row r="424" spans="2:41" ht="189.75" customHeight="1" x14ac:dyDescent="0.25">
      <c r="B424" s="207" t="s">
        <v>446</v>
      </c>
      <c r="C424" s="66" t="s">
        <v>174</v>
      </c>
      <c r="D424" s="4" t="s">
        <v>447</v>
      </c>
      <c r="E424" s="4" t="s">
        <v>1164</v>
      </c>
      <c r="F424" s="4" t="s">
        <v>448</v>
      </c>
      <c r="G424" s="4" t="s">
        <v>449</v>
      </c>
      <c r="H424" s="208">
        <v>1</v>
      </c>
      <c r="I424" s="4"/>
      <c r="J424" s="15" t="s">
        <v>456</v>
      </c>
      <c r="K424" s="4" t="s">
        <v>448</v>
      </c>
      <c r="L424" s="4" t="s">
        <v>451</v>
      </c>
      <c r="M424" s="4" t="s">
        <v>452</v>
      </c>
      <c r="N424" s="4">
        <v>201214306</v>
      </c>
      <c r="O424" s="4" t="s">
        <v>44</v>
      </c>
      <c r="P424" s="8">
        <v>1</v>
      </c>
      <c r="Q424" s="209">
        <f>Mon_ILR2[[#This Row],[Qty Required]]-Mon_ILR2[[#This Row],[QTY Transfer]]</f>
        <v>0</v>
      </c>
      <c r="R424" s="66" t="s">
        <v>905</v>
      </c>
      <c r="S424" s="66" t="s">
        <v>907</v>
      </c>
      <c r="T424" s="210">
        <f>_xlfn.IFNA(VLOOKUP(Mon_ILR2[[#This Row],[New Model]],PhilipsLibary[],4,FALSE),"0")</f>
        <v>4687.2</v>
      </c>
      <c r="U424" s="210">
        <f>_xlfn.IFNA(VLOOKUP(Mon_ILR2[[#This Row],[New Model]],PhilipsLibary[],5,FALSE),"0")</f>
        <v>0</v>
      </c>
      <c r="V424" s="210">
        <f>_xlfn.IFNA(VLOOKUP(Mon_ILR2[[#This Row],[New Model]],PhilipsLibary[],5,FALSE),"0")</f>
        <v>0</v>
      </c>
      <c r="W424" s="210">
        <v>943.28</v>
      </c>
      <c r="X424" s="8"/>
      <c r="Y424" s="289" t="s">
        <v>2217</v>
      </c>
      <c r="Z424" s="6" t="s">
        <v>453</v>
      </c>
      <c r="AA424" s="6" t="s">
        <v>50</v>
      </c>
      <c r="AB424" s="6" t="s">
        <v>47</v>
      </c>
      <c r="AC424" s="6" t="s">
        <v>48</v>
      </c>
      <c r="AD424" s="6" t="s">
        <v>49</v>
      </c>
      <c r="AE424" s="6" t="s">
        <v>50</v>
      </c>
      <c r="AF424" s="6" t="s">
        <v>50</v>
      </c>
      <c r="AG424" s="6" t="s">
        <v>50</v>
      </c>
      <c r="AH424" s="6" t="s">
        <v>50</v>
      </c>
      <c r="AI424" s="6" t="s">
        <v>50</v>
      </c>
      <c r="AJ424" s="6" t="s">
        <v>50</v>
      </c>
      <c r="AK424" s="6" t="s">
        <v>50</v>
      </c>
      <c r="AL424" s="6" t="s">
        <v>50</v>
      </c>
      <c r="AM424" s="6" t="s">
        <v>50</v>
      </c>
      <c r="AN424" s="6" t="s">
        <v>50</v>
      </c>
      <c r="AO424" s="6" t="s">
        <v>50</v>
      </c>
    </row>
    <row r="425" spans="2:41" ht="165" x14ac:dyDescent="0.25">
      <c r="B425" s="207" t="s">
        <v>446</v>
      </c>
      <c r="C425" s="66" t="s">
        <v>174</v>
      </c>
      <c r="D425" s="4" t="s">
        <v>447</v>
      </c>
      <c r="E425" s="4" t="s">
        <v>1164</v>
      </c>
      <c r="F425" s="4" t="s">
        <v>448</v>
      </c>
      <c r="G425" s="4" t="s">
        <v>449</v>
      </c>
      <c r="H425" s="208">
        <v>1</v>
      </c>
      <c r="I425" s="4"/>
      <c r="J425" s="15" t="s">
        <v>457</v>
      </c>
      <c r="K425" s="4" t="s">
        <v>448</v>
      </c>
      <c r="L425" s="4" t="s">
        <v>451</v>
      </c>
      <c r="M425" s="4" t="s">
        <v>452</v>
      </c>
      <c r="N425" s="4">
        <v>201302217</v>
      </c>
      <c r="O425" s="4" t="s">
        <v>44</v>
      </c>
      <c r="P425" s="8">
        <v>1</v>
      </c>
      <c r="Q425" s="209">
        <f>Mon_ILR2[[#This Row],[Qty Required]]-Mon_ILR2[[#This Row],[QTY Transfer]]</f>
        <v>0</v>
      </c>
      <c r="R425" s="66" t="s">
        <v>905</v>
      </c>
      <c r="S425" s="66" t="s">
        <v>907</v>
      </c>
      <c r="T425" s="210">
        <f>_xlfn.IFNA(VLOOKUP(Mon_ILR2[[#This Row],[New Model]],PhilipsLibary[],4,FALSE),"0")</f>
        <v>4687.2</v>
      </c>
      <c r="U425" s="210">
        <f>_xlfn.IFNA(VLOOKUP(Mon_ILR2[[#This Row],[New Model]],PhilipsLibary[],5,FALSE),"0")</f>
        <v>0</v>
      </c>
      <c r="V425" s="210">
        <f>_xlfn.IFNA(VLOOKUP(Mon_ILR2[[#This Row],[New Model]],PhilipsLibary[],5,FALSE),"0")</f>
        <v>0</v>
      </c>
      <c r="W425" s="210">
        <v>943.28</v>
      </c>
      <c r="X425" s="8"/>
      <c r="Y425" s="289" t="s">
        <v>2217</v>
      </c>
      <c r="Z425" s="6" t="s">
        <v>453</v>
      </c>
      <c r="AA425" s="6" t="s">
        <v>50</v>
      </c>
      <c r="AB425" s="6" t="s">
        <v>47</v>
      </c>
      <c r="AC425" s="6" t="s">
        <v>48</v>
      </c>
      <c r="AD425" s="6" t="s">
        <v>49</v>
      </c>
      <c r="AE425" s="6" t="s">
        <v>50</v>
      </c>
      <c r="AF425" s="6" t="s">
        <v>50</v>
      </c>
      <c r="AG425" s="6" t="s">
        <v>50</v>
      </c>
      <c r="AH425" s="6" t="s">
        <v>50</v>
      </c>
      <c r="AI425" s="6" t="s">
        <v>50</v>
      </c>
      <c r="AJ425" s="6" t="s">
        <v>50</v>
      </c>
      <c r="AK425" s="6" t="s">
        <v>50</v>
      </c>
      <c r="AL425" s="6" t="s">
        <v>50</v>
      </c>
      <c r="AM425" s="6" t="s">
        <v>50</v>
      </c>
      <c r="AN425" s="6" t="s">
        <v>50</v>
      </c>
      <c r="AO425" s="6" t="s">
        <v>50</v>
      </c>
    </row>
    <row r="426" spans="2:41" ht="165" x14ac:dyDescent="0.25">
      <c r="B426" s="207" t="s">
        <v>446</v>
      </c>
      <c r="C426" s="66" t="s">
        <v>174</v>
      </c>
      <c r="D426" s="4" t="s">
        <v>447</v>
      </c>
      <c r="E426" s="4" t="s">
        <v>1164</v>
      </c>
      <c r="F426" s="4" t="s">
        <v>448</v>
      </c>
      <c r="G426" s="4" t="s">
        <v>449</v>
      </c>
      <c r="H426" s="208">
        <v>1</v>
      </c>
      <c r="I426" s="4"/>
      <c r="J426" s="15" t="s">
        <v>458</v>
      </c>
      <c r="K426" s="4" t="s">
        <v>448</v>
      </c>
      <c r="L426" s="4" t="s">
        <v>451</v>
      </c>
      <c r="M426" s="4" t="s">
        <v>452</v>
      </c>
      <c r="N426" s="4">
        <v>201214305</v>
      </c>
      <c r="O426" s="4" t="s">
        <v>44</v>
      </c>
      <c r="P426" s="8">
        <v>1</v>
      </c>
      <c r="Q426" s="209">
        <f>Mon_ILR2[[#This Row],[Qty Required]]-Mon_ILR2[[#This Row],[QTY Transfer]]</f>
        <v>0</v>
      </c>
      <c r="R426" s="66" t="s">
        <v>905</v>
      </c>
      <c r="S426" s="66" t="s">
        <v>907</v>
      </c>
      <c r="T426" s="210">
        <f>_xlfn.IFNA(VLOOKUP(Mon_ILR2[[#This Row],[New Model]],PhilipsLibary[],4,FALSE),"0")</f>
        <v>4687.2</v>
      </c>
      <c r="U426" s="210">
        <f>_xlfn.IFNA(VLOOKUP(Mon_ILR2[[#This Row],[New Model]],PhilipsLibary[],5,FALSE),"0")</f>
        <v>0</v>
      </c>
      <c r="V426" s="210">
        <f>_xlfn.IFNA(VLOOKUP(Mon_ILR2[[#This Row],[New Model]],PhilipsLibary[],5,FALSE),"0")</f>
        <v>0</v>
      </c>
      <c r="W426" s="210">
        <v>943.28</v>
      </c>
      <c r="X426" s="8"/>
      <c r="Y426" s="289" t="s">
        <v>2217</v>
      </c>
      <c r="Z426" s="6" t="s">
        <v>453</v>
      </c>
      <c r="AA426" s="6" t="s">
        <v>50</v>
      </c>
      <c r="AB426" s="6" t="s">
        <v>47</v>
      </c>
      <c r="AC426" s="6" t="s">
        <v>48</v>
      </c>
      <c r="AD426" s="6" t="s">
        <v>49</v>
      </c>
      <c r="AE426" s="6" t="s">
        <v>50</v>
      </c>
      <c r="AF426" s="6" t="s">
        <v>50</v>
      </c>
      <c r="AG426" s="6" t="s">
        <v>50</v>
      </c>
      <c r="AH426" s="6" t="s">
        <v>50</v>
      </c>
      <c r="AI426" s="6" t="s">
        <v>50</v>
      </c>
      <c r="AJ426" s="6" t="s">
        <v>50</v>
      </c>
      <c r="AK426" s="6" t="s">
        <v>50</v>
      </c>
      <c r="AL426" s="6" t="s">
        <v>50</v>
      </c>
      <c r="AM426" s="6" t="s">
        <v>50</v>
      </c>
      <c r="AN426" s="6" t="s">
        <v>50</v>
      </c>
      <c r="AO426" s="6" t="s">
        <v>50</v>
      </c>
    </row>
    <row r="427" spans="2:41" ht="165" x14ac:dyDescent="0.25">
      <c r="B427" s="207" t="s">
        <v>446</v>
      </c>
      <c r="C427" s="66" t="s">
        <v>174</v>
      </c>
      <c r="D427" s="4" t="s">
        <v>447</v>
      </c>
      <c r="E427" s="4" t="s">
        <v>1164</v>
      </c>
      <c r="F427" s="4" t="s">
        <v>448</v>
      </c>
      <c r="G427" s="4" t="s">
        <v>449</v>
      </c>
      <c r="H427" s="208">
        <v>1</v>
      </c>
      <c r="I427" s="4"/>
      <c r="J427" s="15" t="s">
        <v>459</v>
      </c>
      <c r="K427" s="4" t="s">
        <v>448</v>
      </c>
      <c r="L427" s="4" t="s">
        <v>451</v>
      </c>
      <c r="M427" s="4" t="s">
        <v>452</v>
      </c>
      <c r="N427" s="4">
        <v>201214316</v>
      </c>
      <c r="O427" s="4" t="s">
        <v>44</v>
      </c>
      <c r="P427" s="8">
        <v>1</v>
      </c>
      <c r="Q427" s="209">
        <f>Mon_ILR2[[#This Row],[Qty Required]]-Mon_ILR2[[#This Row],[QTY Transfer]]</f>
        <v>0</v>
      </c>
      <c r="R427" s="66" t="s">
        <v>905</v>
      </c>
      <c r="S427" s="66" t="s">
        <v>907</v>
      </c>
      <c r="T427" s="210">
        <f>_xlfn.IFNA(VLOOKUP(Mon_ILR2[[#This Row],[New Model]],PhilipsLibary[],4,FALSE),"0")</f>
        <v>4687.2</v>
      </c>
      <c r="U427" s="210">
        <f>_xlfn.IFNA(VLOOKUP(Mon_ILR2[[#This Row],[New Model]],PhilipsLibary[],5,FALSE),"0")</f>
        <v>0</v>
      </c>
      <c r="V427" s="210">
        <f>_xlfn.IFNA(VLOOKUP(Mon_ILR2[[#This Row],[New Model]],PhilipsLibary[],5,FALSE),"0")</f>
        <v>0</v>
      </c>
      <c r="W427" s="210">
        <v>943.28</v>
      </c>
      <c r="X427" s="8"/>
      <c r="Y427" s="289" t="s">
        <v>2217</v>
      </c>
      <c r="Z427" s="6" t="s">
        <v>453</v>
      </c>
      <c r="AA427" s="6" t="s">
        <v>50</v>
      </c>
      <c r="AB427" s="6" t="s">
        <v>47</v>
      </c>
      <c r="AC427" s="6" t="s">
        <v>48</v>
      </c>
      <c r="AD427" s="6" t="s">
        <v>49</v>
      </c>
      <c r="AE427" s="6" t="s">
        <v>50</v>
      </c>
      <c r="AF427" s="6" t="s">
        <v>50</v>
      </c>
      <c r="AG427" s="6" t="s">
        <v>50</v>
      </c>
      <c r="AH427" s="6" t="s">
        <v>50</v>
      </c>
      <c r="AI427" s="6" t="s">
        <v>50</v>
      </c>
      <c r="AJ427" s="6" t="s">
        <v>50</v>
      </c>
      <c r="AK427" s="6" t="s">
        <v>50</v>
      </c>
      <c r="AL427" s="6" t="s">
        <v>50</v>
      </c>
      <c r="AM427" s="6" t="s">
        <v>50</v>
      </c>
      <c r="AN427" s="6" t="s">
        <v>50</v>
      </c>
      <c r="AO427" s="6" t="s">
        <v>50</v>
      </c>
    </row>
    <row r="428" spans="2:41" ht="165" x14ac:dyDescent="0.25">
      <c r="B428" s="207" t="s">
        <v>446</v>
      </c>
      <c r="C428" s="66" t="s">
        <v>174</v>
      </c>
      <c r="D428" s="4" t="s">
        <v>447</v>
      </c>
      <c r="E428" s="4" t="s">
        <v>1164</v>
      </c>
      <c r="F428" s="4" t="s">
        <v>448</v>
      </c>
      <c r="G428" s="4" t="s">
        <v>449</v>
      </c>
      <c r="H428" s="208">
        <v>1</v>
      </c>
      <c r="I428" s="4"/>
      <c r="J428" s="15" t="s">
        <v>460</v>
      </c>
      <c r="K428" s="4" t="s">
        <v>448</v>
      </c>
      <c r="L428" s="4" t="s">
        <v>451</v>
      </c>
      <c r="M428" s="4" t="s">
        <v>452</v>
      </c>
      <c r="N428" s="4">
        <v>201006696</v>
      </c>
      <c r="O428" s="4" t="s">
        <v>44</v>
      </c>
      <c r="P428" s="8">
        <v>1</v>
      </c>
      <c r="Q428" s="209">
        <f>Mon_ILR2[[#This Row],[Qty Required]]-Mon_ILR2[[#This Row],[QTY Transfer]]</f>
        <v>0</v>
      </c>
      <c r="R428" s="66" t="s">
        <v>905</v>
      </c>
      <c r="S428" s="66" t="s">
        <v>907</v>
      </c>
      <c r="T428" s="210">
        <f>_xlfn.IFNA(VLOOKUP(Mon_ILR2[[#This Row],[New Model]],PhilipsLibary[],4,FALSE),"0")</f>
        <v>4687.2</v>
      </c>
      <c r="U428" s="210">
        <f>_xlfn.IFNA(VLOOKUP(Mon_ILR2[[#This Row],[New Model]],PhilipsLibary[],5,FALSE),"0")</f>
        <v>0</v>
      </c>
      <c r="V428" s="210">
        <f>_xlfn.IFNA(VLOOKUP(Mon_ILR2[[#This Row],[New Model]],PhilipsLibary[],5,FALSE),"0")</f>
        <v>0</v>
      </c>
      <c r="W428" s="210">
        <v>943.28</v>
      </c>
      <c r="X428" s="8"/>
      <c r="Y428" s="289" t="s">
        <v>2217</v>
      </c>
      <c r="Z428" s="6" t="s">
        <v>453</v>
      </c>
      <c r="AA428" s="6" t="s">
        <v>50</v>
      </c>
      <c r="AB428" s="6" t="s">
        <v>47</v>
      </c>
      <c r="AC428" s="6" t="s">
        <v>48</v>
      </c>
      <c r="AD428" s="6" t="s">
        <v>49</v>
      </c>
      <c r="AE428" s="6" t="s">
        <v>50</v>
      </c>
      <c r="AF428" s="6" t="s">
        <v>50</v>
      </c>
      <c r="AG428" s="6" t="s">
        <v>50</v>
      </c>
      <c r="AH428" s="6" t="s">
        <v>50</v>
      </c>
      <c r="AI428" s="6" t="s">
        <v>50</v>
      </c>
      <c r="AJ428" s="6" t="s">
        <v>50</v>
      </c>
      <c r="AK428" s="6" t="s">
        <v>50</v>
      </c>
      <c r="AL428" s="6" t="s">
        <v>50</v>
      </c>
      <c r="AM428" s="6" t="s">
        <v>50</v>
      </c>
      <c r="AN428" s="6" t="s">
        <v>50</v>
      </c>
      <c r="AO428" s="6" t="s">
        <v>50</v>
      </c>
    </row>
    <row r="429" spans="2:41" ht="165" x14ac:dyDescent="0.25">
      <c r="B429" s="207" t="s">
        <v>446</v>
      </c>
      <c r="C429" s="66" t="s">
        <v>174</v>
      </c>
      <c r="D429" s="4" t="s">
        <v>447</v>
      </c>
      <c r="E429" s="4" t="s">
        <v>1164</v>
      </c>
      <c r="F429" s="4" t="s">
        <v>448</v>
      </c>
      <c r="G429" s="4" t="s">
        <v>449</v>
      </c>
      <c r="H429" s="208">
        <v>1</v>
      </c>
      <c r="I429" s="4"/>
      <c r="J429" s="15"/>
      <c r="K429" s="4" t="str">
        <f>_xlfn.IFNA(VLOOKUP($J429,WH_Data[],6,FALSE),"")</f>
        <v/>
      </c>
      <c r="L429" s="4" t="str">
        <f>_xlfn.IFNA(VLOOKUP($J429,WH_Data[],3,FALSE),"")</f>
        <v/>
      </c>
      <c r="M429" s="4" t="str">
        <f>_xlfn.IFNA(VLOOKUP($J429,WH_Data[],5,FALSE),"")</f>
        <v/>
      </c>
      <c r="N429" s="4" t="str">
        <f>_xlfn.IFNA(VLOOKUP($J429,WH_Data[],7,FALSE),"")</f>
        <v/>
      </c>
      <c r="O429" s="4" t="str">
        <f>_xlfn.IFNA(VLOOKUP($J429,WH_Data[],8,FALSE),"")</f>
        <v/>
      </c>
      <c r="P429" s="8"/>
      <c r="Q429" s="209">
        <f>Mon_ILR2[[#This Row],[Qty Required]]-Mon_ILR2[[#This Row],[QTY Transfer]]</f>
        <v>1</v>
      </c>
      <c r="R429" s="66" t="s">
        <v>905</v>
      </c>
      <c r="S429" s="66" t="s">
        <v>907</v>
      </c>
      <c r="T429" s="210">
        <f>_xlfn.IFNA(VLOOKUP(Mon_ILR2[[#This Row],[New Model]],PhilipsLibary[],4,FALSE),"0")</f>
        <v>4687.2</v>
      </c>
      <c r="U429" s="210">
        <f>_xlfn.IFNA(VLOOKUP(Mon_ILR2[[#This Row],[New Model]],PhilipsLibary[],5,FALSE),"0")</f>
        <v>0</v>
      </c>
      <c r="V429" s="210">
        <f>_xlfn.IFNA(VLOOKUP(Mon_ILR2[[#This Row],[New Model]],PhilipsLibary[],5,FALSE),"0")</f>
        <v>0</v>
      </c>
      <c r="W429" s="210">
        <v>943.28</v>
      </c>
      <c r="X429" s="8"/>
      <c r="Y429" s="289" t="s">
        <v>2217</v>
      </c>
      <c r="Z429" s="6" t="s">
        <v>453</v>
      </c>
      <c r="AA429" s="6" t="s">
        <v>50</v>
      </c>
      <c r="AB429" s="6" t="s">
        <v>47</v>
      </c>
      <c r="AC429" s="6" t="s">
        <v>48</v>
      </c>
      <c r="AD429" s="6" t="s">
        <v>49</v>
      </c>
      <c r="AE429" s="6" t="s">
        <v>50</v>
      </c>
      <c r="AF429" s="6" t="s">
        <v>50</v>
      </c>
      <c r="AG429" s="6" t="s">
        <v>50</v>
      </c>
      <c r="AH429" s="6" t="s">
        <v>50</v>
      </c>
      <c r="AI429" s="6" t="s">
        <v>50</v>
      </c>
      <c r="AJ429" s="6" t="s">
        <v>50</v>
      </c>
      <c r="AK429" s="6" t="s">
        <v>50</v>
      </c>
      <c r="AL429" s="6" t="s">
        <v>50</v>
      </c>
      <c r="AM429" s="6" t="s">
        <v>50</v>
      </c>
      <c r="AN429" s="6" t="s">
        <v>50</v>
      </c>
      <c r="AO429" s="6" t="s">
        <v>50</v>
      </c>
    </row>
    <row r="430" spans="2:41" ht="165" x14ac:dyDescent="0.25">
      <c r="B430" s="207" t="s">
        <v>461</v>
      </c>
      <c r="C430" s="66" t="s">
        <v>462</v>
      </c>
      <c r="D430" s="4" t="s">
        <v>463</v>
      </c>
      <c r="E430" s="4" t="s">
        <v>1164</v>
      </c>
      <c r="F430" s="4" t="s">
        <v>448</v>
      </c>
      <c r="G430" s="4" t="s">
        <v>449</v>
      </c>
      <c r="H430" s="208">
        <v>1</v>
      </c>
      <c r="I430" s="4"/>
      <c r="J430" s="15" t="s">
        <v>464</v>
      </c>
      <c r="K430" s="4" t="s">
        <v>448</v>
      </c>
      <c r="L430" s="4" t="s">
        <v>451</v>
      </c>
      <c r="M430" s="4" t="s">
        <v>465</v>
      </c>
      <c r="N430" s="4">
        <v>100083261517</v>
      </c>
      <c r="O430" s="4" t="s">
        <v>466</v>
      </c>
      <c r="P430" s="8">
        <v>1</v>
      </c>
      <c r="Q430" s="209">
        <f>Mon_ILR2[[#This Row],[Qty Required]]-Mon_ILR2[[#This Row],[QTY Transfer]]</f>
        <v>0</v>
      </c>
      <c r="R430" s="66" t="s">
        <v>905</v>
      </c>
      <c r="S430" s="66" t="s">
        <v>907</v>
      </c>
      <c r="T430" s="210">
        <f>_xlfn.IFNA(VLOOKUP(Mon_ILR2[[#This Row],[New Model]],PhilipsLibary[],4,FALSE),"0")</f>
        <v>4687.2</v>
      </c>
      <c r="U430" s="210">
        <f>_xlfn.IFNA(VLOOKUP(Mon_ILR2[[#This Row],[New Model]],PhilipsLibary[],5,FALSE),"0")</f>
        <v>0</v>
      </c>
      <c r="V430" s="210">
        <f>_xlfn.IFNA(VLOOKUP(Mon_ILR2[[#This Row],[New Model]],PhilipsLibary[],5,FALSE),"0")</f>
        <v>0</v>
      </c>
      <c r="W430" s="210">
        <v>943.28</v>
      </c>
      <c r="X430" s="8"/>
      <c r="Y430" s="289" t="s">
        <v>2217</v>
      </c>
      <c r="Z430" s="6" t="s">
        <v>453</v>
      </c>
      <c r="AA430" s="6" t="s">
        <v>50</v>
      </c>
      <c r="AB430" s="6" t="s">
        <v>47</v>
      </c>
      <c r="AC430" s="6" t="s">
        <v>48</v>
      </c>
      <c r="AD430" s="6" t="s">
        <v>49</v>
      </c>
      <c r="AE430" s="6" t="s">
        <v>50</v>
      </c>
      <c r="AF430" s="6" t="s">
        <v>50</v>
      </c>
      <c r="AG430" s="6" t="s">
        <v>50</v>
      </c>
      <c r="AH430" s="6" t="s">
        <v>50</v>
      </c>
      <c r="AI430" s="6" t="s">
        <v>50</v>
      </c>
      <c r="AJ430" s="6" t="s">
        <v>50</v>
      </c>
      <c r="AK430" s="6" t="s">
        <v>50</v>
      </c>
      <c r="AL430" s="6" t="s">
        <v>50</v>
      </c>
      <c r="AM430" s="6" t="s">
        <v>50</v>
      </c>
      <c r="AN430" s="6" t="s">
        <v>50</v>
      </c>
      <c r="AO430" s="6" t="s">
        <v>50</v>
      </c>
    </row>
    <row r="431" spans="2:41" ht="165" x14ac:dyDescent="0.25">
      <c r="B431" s="207" t="s">
        <v>461</v>
      </c>
      <c r="C431" s="66" t="s">
        <v>462</v>
      </c>
      <c r="D431" s="4" t="s">
        <v>463</v>
      </c>
      <c r="E431" s="4" t="s">
        <v>1164</v>
      </c>
      <c r="F431" s="4" t="s">
        <v>448</v>
      </c>
      <c r="G431" s="4" t="s">
        <v>449</v>
      </c>
      <c r="H431" s="208">
        <v>1</v>
      </c>
      <c r="I431" s="4"/>
      <c r="J431" s="15" t="s">
        <v>467</v>
      </c>
      <c r="K431" s="4" t="s">
        <v>448</v>
      </c>
      <c r="L431" s="4" t="s">
        <v>451</v>
      </c>
      <c r="M431" s="4" t="s">
        <v>465</v>
      </c>
      <c r="N431" s="4">
        <v>100080071517</v>
      </c>
      <c r="O431" s="4" t="s">
        <v>466</v>
      </c>
      <c r="P431" s="8">
        <v>1</v>
      </c>
      <c r="Q431" s="209">
        <f>Mon_ILR2[[#This Row],[Qty Required]]-Mon_ILR2[[#This Row],[QTY Transfer]]</f>
        <v>0</v>
      </c>
      <c r="R431" s="66" t="s">
        <v>905</v>
      </c>
      <c r="S431" s="66" t="s">
        <v>907</v>
      </c>
      <c r="T431" s="210">
        <f>_xlfn.IFNA(VLOOKUP(Mon_ILR2[[#This Row],[New Model]],PhilipsLibary[],4,FALSE),"0")</f>
        <v>4687.2</v>
      </c>
      <c r="U431" s="210">
        <f>_xlfn.IFNA(VLOOKUP(Mon_ILR2[[#This Row],[New Model]],PhilipsLibary[],5,FALSE),"0")</f>
        <v>0</v>
      </c>
      <c r="V431" s="210">
        <f>_xlfn.IFNA(VLOOKUP(Mon_ILR2[[#This Row],[New Model]],PhilipsLibary[],5,FALSE),"0")</f>
        <v>0</v>
      </c>
      <c r="W431" s="210">
        <v>943.28</v>
      </c>
      <c r="X431" s="8"/>
      <c r="Y431" s="289" t="s">
        <v>2217</v>
      </c>
      <c r="Z431" s="6" t="s">
        <v>453</v>
      </c>
      <c r="AA431" s="6" t="s">
        <v>50</v>
      </c>
      <c r="AB431" s="6" t="s">
        <v>47</v>
      </c>
      <c r="AC431" s="6" t="s">
        <v>48</v>
      </c>
      <c r="AD431" s="6" t="s">
        <v>49</v>
      </c>
      <c r="AE431" s="6" t="s">
        <v>50</v>
      </c>
      <c r="AF431" s="6" t="s">
        <v>50</v>
      </c>
      <c r="AG431" s="6" t="s">
        <v>50</v>
      </c>
      <c r="AH431" s="6" t="s">
        <v>50</v>
      </c>
      <c r="AI431" s="6" t="s">
        <v>50</v>
      </c>
      <c r="AJ431" s="6" t="s">
        <v>50</v>
      </c>
      <c r="AK431" s="6" t="s">
        <v>50</v>
      </c>
      <c r="AL431" s="6" t="s">
        <v>50</v>
      </c>
      <c r="AM431" s="6" t="s">
        <v>50</v>
      </c>
      <c r="AN431" s="6" t="s">
        <v>50</v>
      </c>
      <c r="AO431" s="6" t="s">
        <v>50</v>
      </c>
    </row>
    <row r="432" spans="2:41" ht="165" x14ac:dyDescent="0.25">
      <c r="B432" s="207" t="s">
        <v>461</v>
      </c>
      <c r="C432" s="66" t="s">
        <v>462</v>
      </c>
      <c r="D432" s="4" t="s">
        <v>463</v>
      </c>
      <c r="E432" s="4" t="s">
        <v>1164</v>
      </c>
      <c r="F432" s="4" t="s">
        <v>448</v>
      </c>
      <c r="G432" s="4" t="s">
        <v>449</v>
      </c>
      <c r="H432" s="208">
        <v>1</v>
      </c>
      <c r="I432" s="4"/>
      <c r="J432" s="15" t="s">
        <v>468</v>
      </c>
      <c r="K432" s="4" t="s">
        <v>448</v>
      </c>
      <c r="L432" s="4" t="s">
        <v>451</v>
      </c>
      <c r="M432" s="4" t="s">
        <v>465</v>
      </c>
      <c r="N432" s="4">
        <v>0</v>
      </c>
      <c r="O432" s="4" t="s">
        <v>469</v>
      </c>
      <c r="P432" s="8">
        <v>1</v>
      </c>
      <c r="Q432" s="209">
        <f>Mon_ILR2[[#This Row],[Qty Required]]-Mon_ILR2[[#This Row],[QTY Transfer]]</f>
        <v>0</v>
      </c>
      <c r="R432" s="66" t="s">
        <v>905</v>
      </c>
      <c r="S432" s="66" t="s">
        <v>907</v>
      </c>
      <c r="T432" s="210">
        <f>_xlfn.IFNA(VLOOKUP(Mon_ILR2[[#This Row],[New Model]],PhilipsLibary[],4,FALSE),"0")</f>
        <v>4687.2</v>
      </c>
      <c r="U432" s="210">
        <f>_xlfn.IFNA(VLOOKUP(Mon_ILR2[[#This Row],[New Model]],PhilipsLibary[],5,FALSE),"0")</f>
        <v>0</v>
      </c>
      <c r="V432" s="210">
        <f>_xlfn.IFNA(VLOOKUP(Mon_ILR2[[#This Row],[New Model]],PhilipsLibary[],5,FALSE),"0")</f>
        <v>0</v>
      </c>
      <c r="W432" s="210">
        <v>943.28</v>
      </c>
      <c r="X432" s="8"/>
      <c r="Y432" s="289" t="s">
        <v>2217</v>
      </c>
      <c r="Z432" s="6" t="s">
        <v>453</v>
      </c>
      <c r="AA432" s="6" t="s">
        <v>50</v>
      </c>
      <c r="AB432" s="6" t="s">
        <v>47</v>
      </c>
      <c r="AC432" s="6" t="s">
        <v>48</v>
      </c>
      <c r="AD432" s="6" t="s">
        <v>49</v>
      </c>
      <c r="AE432" s="6" t="s">
        <v>50</v>
      </c>
      <c r="AF432" s="6" t="s">
        <v>50</v>
      </c>
      <c r="AG432" s="6" t="s">
        <v>50</v>
      </c>
      <c r="AH432" s="6" t="s">
        <v>50</v>
      </c>
      <c r="AI432" s="6" t="s">
        <v>50</v>
      </c>
      <c r="AJ432" s="6" t="s">
        <v>50</v>
      </c>
      <c r="AK432" s="6" t="s">
        <v>50</v>
      </c>
      <c r="AL432" s="6" t="s">
        <v>50</v>
      </c>
      <c r="AM432" s="6" t="s">
        <v>50</v>
      </c>
      <c r="AN432" s="6" t="s">
        <v>50</v>
      </c>
      <c r="AO432" s="6" t="s">
        <v>50</v>
      </c>
    </row>
    <row r="433" spans="2:41" ht="90" customHeight="1" x14ac:dyDescent="0.25">
      <c r="B433" s="207" t="s">
        <v>461</v>
      </c>
      <c r="C433" s="66" t="s">
        <v>638</v>
      </c>
      <c r="D433" s="4" t="s">
        <v>639</v>
      </c>
      <c r="E433" s="4" t="s">
        <v>1027</v>
      </c>
      <c r="F433" s="4" t="s">
        <v>932</v>
      </c>
      <c r="G433" s="4" t="s">
        <v>449</v>
      </c>
      <c r="H433" s="208">
        <v>1</v>
      </c>
      <c r="I433" s="4"/>
      <c r="J433" s="15"/>
      <c r="K433" s="4" t="str">
        <f>_xlfn.IFNA(VLOOKUP($J433,WH_Data[],6,FALSE),"")</f>
        <v/>
      </c>
      <c r="L433" s="4" t="str">
        <f>_xlfn.IFNA(VLOOKUP($J433,WH_Data[],3,FALSE),"")</f>
        <v/>
      </c>
      <c r="M433" s="4" t="str">
        <f>_xlfn.IFNA(VLOOKUP($J433,WH_Data[],5,FALSE),"")</f>
        <v/>
      </c>
      <c r="N433" s="4" t="str">
        <f>_xlfn.IFNA(VLOOKUP($J433,WH_Data[],7,FALSE),"")</f>
        <v/>
      </c>
      <c r="O433" s="4" t="str">
        <f>_xlfn.IFNA(VLOOKUP($J433,WH_Data[],8,FALSE),"")</f>
        <v/>
      </c>
      <c r="P433" s="8"/>
      <c r="Q433" s="209">
        <f>Mon_ILR2[[#This Row],[Qty Required]]-Mon_ILR2[[#This Row],[QTY Transfer]]</f>
        <v>1</v>
      </c>
      <c r="R433" s="66" t="s">
        <v>905</v>
      </c>
      <c r="S433" s="66" t="s">
        <v>931</v>
      </c>
      <c r="T433" s="210">
        <f>_xlfn.IFNA(VLOOKUP(Mon_ILR2[[#This Row],[New Model]],PhilipsLibary[],4,FALSE),"0")</f>
        <v>6460</v>
      </c>
      <c r="U433" s="210">
        <v>719</v>
      </c>
      <c r="V433" s="210">
        <v>1879</v>
      </c>
      <c r="W433" s="210">
        <f>Mon_ILR2[[#This Row],[Accessory Rate]]+Mon_ILR2[[#This Row],[Mounting Rate]]+Mon_ILR2[[#This Row],[Unit Rate]]*Mon_ILR2[[#This Row],[New Quantity Required ]]</f>
        <v>9058</v>
      </c>
      <c r="X433" s="8"/>
      <c r="Y433" s="246" t="s">
        <v>1165</v>
      </c>
      <c r="Z433" s="6" t="s">
        <v>45</v>
      </c>
      <c r="AA433" s="6" t="s">
        <v>46</v>
      </c>
      <c r="AB433" s="6" t="s">
        <v>47</v>
      </c>
      <c r="AC433" s="6" t="s">
        <v>48</v>
      </c>
      <c r="AD433" s="6" t="s">
        <v>49</v>
      </c>
      <c r="AE433" s="6" t="s">
        <v>50</v>
      </c>
      <c r="AF433" s="6" t="s">
        <v>50</v>
      </c>
      <c r="AG433" s="6" t="s">
        <v>50</v>
      </c>
      <c r="AH433" s="6" t="s">
        <v>50</v>
      </c>
      <c r="AI433" s="6" t="s">
        <v>51</v>
      </c>
      <c r="AJ433" s="6" t="s">
        <v>50</v>
      </c>
      <c r="AK433" s="6" t="s">
        <v>50</v>
      </c>
      <c r="AL433" s="6" t="s">
        <v>52</v>
      </c>
      <c r="AM433" s="6" t="s">
        <v>53</v>
      </c>
      <c r="AN433" s="6" t="s">
        <v>50</v>
      </c>
      <c r="AO433" s="6" t="s">
        <v>54</v>
      </c>
    </row>
    <row r="434" spans="2:41" ht="165" x14ac:dyDescent="0.25">
      <c r="B434" s="207" t="s">
        <v>470</v>
      </c>
      <c r="C434" s="66" t="s">
        <v>471</v>
      </c>
      <c r="D434" s="4" t="s">
        <v>472</v>
      </c>
      <c r="E434" s="4" t="s">
        <v>1164</v>
      </c>
      <c r="F434" s="4" t="s">
        <v>448</v>
      </c>
      <c r="G434" s="4" t="s">
        <v>449</v>
      </c>
      <c r="H434" s="208">
        <v>1</v>
      </c>
      <c r="I434" s="4"/>
      <c r="J434" s="15" t="s">
        <v>473</v>
      </c>
      <c r="K434" s="4" t="s">
        <v>448</v>
      </c>
      <c r="L434" s="4" t="s">
        <v>451</v>
      </c>
      <c r="M434" s="4" t="s">
        <v>452</v>
      </c>
      <c r="N434" s="4">
        <v>201112022</v>
      </c>
      <c r="O434" s="4" t="s">
        <v>474</v>
      </c>
      <c r="P434" s="8">
        <v>1</v>
      </c>
      <c r="Q434" s="209">
        <f>Mon_ILR2[[#This Row],[Qty Required]]-Mon_ILR2[[#This Row],[QTY Transfer]]</f>
        <v>0</v>
      </c>
      <c r="R434" s="66" t="s">
        <v>905</v>
      </c>
      <c r="S434" s="66" t="s">
        <v>907</v>
      </c>
      <c r="T434" s="210">
        <f>_xlfn.IFNA(VLOOKUP(Mon_ILR2[[#This Row],[New Model]],PhilipsLibary[],4,FALSE),"0")</f>
        <v>4687.2</v>
      </c>
      <c r="U434" s="210">
        <f>_xlfn.IFNA(VLOOKUP(Mon_ILR2[[#This Row],[New Model]],PhilipsLibary[],5,FALSE),"0")</f>
        <v>0</v>
      </c>
      <c r="V434" s="210">
        <f>_xlfn.IFNA(VLOOKUP(Mon_ILR2[[#This Row],[New Model]],PhilipsLibary[],5,FALSE),"0")</f>
        <v>0</v>
      </c>
      <c r="W434" s="210">
        <v>943.28</v>
      </c>
      <c r="X434" s="8"/>
      <c r="Y434" s="289" t="s">
        <v>2217</v>
      </c>
      <c r="Z434" s="6" t="s">
        <v>453</v>
      </c>
      <c r="AA434" s="6" t="s">
        <v>50</v>
      </c>
      <c r="AB434" s="6" t="s">
        <v>47</v>
      </c>
      <c r="AC434" s="6" t="s">
        <v>48</v>
      </c>
      <c r="AD434" s="6" t="s">
        <v>49</v>
      </c>
      <c r="AE434" s="6" t="s">
        <v>50</v>
      </c>
      <c r="AF434" s="6" t="s">
        <v>50</v>
      </c>
      <c r="AG434" s="6" t="s">
        <v>50</v>
      </c>
      <c r="AH434" s="6" t="s">
        <v>50</v>
      </c>
      <c r="AI434" s="6" t="s">
        <v>50</v>
      </c>
      <c r="AJ434" s="6" t="s">
        <v>50</v>
      </c>
      <c r="AK434" s="6" t="s">
        <v>50</v>
      </c>
      <c r="AL434" s="6" t="s">
        <v>50</v>
      </c>
      <c r="AM434" s="6" t="s">
        <v>50</v>
      </c>
      <c r="AN434" s="6" t="s">
        <v>50</v>
      </c>
      <c r="AO434" s="6" t="s">
        <v>50</v>
      </c>
    </row>
    <row r="435" spans="2:41" ht="165" x14ac:dyDescent="0.25">
      <c r="B435" s="207" t="s">
        <v>470</v>
      </c>
      <c r="C435" s="66" t="s">
        <v>471</v>
      </c>
      <c r="D435" s="4" t="s">
        <v>475</v>
      </c>
      <c r="E435" s="4" t="s">
        <v>1164</v>
      </c>
      <c r="F435" s="4" t="s">
        <v>448</v>
      </c>
      <c r="G435" s="4" t="s">
        <v>449</v>
      </c>
      <c r="H435" s="208">
        <v>1</v>
      </c>
      <c r="I435" s="4"/>
      <c r="J435" s="15" t="s">
        <v>476</v>
      </c>
      <c r="K435" s="4" t="s">
        <v>448</v>
      </c>
      <c r="L435" s="4" t="s">
        <v>451</v>
      </c>
      <c r="M435" s="4" t="s">
        <v>452</v>
      </c>
      <c r="N435" s="4">
        <v>201213163</v>
      </c>
      <c r="O435" s="4" t="s">
        <v>477</v>
      </c>
      <c r="P435" s="8">
        <v>1</v>
      </c>
      <c r="Q435" s="209">
        <f>Mon_ILR2[[#This Row],[Qty Required]]-Mon_ILR2[[#This Row],[QTY Transfer]]</f>
        <v>0</v>
      </c>
      <c r="R435" s="66" t="s">
        <v>905</v>
      </c>
      <c r="S435" s="66" t="s">
        <v>907</v>
      </c>
      <c r="T435" s="210">
        <f>_xlfn.IFNA(VLOOKUP(Mon_ILR2[[#This Row],[New Model]],PhilipsLibary[],4,FALSE),"0")</f>
        <v>4687.2</v>
      </c>
      <c r="U435" s="210">
        <f>_xlfn.IFNA(VLOOKUP(Mon_ILR2[[#This Row],[New Model]],PhilipsLibary[],5,FALSE),"0")</f>
        <v>0</v>
      </c>
      <c r="V435" s="210">
        <f>_xlfn.IFNA(VLOOKUP(Mon_ILR2[[#This Row],[New Model]],PhilipsLibary[],5,FALSE),"0")</f>
        <v>0</v>
      </c>
      <c r="W435" s="210">
        <v>943.28</v>
      </c>
      <c r="X435" s="8"/>
      <c r="Y435" s="289" t="s">
        <v>2217</v>
      </c>
      <c r="Z435" s="6" t="s">
        <v>453</v>
      </c>
      <c r="AA435" s="6" t="s">
        <v>50</v>
      </c>
      <c r="AB435" s="6" t="s">
        <v>47</v>
      </c>
      <c r="AC435" s="6" t="s">
        <v>48</v>
      </c>
      <c r="AD435" s="6" t="s">
        <v>49</v>
      </c>
      <c r="AE435" s="6" t="s">
        <v>50</v>
      </c>
      <c r="AF435" s="6" t="s">
        <v>50</v>
      </c>
      <c r="AG435" s="6" t="s">
        <v>50</v>
      </c>
      <c r="AH435" s="6" t="s">
        <v>50</v>
      </c>
      <c r="AI435" s="6" t="s">
        <v>50</v>
      </c>
      <c r="AJ435" s="6" t="s">
        <v>50</v>
      </c>
      <c r="AK435" s="6" t="s">
        <v>50</v>
      </c>
      <c r="AL435" s="6" t="s">
        <v>50</v>
      </c>
      <c r="AM435" s="6" t="s">
        <v>50</v>
      </c>
      <c r="AN435" s="6" t="s">
        <v>50</v>
      </c>
      <c r="AO435" s="6" t="s">
        <v>50</v>
      </c>
    </row>
    <row r="436" spans="2:41" ht="165" x14ac:dyDescent="0.25">
      <c r="B436" s="207" t="s">
        <v>470</v>
      </c>
      <c r="C436" s="66" t="s">
        <v>471</v>
      </c>
      <c r="D436" s="4" t="s">
        <v>478</v>
      </c>
      <c r="E436" s="4" t="s">
        <v>1164</v>
      </c>
      <c r="F436" s="4" t="s">
        <v>448</v>
      </c>
      <c r="G436" s="4" t="s">
        <v>449</v>
      </c>
      <c r="H436" s="208">
        <v>1</v>
      </c>
      <c r="I436" s="4"/>
      <c r="J436" s="15" t="s">
        <v>479</v>
      </c>
      <c r="K436" s="4" t="s">
        <v>448</v>
      </c>
      <c r="L436" s="4" t="s">
        <v>451</v>
      </c>
      <c r="M436" s="4" t="s">
        <v>452</v>
      </c>
      <c r="N436" s="4">
        <v>201213163</v>
      </c>
      <c r="O436" s="4" t="s">
        <v>477</v>
      </c>
      <c r="P436" s="8">
        <v>1</v>
      </c>
      <c r="Q436" s="209">
        <f>Mon_ILR2[[#This Row],[Qty Required]]-Mon_ILR2[[#This Row],[QTY Transfer]]</f>
        <v>0</v>
      </c>
      <c r="R436" s="66" t="s">
        <v>905</v>
      </c>
      <c r="S436" s="66" t="s">
        <v>907</v>
      </c>
      <c r="T436" s="210">
        <f>_xlfn.IFNA(VLOOKUP(Mon_ILR2[[#This Row],[New Model]],PhilipsLibary[],4,FALSE),"0")</f>
        <v>4687.2</v>
      </c>
      <c r="U436" s="210">
        <f>_xlfn.IFNA(VLOOKUP(Mon_ILR2[[#This Row],[New Model]],PhilipsLibary[],5,FALSE),"0")</f>
        <v>0</v>
      </c>
      <c r="V436" s="210">
        <f>_xlfn.IFNA(VLOOKUP(Mon_ILR2[[#This Row],[New Model]],PhilipsLibary[],5,FALSE),"0")</f>
        <v>0</v>
      </c>
      <c r="W436" s="210">
        <v>943.28</v>
      </c>
      <c r="X436" s="8"/>
      <c r="Y436" s="289" t="s">
        <v>2217</v>
      </c>
      <c r="Z436" s="6" t="s">
        <v>453</v>
      </c>
      <c r="AA436" s="6" t="s">
        <v>50</v>
      </c>
      <c r="AB436" s="6" t="s">
        <v>47</v>
      </c>
      <c r="AC436" s="6" t="s">
        <v>48</v>
      </c>
      <c r="AD436" s="6" t="s">
        <v>49</v>
      </c>
      <c r="AE436" s="6" t="s">
        <v>50</v>
      </c>
      <c r="AF436" s="6" t="s">
        <v>50</v>
      </c>
      <c r="AG436" s="6" t="s">
        <v>50</v>
      </c>
      <c r="AH436" s="6" t="s">
        <v>50</v>
      </c>
      <c r="AI436" s="6" t="s">
        <v>50</v>
      </c>
      <c r="AJ436" s="6" t="s">
        <v>50</v>
      </c>
      <c r="AK436" s="6" t="s">
        <v>50</v>
      </c>
      <c r="AL436" s="6" t="s">
        <v>50</v>
      </c>
      <c r="AM436" s="6" t="s">
        <v>50</v>
      </c>
      <c r="AN436" s="6" t="s">
        <v>50</v>
      </c>
      <c r="AO436" s="6" t="s">
        <v>50</v>
      </c>
    </row>
    <row r="437" spans="2:41" ht="165" x14ac:dyDescent="0.25">
      <c r="B437" s="207" t="s">
        <v>470</v>
      </c>
      <c r="C437" s="66" t="s">
        <v>480</v>
      </c>
      <c r="D437" s="4" t="s">
        <v>481</v>
      </c>
      <c r="E437" s="4" t="s">
        <v>1164</v>
      </c>
      <c r="F437" s="4" t="s">
        <v>448</v>
      </c>
      <c r="G437" s="4" t="s">
        <v>449</v>
      </c>
      <c r="H437" s="208">
        <v>1</v>
      </c>
      <c r="I437" s="4"/>
      <c r="J437" s="15" t="s">
        <v>482</v>
      </c>
      <c r="K437" s="4" t="s">
        <v>448</v>
      </c>
      <c r="L437" s="4" t="s">
        <v>451</v>
      </c>
      <c r="M437" s="4" t="s">
        <v>483</v>
      </c>
      <c r="N437" s="4" t="s">
        <v>484</v>
      </c>
      <c r="O437" s="4" t="s">
        <v>477</v>
      </c>
      <c r="P437" s="8">
        <v>1</v>
      </c>
      <c r="Q437" s="209">
        <f>Mon_ILR2[[#This Row],[Qty Required]]-Mon_ILR2[[#This Row],[QTY Transfer]]</f>
        <v>0</v>
      </c>
      <c r="R437" s="66" t="s">
        <v>905</v>
      </c>
      <c r="S437" s="66" t="s">
        <v>907</v>
      </c>
      <c r="T437" s="210">
        <f>_xlfn.IFNA(VLOOKUP(Mon_ILR2[[#This Row],[New Model]],PhilipsLibary[],4,FALSE),"0")</f>
        <v>4687.2</v>
      </c>
      <c r="U437" s="210">
        <f>_xlfn.IFNA(VLOOKUP(Mon_ILR2[[#This Row],[New Model]],PhilipsLibary[],5,FALSE),"0")</f>
        <v>0</v>
      </c>
      <c r="V437" s="210">
        <f>_xlfn.IFNA(VLOOKUP(Mon_ILR2[[#This Row],[New Model]],PhilipsLibary[],5,FALSE),"0")</f>
        <v>0</v>
      </c>
      <c r="W437" s="210">
        <v>943.28</v>
      </c>
      <c r="X437" s="8"/>
      <c r="Y437" s="289" t="s">
        <v>2217</v>
      </c>
      <c r="Z437" s="6" t="s">
        <v>453</v>
      </c>
      <c r="AA437" s="6" t="s">
        <v>50</v>
      </c>
      <c r="AB437" s="6" t="s">
        <v>47</v>
      </c>
      <c r="AC437" s="6" t="s">
        <v>48</v>
      </c>
      <c r="AD437" s="6" t="s">
        <v>49</v>
      </c>
      <c r="AE437" s="6" t="s">
        <v>50</v>
      </c>
      <c r="AF437" s="6" t="s">
        <v>50</v>
      </c>
      <c r="AG437" s="6" t="s">
        <v>50</v>
      </c>
      <c r="AH437" s="6" t="s">
        <v>50</v>
      </c>
      <c r="AI437" s="6" t="s">
        <v>50</v>
      </c>
      <c r="AJ437" s="6" t="s">
        <v>50</v>
      </c>
      <c r="AK437" s="6" t="s">
        <v>50</v>
      </c>
      <c r="AL437" s="6" t="s">
        <v>50</v>
      </c>
      <c r="AM437" s="6" t="s">
        <v>50</v>
      </c>
      <c r="AN437" s="6" t="s">
        <v>50</v>
      </c>
      <c r="AO437" s="6" t="s">
        <v>50</v>
      </c>
    </row>
    <row r="438" spans="2:41" ht="165" x14ac:dyDescent="0.25">
      <c r="B438" s="207" t="s">
        <v>470</v>
      </c>
      <c r="C438" s="66" t="s">
        <v>485</v>
      </c>
      <c r="D438" s="4" t="s">
        <v>486</v>
      </c>
      <c r="E438" s="4" t="s">
        <v>1164</v>
      </c>
      <c r="F438" s="4" t="s">
        <v>448</v>
      </c>
      <c r="G438" s="4" t="s">
        <v>449</v>
      </c>
      <c r="H438" s="208">
        <v>1</v>
      </c>
      <c r="I438" s="4"/>
      <c r="J438" s="15" t="s">
        <v>487</v>
      </c>
      <c r="K438" s="4" t="s">
        <v>448</v>
      </c>
      <c r="L438" s="4" t="s">
        <v>451</v>
      </c>
      <c r="M438" s="4" t="s">
        <v>452</v>
      </c>
      <c r="N438" s="4">
        <v>201112027</v>
      </c>
      <c r="O438" s="4" t="s">
        <v>474</v>
      </c>
      <c r="P438" s="8">
        <v>1</v>
      </c>
      <c r="Q438" s="209">
        <f>Mon_ILR2[[#This Row],[Qty Required]]-Mon_ILR2[[#This Row],[QTY Transfer]]</f>
        <v>0</v>
      </c>
      <c r="R438" s="66" t="s">
        <v>905</v>
      </c>
      <c r="S438" s="66" t="s">
        <v>907</v>
      </c>
      <c r="T438" s="210">
        <f>_xlfn.IFNA(VLOOKUP(Mon_ILR2[[#This Row],[New Model]],PhilipsLibary[],4,FALSE),"0")</f>
        <v>4687.2</v>
      </c>
      <c r="U438" s="210">
        <f>_xlfn.IFNA(VLOOKUP(Mon_ILR2[[#This Row],[New Model]],PhilipsLibary[],5,FALSE),"0")</f>
        <v>0</v>
      </c>
      <c r="V438" s="210">
        <f>_xlfn.IFNA(VLOOKUP(Mon_ILR2[[#This Row],[New Model]],PhilipsLibary[],5,FALSE),"0")</f>
        <v>0</v>
      </c>
      <c r="W438" s="210">
        <v>943.28</v>
      </c>
      <c r="X438" s="8"/>
      <c r="Y438" s="289" t="s">
        <v>2217</v>
      </c>
      <c r="Z438" s="6" t="s">
        <v>453</v>
      </c>
      <c r="AA438" s="6" t="s">
        <v>50</v>
      </c>
      <c r="AB438" s="6" t="s">
        <v>47</v>
      </c>
      <c r="AC438" s="6" t="s">
        <v>48</v>
      </c>
      <c r="AD438" s="6" t="s">
        <v>49</v>
      </c>
      <c r="AE438" s="6" t="s">
        <v>50</v>
      </c>
      <c r="AF438" s="6" t="s">
        <v>50</v>
      </c>
      <c r="AG438" s="6" t="s">
        <v>50</v>
      </c>
      <c r="AH438" s="6" t="s">
        <v>50</v>
      </c>
      <c r="AI438" s="6" t="s">
        <v>50</v>
      </c>
      <c r="AJ438" s="6" t="s">
        <v>50</v>
      </c>
      <c r="AK438" s="6" t="s">
        <v>50</v>
      </c>
      <c r="AL438" s="6" t="s">
        <v>50</v>
      </c>
      <c r="AM438" s="6" t="s">
        <v>50</v>
      </c>
      <c r="AN438" s="6" t="s">
        <v>50</v>
      </c>
      <c r="AO438" s="6" t="s">
        <v>50</v>
      </c>
    </row>
    <row r="439" spans="2:41" ht="165" x14ac:dyDescent="0.25">
      <c r="B439" s="207" t="s">
        <v>488</v>
      </c>
      <c r="C439" s="66" t="s">
        <v>471</v>
      </c>
      <c r="D439" s="4" t="s">
        <v>489</v>
      </c>
      <c r="E439" s="4" t="s">
        <v>1164</v>
      </c>
      <c r="F439" s="4" t="s">
        <v>448</v>
      </c>
      <c r="G439" s="4" t="s">
        <v>449</v>
      </c>
      <c r="H439" s="208">
        <v>1</v>
      </c>
      <c r="I439" s="4"/>
      <c r="J439" s="15" t="s">
        <v>490</v>
      </c>
      <c r="K439" s="4" t="s">
        <v>448</v>
      </c>
      <c r="L439" s="4" t="s">
        <v>451</v>
      </c>
      <c r="M439" s="4" t="s">
        <v>452</v>
      </c>
      <c r="N439" s="4">
        <v>201214310</v>
      </c>
      <c r="O439" s="4" t="s">
        <v>190</v>
      </c>
      <c r="P439" s="8">
        <v>1</v>
      </c>
      <c r="Q439" s="209">
        <f>Mon_ILR2[[#This Row],[Qty Required]]-Mon_ILR2[[#This Row],[QTY Transfer]]</f>
        <v>0</v>
      </c>
      <c r="R439" s="66" t="s">
        <v>905</v>
      </c>
      <c r="S439" s="66" t="s">
        <v>907</v>
      </c>
      <c r="T439" s="210">
        <f>_xlfn.IFNA(VLOOKUP(Mon_ILR2[[#This Row],[New Model]],PhilipsLibary[],4,FALSE),"0")</f>
        <v>4687.2</v>
      </c>
      <c r="U439" s="210">
        <f>_xlfn.IFNA(VLOOKUP(Mon_ILR2[[#This Row],[New Model]],PhilipsLibary[],5,FALSE),"0")</f>
        <v>0</v>
      </c>
      <c r="V439" s="210">
        <f>_xlfn.IFNA(VLOOKUP(Mon_ILR2[[#This Row],[New Model]],PhilipsLibary[],5,FALSE),"0")</f>
        <v>0</v>
      </c>
      <c r="W439" s="210">
        <v>943.28</v>
      </c>
      <c r="X439" s="8"/>
      <c r="Y439" s="289" t="s">
        <v>2217</v>
      </c>
      <c r="Z439" s="6" t="s">
        <v>453</v>
      </c>
      <c r="AA439" s="6" t="s">
        <v>50</v>
      </c>
      <c r="AB439" s="6" t="s">
        <v>47</v>
      </c>
      <c r="AC439" s="6" t="s">
        <v>48</v>
      </c>
      <c r="AD439" s="6" t="s">
        <v>49</v>
      </c>
      <c r="AE439" s="6" t="s">
        <v>50</v>
      </c>
      <c r="AF439" s="6" t="s">
        <v>50</v>
      </c>
      <c r="AG439" s="6" t="s">
        <v>50</v>
      </c>
      <c r="AH439" s="6" t="s">
        <v>50</v>
      </c>
      <c r="AI439" s="6" t="s">
        <v>50</v>
      </c>
      <c r="AJ439" s="6" t="s">
        <v>50</v>
      </c>
      <c r="AK439" s="6" t="s">
        <v>50</v>
      </c>
      <c r="AL439" s="6" t="s">
        <v>50</v>
      </c>
      <c r="AM439" s="6" t="s">
        <v>50</v>
      </c>
      <c r="AN439" s="6" t="s">
        <v>50</v>
      </c>
      <c r="AO439" s="6" t="s">
        <v>50</v>
      </c>
    </row>
    <row r="440" spans="2:41" ht="165" x14ac:dyDescent="0.25">
      <c r="B440" s="207" t="s">
        <v>491</v>
      </c>
      <c r="C440" s="66" t="s">
        <v>492</v>
      </c>
      <c r="D440" s="4" t="s">
        <v>493</v>
      </c>
      <c r="E440" s="4" t="s">
        <v>1164</v>
      </c>
      <c r="F440" s="4" t="s">
        <v>448</v>
      </c>
      <c r="G440" s="4" t="s">
        <v>449</v>
      </c>
      <c r="H440" s="208">
        <v>1</v>
      </c>
      <c r="I440" s="4"/>
      <c r="J440" s="15" t="s">
        <v>494</v>
      </c>
      <c r="K440" s="4" t="s">
        <v>448</v>
      </c>
      <c r="L440" s="4" t="s">
        <v>451</v>
      </c>
      <c r="M440" s="4" t="s">
        <v>452</v>
      </c>
      <c r="N440" s="4">
        <v>201214320</v>
      </c>
      <c r="O440" s="4" t="s">
        <v>190</v>
      </c>
      <c r="P440" s="8">
        <v>1</v>
      </c>
      <c r="Q440" s="209">
        <f>Mon_ILR2[[#This Row],[Qty Required]]-Mon_ILR2[[#This Row],[QTY Transfer]]</f>
        <v>0</v>
      </c>
      <c r="R440" s="66" t="s">
        <v>905</v>
      </c>
      <c r="S440" s="66" t="s">
        <v>907</v>
      </c>
      <c r="T440" s="210">
        <f>_xlfn.IFNA(VLOOKUP(Mon_ILR2[[#This Row],[New Model]],PhilipsLibary[],4,FALSE),"0")</f>
        <v>4687.2</v>
      </c>
      <c r="U440" s="210">
        <f>_xlfn.IFNA(VLOOKUP(Mon_ILR2[[#This Row],[New Model]],PhilipsLibary[],5,FALSE),"0")</f>
        <v>0</v>
      </c>
      <c r="V440" s="210">
        <f>_xlfn.IFNA(VLOOKUP(Mon_ILR2[[#This Row],[New Model]],PhilipsLibary[],5,FALSE),"0")</f>
        <v>0</v>
      </c>
      <c r="W440" s="210">
        <v>943.28</v>
      </c>
      <c r="X440" s="8"/>
      <c r="Y440" s="289" t="s">
        <v>2217</v>
      </c>
      <c r="Z440" s="6" t="s">
        <v>453</v>
      </c>
      <c r="AA440" s="6" t="s">
        <v>50</v>
      </c>
      <c r="AB440" s="6" t="s">
        <v>47</v>
      </c>
      <c r="AC440" s="6" t="s">
        <v>48</v>
      </c>
      <c r="AD440" s="6" t="s">
        <v>49</v>
      </c>
      <c r="AE440" s="6" t="s">
        <v>50</v>
      </c>
      <c r="AF440" s="6" t="s">
        <v>50</v>
      </c>
      <c r="AG440" s="6" t="s">
        <v>50</v>
      </c>
      <c r="AH440" s="6" t="s">
        <v>50</v>
      </c>
      <c r="AI440" s="6" t="s">
        <v>50</v>
      </c>
      <c r="AJ440" s="6" t="s">
        <v>50</v>
      </c>
      <c r="AK440" s="6" t="s">
        <v>50</v>
      </c>
      <c r="AL440" s="6" t="s">
        <v>50</v>
      </c>
      <c r="AM440" s="6" t="s">
        <v>50</v>
      </c>
      <c r="AN440" s="6" t="s">
        <v>50</v>
      </c>
      <c r="AO440" s="6" t="s">
        <v>50</v>
      </c>
    </row>
    <row r="441" spans="2:41" ht="165" x14ac:dyDescent="0.25">
      <c r="B441" s="207" t="s">
        <v>275</v>
      </c>
      <c r="C441" s="66" t="s">
        <v>462</v>
      </c>
      <c r="D441" s="4" t="s">
        <v>495</v>
      </c>
      <c r="E441" s="4" t="s">
        <v>1164</v>
      </c>
      <c r="F441" s="4" t="s">
        <v>448</v>
      </c>
      <c r="G441" s="4" t="s">
        <v>449</v>
      </c>
      <c r="H441" s="208">
        <v>1</v>
      </c>
      <c r="I441" s="4"/>
      <c r="J441" s="15" t="s">
        <v>496</v>
      </c>
      <c r="K441" s="4" t="s">
        <v>448</v>
      </c>
      <c r="L441" s="4" t="s">
        <v>451</v>
      </c>
      <c r="M441" s="4" t="s">
        <v>465</v>
      </c>
      <c r="N441" s="4">
        <v>100080161517</v>
      </c>
      <c r="O441" s="4" t="s">
        <v>466</v>
      </c>
      <c r="P441" s="8">
        <v>1</v>
      </c>
      <c r="Q441" s="209">
        <f>Mon_ILR2[[#This Row],[Qty Required]]-Mon_ILR2[[#This Row],[QTY Transfer]]</f>
        <v>0</v>
      </c>
      <c r="R441" s="66" t="s">
        <v>905</v>
      </c>
      <c r="S441" s="66" t="s">
        <v>907</v>
      </c>
      <c r="T441" s="210">
        <f>_xlfn.IFNA(VLOOKUP(Mon_ILR2[[#This Row],[New Model]],PhilipsLibary[],4,FALSE),"0")</f>
        <v>4687.2</v>
      </c>
      <c r="U441" s="210">
        <f>_xlfn.IFNA(VLOOKUP(Mon_ILR2[[#This Row],[New Model]],PhilipsLibary[],5,FALSE),"0")</f>
        <v>0</v>
      </c>
      <c r="V441" s="210">
        <f>_xlfn.IFNA(VLOOKUP(Mon_ILR2[[#This Row],[New Model]],PhilipsLibary[],5,FALSE),"0")</f>
        <v>0</v>
      </c>
      <c r="W441" s="210">
        <v>943.28</v>
      </c>
      <c r="X441" s="8"/>
      <c r="Y441" s="289" t="s">
        <v>2217</v>
      </c>
      <c r="Z441" s="6" t="s">
        <v>453</v>
      </c>
      <c r="AA441" s="6" t="s">
        <v>50</v>
      </c>
      <c r="AB441" s="6" t="s">
        <v>47</v>
      </c>
      <c r="AC441" s="6" t="s">
        <v>48</v>
      </c>
      <c r="AD441" s="6" t="s">
        <v>49</v>
      </c>
      <c r="AE441" s="6" t="s">
        <v>50</v>
      </c>
      <c r="AF441" s="6" t="s">
        <v>50</v>
      </c>
      <c r="AG441" s="6" t="s">
        <v>50</v>
      </c>
      <c r="AH441" s="6" t="s">
        <v>50</v>
      </c>
      <c r="AI441" s="6" t="s">
        <v>50</v>
      </c>
      <c r="AJ441" s="6" t="s">
        <v>50</v>
      </c>
      <c r="AK441" s="6" t="s">
        <v>50</v>
      </c>
      <c r="AL441" s="6" t="s">
        <v>50</v>
      </c>
      <c r="AM441" s="6" t="s">
        <v>50</v>
      </c>
      <c r="AN441" s="6" t="s">
        <v>50</v>
      </c>
      <c r="AO441" s="6" t="s">
        <v>50</v>
      </c>
    </row>
    <row r="442" spans="2:41" ht="165" x14ac:dyDescent="0.25">
      <c r="B442" s="207" t="s">
        <v>275</v>
      </c>
      <c r="C442" s="66" t="s">
        <v>497</v>
      </c>
      <c r="D442" s="4" t="s">
        <v>498</v>
      </c>
      <c r="E442" s="4" t="s">
        <v>1164</v>
      </c>
      <c r="F442" s="4" t="s">
        <v>448</v>
      </c>
      <c r="G442" s="4" t="s">
        <v>449</v>
      </c>
      <c r="H442" s="208">
        <v>1</v>
      </c>
      <c r="I442" s="4"/>
      <c r="J442" s="15" t="s">
        <v>499</v>
      </c>
      <c r="K442" s="4" t="s">
        <v>448</v>
      </c>
      <c r="L442" s="4" t="s">
        <v>451</v>
      </c>
      <c r="M442" s="4" t="s">
        <v>500</v>
      </c>
      <c r="N442" s="4">
        <v>21100083301019</v>
      </c>
      <c r="O442" s="4" t="s">
        <v>190</v>
      </c>
      <c r="P442" s="8">
        <v>1</v>
      </c>
      <c r="Q442" s="209">
        <f>Mon_ILR2[[#This Row],[Qty Required]]-Mon_ILR2[[#This Row],[QTY Transfer]]</f>
        <v>0</v>
      </c>
      <c r="R442" s="66" t="s">
        <v>905</v>
      </c>
      <c r="S442" s="66" t="s">
        <v>907</v>
      </c>
      <c r="T442" s="210">
        <f>_xlfn.IFNA(VLOOKUP(Mon_ILR2[[#This Row],[New Model]],PhilipsLibary[],4,FALSE),"0")</f>
        <v>4687.2</v>
      </c>
      <c r="U442" s="210">
        <f>_xlfn.IFNA(VLOOKUP(Mon_ILR2[[#This Row],[New Model]],PhilipsLibary[],5,FALSE),"0")</f>
        <v>0</v>
      </c>
      <c r="V442" s="210">
        <f>_xlfn.IFNA(VLOOKUP(Mon_ILR2[[#This Row],[New Model]],PhilipsLibary[],5,FALSE),"0")</f>
        <v>0</v>
      </c>
      <c r="W442" s="210">
        <v>943.28</v>
      </c>
      <c r="X442" s="8"/>
      <c r="Y442" s="289" t="s">
        <v>2217</v>
      </c>
      <c r="Z442" s="6" t="s">
        <v>453</v>
      </c>
      <c r="AA442" s="6" t="s">
        <v>50</v>
      </c>
      <c r="AB442" s="6" t="s">
        <v>47</v>
      </c>
      <c r="AC442" s="6" t="s">
        <v>48</v>
      </c>
      <c r="AD442" s="6" t="s">
        <v>49</v>
      </c>
      <c r="AE442" s="6" t="s">
        <v>50</v>
      </c>
      <c r="AF442" s="6" t="s">
        <v>50</v>
      </c>
      <c r="AG442" s="6" t="s">
        <v>50</v>
      </c>
      <c r="AH442" s="6" t="s">
        <v>50</v>
      </c>
      <c r="AI442" s="6" t="s">
        <v>50</v>
      </c>
      <c r="AJ442" s="6" t="s">
        <v>50</v>
      </c>
      <c r="AK442" s="6" t="s">
        <v>50</v>
      </c>
      <c r="AL442" s="6" t="s">
        <v>50</v>
      </c>
      <c r="AM442" s="6" t="s">
        <v>50</v>
      </c>
      <c r="AN442" s="6" t="s">
        <v>50</v>
      </c>
      <c r="AO442" s="6" t="s">
        <v>50</v>
      </c>
    </row>
    <row r="443" spans="2:41" ht="165" x14ac:dyDescent="0.25">
      <c r="B443" s="207" t="s">
        <v>501</v>
      </c>
      <c r="C443" s="66" t="s">
        <v>174</v>
      </c>
      <c r="D443" s="4" t="s">
        <v>502</v>
      </c>
      <c r="E443" s="4" t="s">
        <v>1164</v>
      </c>
      <c r="F443" s="4" t="s">
        <v>448</v>
      </c>
      <c r="G443" s="4" t="s">
        <v>449</v>
      </c>
      <c r="H443" s="208">
        <v>1</v>
      </c>
      <c r="I443" s="4"/>
      <c r="J443" s="15" t="s">
        <v>503</v>
      </c>
      <c r="K443" s="4" t="s">
        <v>448</v>
      </c>
      <c r="L443" s="4" t="s">
        <v>451</v>
      </c>
      <c r="M443" s="4" t="s">
        <v>452</v>
      </c>
      <c r="N443" s="4">
        <v>201216029</v>
      </c>
      <c r="O443" s="4" t="s">
        <v>477</v>
      </c>
      <c r="P443" s="8">
        <v>1</v>
      </c>
      <c r="Q443" s="209">
        <f>Mon_ILR2[[#This Row],[Qty Required]]-Mon_ILR2[[#This Row],[QTY Transfer]]</f>
        <v>0</v>
      </c>
      <c r="R443" s="66" t="s">
        <v>905</v>
      </c>
      <c r="S443" s="66" t="s">
        <v>907</v>
      </c>
      <c r="T443" s="210">
        <f>_xlfn.IFNA(VLOOKUP(Mon_ILR2[[#This Row],[New Model]],PhilipsLibary[],4,FALSE),"0")</f>
        <v>4687.2</v>
      </c>
      <c r="U443" s="210">
        <f>_xlfn.IFNA(VLOOKUP(Mon_ILR2[[#This Row],[New Model]],PhilipsLibary[],5,FALSE),"0")</f>
        <v>0</v>
      </c>
      <c r="V443" s="210">
        <f>_xlfn.IFNA(VLOOKUP(Mon_ILR2[[#This Row],[New Model]],PhilipsLibary[],5,FALSE),"0")</f>
        <v>0</v>
      </c>
      <c r="W443" s="210">
        <v>943.28</v>
      </c>
      <c r="X443" s="8"/>
      <c r="Y443" s="289" t="s">
        <v>2217</v>
      </c>
      <c r="Z443" s="6" t="s">
        <v>453</v>
      </c>
      <c r="AA443" s="6" t="s">
        <v>50</v>
      </c>
      <c r="AB443" s="6" t="s">
        <v>47</v>
      </c>
      <c r="AC443" s="6" t="s">
        <v>48</v>
      </c>
      <c r="AD443" s="6" t="s">
        <v>49</v>
      </c>
      <c r="AE443" s="6" t="s">
        <v>50</v>
      </c>
      <c r="AF443" s="6" t="s">
        <v>50</v>
      </c>
      <c r="AG443" s="6" t="s">
        <v>50</v>
      </c>
      <c r="AH443" s="6" t="s">
        <v>50</v>
      </c>
      <c r="AI443" s="6" t="s">
        <v>50</v>
      </c>
      <c r="AJ443" s="6" t="s">
        <v>50</v>
      </c>
      <c r="AK443" s="6" t="s">
        <v>50</v>
      </c>
      <c r="AL443" s="6" t="s">
        <v>50</v>
      </c>
      <c r="AM443" s="6" t="s">
        <v>50</v>
      </c>
      <c r="AN443" s="6" t="s">
        <v>50</v>
      </c>
      <c r="AO443" s="6" t="s">
        <v>50</v>
      </c>
    </row>
    <row r="444" spans="2:41" ht="165" x14ac:dyDescent="0.25">
      <c r="B444" s="207" t="s">
        <v>501</v>
      </c>
      <c r="C444" s="66" t="s">
        <v>174</v>
      </c>
      <c r="D444" s="4" t="s">
        <v>502</v>
      </c>
      <c r="E444" s="4" t="s">
        <v>1164</v>
      </c>
      <c r="F444" s="4" t="s">
        <v>448</v>
      </c>
      <c r="G444" s="4" t="s">
        <v>449</v>
      </c>
      <c r="H444" s="208">
        <v>1</v>
      </c>
      <c r="I444" s="4"/>
      <c r="J444" s="15" t="s">
        <v>504</v>
      </c>
      <c r="K444" s="4" t="s">
        <v>448</v>
      </c>
      <c r="L444" s="4" t="s">
        <v>451</v>
      </c>
      <c r="M444" s="4" t="s">
        <v>465</v>
      </c>
      <c r="N444" s="4">
        <v>0</v>
      </c>
      <c r="O444" s="4" t="s">
        <v>505</v>
      </c>
      <c r="P444" s="8">
        <v>1</v>
      </c>
      <c r="Q444" s="209">
        <f>Mon_ILR2[[#This Row],[Qty Required]]-Mon_ILR2[[#This Row],[QTY Transfer]]</f>
        <v>0</v>
      </c>
      <c r="R444" s="66" t="s">
        <v>905</v>
      </c>
      <c r="S444" s="66" t="s">
        <v>907</v>
      </c>
      <c r="T444" s="210">
        <f>_xlfn.IFNA(VLOOKUP(Mon_ILR2[[#This Row],[New Model]],PhilipsLibary[],4,FALSE),"0")</f>
        <v>4687.2</v>
      </c>
      <c r="U444" s="210">
        <f>_xlfn.IFNA(VLOOKUP(Mon_ILR2[[#This Row],[New Model]],PhilipsLibary[],5,FALSE),"0")</f>
        <v>0</v>
      </c>
      <c r="V444" s="210">
        <f>_xlfn.IFNA(VLOOKUP(Mon_ILR2[[#This Row],[New Model]],PhilipsLibary[],5,FALSE),"0")</f>
        <v>0</v>
      </c>
      <c r="W444" s="210">
        <v>943.28</v>
      </c>
      <c r="X444" s="8"/>
      <c r="Y444" s="289" t="s">
        <v>2217</v>
      </c>
      <c r="Z444" s="6" t="s">
        <v>453</v>
      </c>
      <c r="AA444" s="6" t="s">
        <v>50</v>
      </c>
      <c r="AB444" s="6" t="s">
        <v>47</v>
      </c>
      <c r="AC444" s="6" t="s">
        <v>48</v>
      </c>
      <c r="AD444" s="6" t="s">
        <v>49</v>
      </c>
      <c r="AE444" s="6" t="s">
        <v>50</v>
      </c>
      <c r="AF444" s="6" t="s">
        <v>50</v>
      </c>
      <c r="AG444" s="6" t="s">
        <v>50</v>
      </c>
      <c r="AH444" s="6" t="s">
        <v>50</v>
      </c>
      <c r="AI444" s="6" t="s">
        <v>50</v>
      </c>
      <c r="AJ444" s="6" t="s">
        <v>50</v>
      </c>
      <c r="AK444" s="6" t="s">
        <v>50</v>
      </c>
      <c r="AL444" s="6" t="s">
        <v>50</v>
      </c>
      <c r="AM444" s="6" t="s">
        <v>50</v>
      </c>
      <c r="AN444" s="6" t="s">
        <v>50</v>
      </c>
      <c r="AO444" s="6" t="s">
        <v>50</v>
      </c>
    </row>
    <row r="445" spans="2:41" ht="165" x14ac:dyDescent="0.25">
      <c r="B445" s="207" t="s">
        <v>501</v>
      </c>
      <c r="C445" s="66" t="s">
        <v>174</v>
      </c>
      <c r="D445" s="4" t="s">
        <v>502</v>
      </c>
      <c r="E445" s="4" t="s">
        <v>1164</v>
      </c>
      <c r="F445" s="4" t="s">
        <v>448</v>
      </c>
      <c r="G445" s="4" t="s">
        <v>449</v>
      </c>
      <c r="H445" s="208">
        <v>1</v>
      </c>
      <c r="I445" s="4"/>
      <c r="J445" s="15" t="s">
        <v>506</v>
      </c>
      <c r="K445" s="4" t="s">
        <v>448</v>
      </c>
      <c r="L445" s="4" t="s">
        <v>451</v>
      </c>
      <c r="M445" s="4" t="s">
        <v>465</v>
      </c>
      <c r="N445" s="4">
        <v>0</v>
      </c>
      <c r="O445" s="4" t="s">
        <v>505</v>
      </c>
      <c r="P445" s="8">
        <v>1</v>
      </c>
      <c r="Q445" s="209">
        <f>Mon_ILR2[[#This Row],[Qty Required]]-Mon_ILR2[[#This Row],[QTY Transfer]]</f>
        <v>0</v>
      </c>
      <c r="R445" s="66" t="s">
        <v>905</v>
      </c>
      <c r="S445" s="66" t="s">
        <v>907</v>
      </c>
      <c r="T445" s="210">
        <f>_xlfn.IFNA(VLOOKUP(Mon_ILR2[[#This Row],[New Model]],PhilipsLibary[],4,FALSE),"0")</f>
        <v>4687.2</v>
      </c>
      <c r="U445" s="210">
        <f>_xlfn.IFNA(VLOOKUP(Mon_ILR2[[#This Row],[New Model]],PhilipsLibary[],5,FALSE),"0")</f>
        <v>0</v>
      </c>
      <c r="V445" s="210">
        <f>_xlfn.IFNA(VLOOKUP(Mon_ILR2[[#This Row],[New Model]],PhilipsLibary[],5,FALSE),"0")</f>
        <v>0</v>
      </c>
      <c r="W445" s="210">
        <v>943.28</v>
      </c>
      <c r="X445" s="8"/>
      <c r="Y445" s="289" t="s">
        <v>2217</v>
      </c>
      <c r="Z445" s="6" t="s">
        <v>453</v>
      </c>
      <c r="AA445" s="6" t="s">
        <v>50</v>
      </c>
      <c r="AB445" s="6" t="s">
        <v>47</v>
      </c>
      <c r="AC445" s="6" t="s">
        <v>48</v>
      </c>
      <c r="AD445" s="6" t="s">
        <v>49</v>
      </c>
      <c r="AE445" s="6" t="s">
        <v>50</v>
      </c>
      <c r="AF445" s="6" t="s">
        <v>50</v>
      </c>
      <c r="AG445" s="6" t="s">
        <v>50</v>
      </c>
      <c r="AH445" s="6" t="s">
        <v>50</v>
      </c>
      <c r="AI445" s="6" t="s">
        <v>50</v>
      </c>
      <c r="AJ445" s="6" t="s">
        <v>50</v>
      </c>
      <c r="AK445" s="6" t="s">
        <v>50</v>
      </c>
      <c r="AL445" s="6" t="s">
        <v>50</v>
      </c>
      <c r="AM445" s="6" t="s">
        <v>50</v>
      </c>
      <c r="AN445" s="6" t="s">
        <v>50</v>
      </c>
      <c r="AO445" s="6" t="s">
        <v>50</v>
      </c>
    </row>
    <row r="446" spans="2:41" ht="165" x14ac:dyDescent="0.25">
      <c r="B446" s="207" t="s">
        <v>501</v>
      </c>
      <c r="C446" s="66" t="s">
        <v>174</v>
      </c>
      <c r="D446" s="4" t="s">
        <v>502</v>
      </c>
      <c r="E446" s="4" t="s">
        <v>1164</v>
      </c>
      <c r="F446" s="4" t="s">
        <v>448</v>
      </c>
      <c r="G446" s="4" t="s">
        <v>449</v>
      </c>
      <c r="H446" s="208">
        <v>1</v>
      </c>
      <c r="I446" s="4"/>
      <c r="J446" s="15" t="s">
        <v>507</v>
      </c>
      <c r="K446" s="4" t="s">
        <v>448</v>
      </c>
      <c r="L446" s="4" t="s">
        <v>451</v>
      </c>
      <c r="M446" s="4" t="s">
        <v>465</v>
      </c>
      <c r="N446" s="4">
        <v>0</v>
      </c>
      <c r="O446" s="4" t="s">
        <v>505</v>
      </c>
      <c r="P446" s="8">
        <v>1</v>
      </c>
      <c r="Q446" s="209">
        <f>Mon_ILR2[[#This Row],[Qty Required]]-Mon_ILR2[[#This Row],[QTY Transfer]]</f>
        <v>0</v>
      </c>
      <c r="R446" s="66" t="s">
        <v>905</v>
      </c>
      <c r="S446" s="66" t="s">
        <v>907</v>
      </c>
      <c r="T446" s="210">
        <f>_xlfn.IFNA(VLOOKUP(Mon_ILR2[[#This Row],[New Model]],PhilipsLibary[],4,FALSE),"0")</f>
        <v>4687.2</v>
      </c>
      <c r="U446" s="210">
        <f>_xlfn.IFNA(VLOOKUP(Mon_ILR2[[#This Row],[New Model]],PhilipsLibary[],5,FALSE),"0")</f>
        <v>0</v>
      </c>
      <c r="V446" s="210">
        <f>_xlfn.IFNA(VLOOKUP(Mon_ILR2[[#This Row],[New Model]],PhilipsLibary[],5,FALSE),"0")</f>
        <v>0</v>
      </c>
      <c r="W446" s="210">
        <v>943.28</v>
      </c>
      <c r="X446" s="8"/>
      <c r="Y446" s="289" t="s">
        <v>2217</v>
      </c>
      <c r="Z446" s="6" t="s">
        <v>453</v>
      </c>
      <c r="AA446" s="6" t="s">
        <v>50</v>
      </c>
      <c r="AB446" s="6" t="s">
        <v>47</v>
      </c>
      <c r="AC446" s="6" t="s">
        <v>48</v>
      </c>
      <c r="AD446" s="6" t="s">
        <v>49</v>
      </c>
      <c r="AE446" s="6" t="s">
        <v>50</v>
      </c>
      <c r="AF446" s="6" t="s">
        <v>50</v>
      </c>
      <c r="AG446" s="6" t="s">
        <v>50</v>
      </c>
      <c r="AH446" s="6" t="s">
        <v>50</v>
      </c>
      <c r="AI446" s="6" t="s">
        <v>50</v>
      </c>
      <c r="AJ446" s="6" t="s">
        <v>50</v>
      </c>
      <c r="AK446" s="6" t="s">
        <v>50</v>
      </c>
      <c r="AL446" s="6" t="s">
        <v>50</v>
      </c>
      <c r="AM446" s="6" t="s">
        <v>50</v>
      </c>
      <c r="AN446" s="6" t="s">
        <v>50</v>
      </c>
      <c r="AO446" s="6" t="s">
        <v>50</v>
      </c>
    </row>
    <row r="447" spans="2:41" ht="165" x14ac:dyDescent="0.25">
      <c r="B447" s="207" t="s">
        <v>501</v>
      </c>
      <c r="C447" s="66" t="s">
        <v>174</v>
      </c>
      <c r="D447" s="4" t="s">
        <v>502</v>
      </c>
      <c r="E447" s="4" t="s">
        <v>1164</v>
      </c>
      <c r="F447" s="4" t="s">
        <v>448</v>
      </c>
      <c r="G447" s="4" t="s">
        <v>449</v>
      </c>
      <c r="H447" s="208">
        <v>1</v>
      </c>
      <c r="I447" s="4"/>
      <c r="J447" s="15" t="s">
        <v>508</v>
      </c>
      <c r="K447" s="4" t="s">
        <v>448</v>
      </c>
      <c r="L447" s="4" t="s">
        <v>451</v>
      </c>
      <c r="M447" s="4" t="s">
        <v>465</v>
      </c>
      <c r="N447" s="4">
        <v>0</v>
      </c>
      <c r="O447" s="4" t="s">
        <v>505</v>
      </c>
      <c r="P447" s="8">
        <v>1</v>
      </c>
      <c r="Q447" s="209">
        <f>Mon_ILR2[[#This Row],[Qty Required]]-Mon_ILR2[[#This Row],[QTY Transfer]]</f>
        <v>0</v>
      </c>
      <c r="R447" s="66" t="s">
        <v>905</v>
      </c>
      <c r="S447" s="66" t="s">
        <v>907</v>
      </c>
      <c r="T447" s="210">
        <f>_xlfn.IFNA(VLOOKUP(Mon_ILR2[[#This Row],[New Model]],PhilipsLibary[],4,FALSE),"0")</f>
        <v>4687.2</v>
      </c>
      <c r="U447" s="210">
        <f>_xlfn.IFNA(VLOOKUP(Mon_ILR2[[#This Row],[New Model]],PhilipsLibary[],5,FALSE),"0")</f>
        <v>0</v>
      </c>
      <c r="V447" s="210">
        <f>_xlfn.IFNA(VLOOKUP(Mon_ILR2[[#This Row],[New Model]],PhilipsLibary[],5,FALSE),"0")</f>
        <v>0</v>
      </c>
      <c r="W447" s="210">
        <v>943.28</v>
      </c>
      <c r="X447" s="8"/>
      <c r="Y447" s="289" t="s">
        <v>2217</v>
      </c>
      <c r="Z447" s="6" t="s">
        <v>453</v>
      </c>
      <c r="AA447" s="6" t="s">
        <v>50</v>
      </c>
      <c r="AB447" s="6" t="s">
        <v>47</v>
      </c>
      <c r="AC447" s="6" t="s">
        <v>48</v>
      </c>
      <c r="AD447" s="6" t="s">
        <v>49</v>
      </c>
      <c r="AE447" s="6" t="s">
        <v>50</v>
      </c>
      <c r="AF447" s="6" t="s">
        <v>50</v>
      </c>
      <c r="AG447" s="6" t="s">
        <v>50</v>
      </c>
      <c r="AH447" s="6" t="s">
        <v>50</v>
      </c>
      <c r="AI447" s="6" t="s">
        <v>50</v>
      </c>
      <c r="AJ447" s="6" t="s">
        <v>50</v>
      </c>
      <c r="AK447" s="6" t="s">
        <v>50</v>
      </c>
      <c r="AL447" s="6" t="s">
        <v>50</v>
      </c>
      <c r="AM447" s="6" t="s">
        <v>50</v>
      </c>
      <c r="AN447" s="6" t="s">
        <v>50</v>
      </c>
      <c r="AO447" s="6" t="s">
        <v>50</v>
      </c>
    </row>
    <row r="448" spans="2:41" ht="165" x14ac:dyDescent="0.25">
      <c r="B448" s="207" t="s">
        <v>501</v>
      </c>
      <c r="C448" s="66" t="s">
        <v>174</v>
      </c>
      <c r="D448" s="4" t="s">
        <v>509</v>
      </c>
      <c r="E448" s="4" t="s">
        <v>1164</v>
      </c>
      <c r="F448" s="4" t="s">
        <v>448</v>
      </c>
      <c r="G448" s="4" t="s">
        <v>449</v>
      </c>
      <c r="H448" s="208">
        <v>1</v>
      </c>
      <c r="I448" s="4"/>
      <c r="J448" s="15" t="s">
        <v>510</v>
      </c>
      <c r="K448" s="4" t="s">
        <v>448</v>
      </c>
      <c r="L448" s="4" t="s">
        <v>451</v>
      </c>
      <c r="M448" s="4" t="s">
        <v>465</v>
      </c>
      <c r="N448" s="4">
        <v>0</v>
      </c>
      <c r="O448" s="4" t="s">
        <v>505</v>
      </c>
      <c r="P448" s="8">
        <v>1</v>
      </c>
      <c r="Q448" s="209">
        <f>Mon_ILR2[[#This Row],[Qty Required]]-Mon_ILR2[[#This Row],[QTY Transfer]]</f>
        <v>0</v>
      </c>
      <c r="R448" s="66" t="s">
        <v>905</v>
      </c>
      <c r="S448" s="66" t="s">
        <v>907</v>
      </c>
      <c r="T448" s="210">
        <f>_xlfn.IFNA(VLOOKUP(Mon_ILR2[[#This Row],[New Model]],PhilipsLibary[],4,FALSE),"0")</f>
        <v>4687.2</v>
      </c>
      <c r="U448" s="210">
        <f>_xlfn.IFNA(VLOOKUP(Mon_ILR2[[#This Row],[New Model]],PhilipsLibary[],5,FALSE),"0")</f>
        <v>0</v>
      </c>
      <c r="V448" s="210">
        <f>_xlfn.IFNA(VLOOKUP(Mon_ILR2[[#This Row],[New Model]],PhilipsLibary[],5,FALSE),"0")</f>
        <v>0</v>
      </c>
      <c r="W448" s="210">
        <v>943.28</v>
      </c>
      <c r="X448" s="8"/>
      <c r="Y448" s="289" t="s">
        <v>2217</v>
      </c>
      <c r="Z448" s="6" t="s">
        <v>453</v>
      </c>
      <c r="AA448" s="6" t="s">
        <v>50</v>
      </c>
      <c r="AB448" s="6" t="s">
        <v>47</v>
      </c>
      <c r="AC448" s="6" t="s">
        <v>48</v>
      </c>
      <c r="AD448" s="6" t="s">
        <v>49</v>
      </c>
      <c r="AE448" s="6" t="s">
        <v>50</v>
      </c>
      <c r="AF448" s="6" t="s">
        <v>50</v>
      </c>
      <c r="AG448" s="6" t="s">
        <v>50</v>
      </c>
      <c r="AH448" s="6" t="s">
        <v>50</v>
      </c>
      <c r="AI448" s="6" t="s">
        <v>50</v>
      </c>
      <c r="AJ448" s="6" t="s">
        <v>50</v>
      </c>
      <c r="AK448" s="6" t="s">
        <v>50</v>
      </c>
      <c r="AL448" s="6" t="s">
        <v>50</v>
      </c>
      <c r="AM448" s="6" t="s">
        <v>50</v>
      </c>
      <c r="AN448" s="6" t="s">
        <v>50</v>
      </c>
      <c r="AO448" s="6" t="s">
        <v>50</v>
      </c>
    </row>
    <row r="449" spans="2:41" ht="165" x14ac:dyDescent="0.25">
      <c r="B449" s="207" t="s">
        <v>501</v>
      </c>
      <c r="C449" s="66" t="s">
        <v>174</v>
      </c>
      <c r="D449" s="4" t="s">
        <v>511</v>
      </c>
      <c r="E449" s="4" t="s">
        <v>1164</v>
      </c>
      <c r="F449" s="4" t="s">
        <v>448</v>
      </c>
      <c r="G449" s="4" t="s">
        <v>449</v>
      </c>
      <c r="H449" s="208">
        <v>1</v>
      </c>
      <c r="I449" s="4"/>
      <c r="J449" s="15">
        <v>4865</v>
      </c>
      <c r="K449" s="4" t="s">
        <v>448</v>
      </c>
      <c r="L449" s="4" t="s">
        <v>451</v>
      </c>
      <c r="M449" s="4" t="s">
        <v>465</v>
      </c>
      <c r="N449" s="4">
        <v>0</v>
      </c>
      <c r="O449" s="4" t="s">
        <v>505</v>
      </c>
      <c r="P449" s="8">
        <v>1</v>
      </c>
      <c r="Q449" s="209">
        <f>Mon_ILR2[[#This Row],[Qty Required]]-Mon_ILR2[[#This Row],[QTY Transfer]]</f>
        <v>0</v>
      </c>
      <c r="R449" s="66" t="s">
        <v>905</v>
      </c>
      <c r="S449" s="66" t="s">
        <v>907</v>
      </c>
      <c r="T449" s="210">
        <f>_xlfn.IFNA(VLOOKUP(Mon_ILR2[[#This Row],[New Model]],PhilipsLibary[],4,FALSE),"0")</f>
        <v>4687.2</v>
      </c>
      <c r="U449" s="210">
        <f>_xlfn.IFNA(VLOOKUP(Mon_ILR2[[#This Row],[New Model]],PhilipsLibary[],5,FALSE),"0")</f>
        <v>0</v>
      </c>
      <c r="V449" s="210">
        <f>_xlfn.IFNA(VLOOKUP(Mon_ILR2[[#This Row],[New Model]],PhilipsLibary[],5,FALSE),"0")</f>
        <v>0</v>
      </c>
      <c r="W449" s="210">
        <v>943.28</v>
      </c>
      <c r="X449" s="8"/>
      <c r="Y449" s="289" t="s">
        <v>2217</v>
      </c>
      <c r="Z449" s="6" t="s">
        <v>453</v>
      </c>
      <c r="AA449" s="6" t="s">
        <v>50</v>
      </c>
      <c r="AB449" s="6" t="s">
        <v>47</v>
      </c>
      <c r="AC449" s="6" t="s">
        <v>48</v>
      </c>
      <c r="AD449" s="6" t="s">
        <v>49</v>
      </c>
      <c r="AE449" s="6" t="s">
        <v>50</v>
      </c>
      <c r="AF449" s="6" t="s">
        <v>50</v>
      </c>
      <c r="AG449" s="6" t="s">
        <v>50</v>
      </c>
      <c r="AH449" s="6" t="s">
        <v>50</v>
      </c>
      <c r="AI449" s="6" t="s">
        <v>50</v>
      </c>
      <c r="AJ449" s="6" t="s">
        <v>50</v>
      </c>
      <c r="AK449" s="6" t="s">
        <v>50</v>
      </c>
      <c r="AL449" s="6" t="s">
        <v>50</v>
      </c>
      <c r="AM449" s="6" t="s">
        <v>50</v>
      </c>
      <c r="AN449" s="6" t="s">
        <v>50</v>
      </c>
      <c r="AO449" s="6" t="s">
        <v>50</v>
      </c>
    </row>
    <row r="450" spans="2:41" ht="165" x14ac:dyDescent="0.25">
      <c r="B450" s="207" t="s">
        <v>501</v>
      </c>
      <c r="C450" s="66" t="s">
        <v>174</v>
      </c>
      <c r="D450" s="4" t="s">
        <v>512</v>
      </c>
      <c r="E450" s="4" t="s">
        <v>1164</v>
      </c>
      <c r="F450" s="4" t="s">
        <v>448</v>
      </c>
      <c r="G450" s="4" t="s">
        <v>449</v>
      </c>
      <c r="H450" s="208">
        <v>1</v>
      </c>
      <c r="I450" s="4"/>
      <c r="J450" s="15" t="s">
        <v>513</v>
      </c>
      <c r="K450" s="4" t="s">
        <v>448</v>
      </c>
      <c r="L450" s="4" t="s">
        <v>451</v>
      </c>
      <c r="M450" s="4" t="s">
        <v>465</v>
      </c>
      <c r="N450" s="4">
        <v>0</v>
      </c>
      <c r="O450" s="4" t="s">
        <v>514</v>
      </c>
      <c r="P450" s="8">
        <v>1</v>
      </c>
      <c r="Q450" s="209">
        <f>Mon_ILR2[[#This Row],[Qty Required]]-Mon_ILR2[[#This Row],[QTY Transfer]]</f>
        <v>0</v>
      </c>
      <c r="R450" s="66" t="s">
        <v>905</v>
      </c>
      <c r="S450" s="66" t="s">
        <v>907</v>
      </c>
      <c r="T450" s="210">
        <f>_xlfn.IFNA(VLOOKUP(Mon_ILR2[[#This Row],[New Model]],PhilipsLibary[],4,FALSE),"0")</f>
        <v>4687.2</v>
      </c>
      <c r="U450" s="210">
        <f>_xlfn.IFNA(VLOOKUP(Mon_ILR2[[#This Row],[New Model]],PhilipsLibary[],5,FALSE),"0")</f>
        <v>0</v>
      </c>
      <c r="V450" s="210">
        <f>_xlfn.IFNA(VLOOKUP(Mon_ILR2[[#This Row],[New Model]],PhilipsLibary[],5,FALSE),"0")</f>
        <v>0</v>
      </c>
      <c r="W450" s="210">
        <v>943.28</v>
      </c>
      <c r="X450" s="8"/>
      <c r="Y450" s="289" t="s">
        <v>2217</v>
      </c>
      <c r="Z450" s="6" t="s">
        <v>453</v>
      </c>
      <c r="AA450" s="6" t="s">
        <v>50</v>
      </c>
      <c r="AB450" s="6" t="s">
        <v>47</v>
      </c>
      <c r="AC450" s="6" t="s">
        <v>48</v>
      </c>
      <c r="AD450" s="6" t="s">
        <v>49</v>
      </c>
      <c r="AE450" s="6" t="s">
        <v>50</v>
      </c>
      <c r="AF450" s="6" t="s">
        <v>50</v>
      </c>
      <c r="AG450" s="6" t="s">
        <v>50</v>
      </c>
      <c r="AH450" s="6" t="s">
        <v>50</v>
      </c>
      <c r="AI450" s="6" t="s">
        <v>50</v>
      </c>
      <c r="AJ450" s="6" t="s">
        <v>50</v>
      </c>
      <c r="AK450" s="6" t="s">
        <v>50</v>
      </c>
      <c r="AL450" s="6" t="s">
        <v>50</v>
      </c>
      <c r="AM450" s="6" t="s">
        <v>50</v>
      </c>
      <c r="AN450" s="6" t="s">
        <v>50</v>
      </c>
      <c r="AO450" s="6" t="s">
        <v>50</v>
      </c>
    </row>
    <row r="451" spans="2:41" ht="165" x14ac:dyDescent="0.25">
      <c r="B451" s="207" t="s">
        <v>501</v>
      </c>
      <c r="C451" s="66" t="s">
        <v>174</v>
      </c>
      <c r="D451" s="4" t="s">
        <v>515</v>
      </c>
      <c r="E451" s="4" t="s">
        <v>1164</v>
      </c>
      <c r="F451" s="4" t="s">
        <v>448</v>
      </c>
      <c r="G451" s="4" t="s">
        <v>449</v>
      </c>
      <c r="H451" s="208">
        <v>1</v>
      </c>
      <c r="I451" s="4"/>
      <c r="J451" s="15" t="s">
        <v>516</v>
      </c>
      <c r="K451" s="4" t="s">
        <v>448</v>
      </c>
      <c r="L451" s="4" t="s">
        <v>451</v>
      </c>
      <c r="M451" s="4" t="s">
        <v>465</v>
      </c>
      <c r="N451" s="4">
        <v>0</v>
      </c>
      <c r="O451" s="4" t="s">
        <v>514</v>
      </c>
      <c r="P451" s="8">
        <v>1</v>
      </c>
      <c r="Q451" s="209">
        <f>Mon_ILR2[[#This Row],[Qty Required]]-Mon_ILR2[[#This Row],[QTY Transfer]]</f>
        <v>0</v>
      </c>
      <c r="R451" s="66" t="s">
        <v>905</v>
      </c>
      <c r="S451" s="66" t="s">
        <v>907</v>
      </c>
      <c r="T451" s="210">
        <f>_xlfn.IFNA(VLOOKUP(Mon_ILR2[[#This Row],[New Model]],PhilipsLibary[],4,FALSE),"0")</f>
        <v>4687.2</v>
      </c>
      <c r="U451" s="210">
        <f>_xlfn.IFNA(VLOOKUP(Mon_ILR2[[#This Row],[New Model]],PhilipsLibary[],5,FALSE),"0")</f>
        <v>0</v>
      </c>
      <c r="V451" s="210">
        <f>_xlfn.IFNA(VLOOKUP(Mon_ILR2[[#This Row],[New Model]],PhilipsLibary[],5,FALSE),"0")</f>
        <v>0</v>
      </c>
      <c r="W451" s="210">
        <v>943.28</v>
      </c>
      <c r="X451" s="8"/>
      <c r="Y451" s="289" t="s">
        <v>2217</v>
      </c>
      <c r="Z451" s="6" t="s">
        <v>453</v>
      </c>
      <c r="AA451" s="6" t="s">
        <v>50</v>
      </c>
      <c r="AB451" s="6" t="s">
        <v>47</v>
      </c>
      <c r="AC451" s="6" t="s">
        <v>48</v>
      </c>
      <c r="AD451" s="6" t="s">
        <v>49</v>
      </c>
      <c r="AE451" s="6" t="s">
        <v>50</v>
      </c>
      <c r="AF451" s="6" t="s">
        <v>50</v>
      </c>
      <c r="AG451" s="6" t="s">
        <v>50</v>
      </c>
      <c r="AH451" s="6" t="s">
        <v>50</v>
      </c>
      <c r="AI451" s="6" t="s">
        <v>50</v>
      </c>
      <c r="AJ451" s="6" t="s">
        <v>50</v>
      </c>
      <c r="AK451" s="6" t="s">
        <v>50</v>
      </c>
      <c r="AL451" s="6" t="s">
        <v>50</v>
      </c>
      <c r="AM451" s="6" t="s">
        <v>50</v>
      </c>
      <c r="AN451" s="6" t="s">
        <v>50</v>
      </c>
      <c r="AO451" s="6" t="s">
        <v>50</v>
      </c>
    </row>
    <row r="452" spans="2:41" ht="165" x14ac:dyDescent="0.25">
      <c r="B452" s="207" t="s">
        <v>517</v>
      </c>
      <c r="C452" s="66" t="s">
        <v>518</v>
      </c>
      <c r="D452" s="4" t="s">
        <v>519</v>
      </c>
      <c r="E452" s="4" t="s">
        <v>1164</v>
      </c>
      <c r="F452" s="4" t="s">
        <v>448</v>
      </c>
      <c r="G452" s="4" t="s">
        <v>449</v>
      </c>
      <c r="H452" s="208">
        <v>1</v>
      </c>
      <c r="I452" s="4"/>
      <c r="J452" s="15" t="s">
        <v>520</v>
      </c>
      <c r="K452" s="4" t="s">
        <v>448</v>
      </c>
      <c r="L452" s="4" t="s">
        <v>451</v>
      </c>
      <c r="M452" s="4" t="s">
        <v>452</v>
      </c>
      <c r="N452" s="4">
        <v>201408224</v>
      </c>
      <c r="O452" s="4" t="s">
        <v>474</v>
      </c>
      <c r="P452" s="8">
        <v>1</v>
      </c>
      <c r="Q452" s="209">
        <f>Mon_ILR2[[#This Row],[Qty Required]]-Mon_ILR2[[#This Row],[QTY Transfer]]</f>
        <v>0</v>
      </c>
      <c r="R452" s="66" t="s">
        <v>905</v>
      </c>
      <c r="S452" s="66" t="s">
        <v>907</v>
      </c>
      <c r="T452" s="210">
        <f>_xlfn.IFNA(VLOOKUP(Mon_ILR2[[#This Row],[New Model]],PhilipsLibary[],4,FALSE),"0")</f>
        <v>4687.2</v>
      </c>
      <c r="U452" s="210">
        <f>_xlfn.IFNA(VLOOKUP(Mon_ILR2[[#This Row],[New Model]],PhilipsLibary[],5,FALSE),"0")</f>
        <v>0</v>
      </c>
      <c r="V452" s="210">
        <f>_xlfn.IFNA(VLOOKUP(Mon_ILR2[[#This Row],[New Model]],PhilipsLibary[],5,FALSE),"0")</f>
        <v>0</v>
      </c>
      <c r="W452" s="210">
        <v>943.28</v>
      </c>
      <c r="X452" s="8"/>
      <c r="Y452" s="289" t="s">
        <v>2217</v>
      </c>
      <c r="Z452" s="6" t="s">
        <v>453</v>
      </c>
      <c r="AA452" s="6" t="s">
        <v>50</v>
      </c>
      <c r="AB452" s="6" t="s">
        <v>47</v>
      </c>
      <c r="AC452" s="6" t="s">
        <v>48</v>
      </c>
      <c r="AD452" s="6" t="s">
        <v>49</v>
      </c>
      <c r="AE452" s="6" t="s">
        <v>50</v>
      </c>
      <c r="AF452" s="6" t="s">
        <v>50</v>
      </c>
      <c r="AG452" s="6" t="s">
        <v>50</v>
      </c>
      <c r="AH452" s="6" t="s">
        <v>50</v>
      </c>
      <c r="AI452" s="6" t="s">
        <v>50</v>
      </c>
      <c r="AJ452" s="6" t="s">
        <v>50</v>
      </c>
      <c r="AK452" s="6" t="s">
        <v>50</v>
      </c>
      <c r="AL452" s="6" t="s">
        <v>50</v>
      </c>
      <c r="AM452" s="6" t="s">
        <v>50</v>
      </c>
      <c r="AN452" s="6" t="s">
        <v>50</v>
      </c>
      <c r="AO452" s="6" t="s">
        <v>50</v>
      </c>
    </row>
    <row r="453" spans="2:41" ht="165" x14ac:dyDescent="0.25">
      <c r="B453" s="207" t="s">
        <v>517</v>
      </c>
      <c r="C453" s="66" t="s">
        <v>518</v>
      </c>
      <c r="D453" s="4" t="s">
        <v>521</v>
      </c>
      <c r="E453" s="4" t="s">
        <v>1164</v>
      </c>
      <c r="F453" s="4" t="s">
        <v>448</v>
      </c>
      <c r="G453" s="4" t="s">
        <v>449</v>
      </c>
      <c r="H453" s="208">
        <v>1</v>
      </c>
      <c r="I453" s="4"/>
      <c r="J453" s="15" t="s">
        <v>522</v>
      </c>
      <c r="K453" s="4" t="s">
        <v>448</v>
      </c>
      <c r="L453" s="4" t="s">
        <v>451</v>
      </c>
      <c r="M453" s="4" t="s">
        <v>452</v>
      </c>
      <c r="N453" s="4">
        <v>201501307</v>
      </c>
      <c r="O453" s="4" t="s">
        <v>190</v>
      </c>
      <c r="P453" s="8">
        <v>1</v>
      </c>
      <c r="Q453" s="209">
        <f>Mon_ILR2[[#This Row],[Qty Required]]-Mon_ILR2[[#This Row],[QTY Transfer]]</f>
        <v>0</v>
      </c>
      <c r="R453" s="66" t="s">
        <v>905</v>
      </c>
      <c r="S453" s="66" t="s">
        <v>907</v>
      </c>
      <c r="T453" s="210">
        <f>_xlfn.IFNA(VLOOKUP(Mon_ILR2[[#This Row],[New Model]],PhilipsLibary[],4,FALSE),"0")</f>
        <v>4687.2</v>
      </c>
      <c r="U453" s="210">
        <f>_xlfn.IFNA(VLOOKUP(Mon_ILR2[[#This Row],[New Model]],PhilipsLibary[],5,FALSE),"0")</f>
        <v>0</v>
      </c>
      <c r="V453" s="210">
        <f>_xlfn.IFNA(VLOOKUP(Mon_ILR2[[#This Row],[New Model]],PhilipsLibary[],5,FALSE),"0")</f>
        <v>0</v>
      </c>
      <c r="W453" s="210">
        <v>943.28</v>
      </c>
      <c r="X453" s="8"/>
      <c r="Y453" s="289" t="s">
        <v>2217</v>
      </c>
      <c r="Z453" s="6" t="s">
        <v>453</v>
      </c>
      <c r="AA453" s="6" t="s">
        <v>50</v>
      </c>
      <c r="AB453" s="6" t="s">
        <v>47</v>
      </c>
      <c r="AC453" s="6" t="s">
        <v>48</v>
      </c>
      <c r="AD453" s="6" t="s">
        <v>49</v>
      </c>
      <c r="AE453" s="6" t="s">
        <v>50</v>
      </c>
      <c r="AF453" s="6" t="s">
        <v>50</v>
      </c>
      <c r="AG453" s="6" t="s">
        <v>50</v>
      </c>
      <c r="AH453" s="6" t="s">
        <v>50</v>
      </c>
      <c r="AI453" s="6" t="s">
        <v>50</v>
      </c>
      <c r="AJ453" s="6" t="s">
        <v>50</v>
      </c>
      <c r="AK453" s="6" t="s">
        <v>50</v>
      </c>
      <c r="AL453" s="6" t="s">
        <v>50</v>
      </c>
      <c r="AM453" s="6" t="s">
        <v>50</v>
      </c>
      <c r="AN453" s="6" t="s">
        <v>50</v>
      </c>
      <c r="AO453" s="6" t="s">
        <v>50</v>
      </c>
    </row>
    <row r="454" spans="2:41" ht="165" x14ac:dyDescent="0.25">
      <c r="B454" s="207" t="s">
        <v>517</v>
      </c>
      <c r="C454" s="66" t="s">
        <v>518</v>
      </c>
      <c r="D454" s="4" t="s">
        <v>523</v>
      </c>
      <c r="E454" s="4" t="s">
        <v>1164</v>
      </c>
      <c r="F454" s="4" t="s">
        <v>448</v>
      </c>
      <c r="G454" s="4" t="s">
        <v>449</v>
      </c>
      <c r="H454" s="208">
        <v>1</v>
      </c>
      <c r="I454" s="4"/>
      <c r="J454" s="15" t="s">
        <v>524</v>
      </c>
      <c r="K454" s="4" t="s">
        <v>448</v>
      </c>
      <c r="L454" s="4" t="s">
        <v>451</v>
      </c>
      <c r="M454" s="4" t="s">
        <v>525</v>
      </c>
      <c r="N454" s="4">
        <v>201406739</v>
      </c>
      <c r="O454" s="4" t="s">
        <v>474</v>
      </c>
      <c r="P454" s="8">
        <v>1</v>
      </c>
      <c r="Q454" s="209">
        <f>Mon_ILR2[[#This Row],[Qty Required]]-Mon_ILR2[[#This Row],[QTY Transfer]]</f>
        <v>0</v>
      </c>
      <c r="R454" s="66" t="s">
        <v>905</v>
      </c>
      <c r="S454" s="66" t="s">
        <v>907</v>
      </c>
      <c r="T454" s="210">
        <f>_xlfn.IFNA(VLOOKUP(Mon_ILR2[[#This Row],[New Model]],PhilipsLibary[],4,FALSE),"0")</f>
        <v>4687.2</v>
      </c>
      <c r="U454" s="210">
        <f>_xlfn.IFNA(VLOOKUP(Mon_ILR2[[#This Row],[New Model]],PhilipsLibary[],5,FALSE),"0")</f>
        <v>0</v>
      </c>
      <c r="V454" s="210">
        <f>_xlfn.IFNA(VLOOKUP(Mon_ILR2[[#This Row],[New Model]],PhilipsLibary[],5,FALSE),"0")</f>
        <v>0</v>
      </c>
      <c r="W454" s="210">
        <v>943.28</v>
      </c>
      <c r="X454" s="8"/>
      <c r="Y454" s="289" t="s">
        <v>2217</v>
      </c>
      <c r="Z454" s="6" t="s">
        <v>453</v>
      </c>
      <c r="AA454" s="6" t="s">
        <v>50</v>
      </c>
      <c r="AB454" s="6" t="s">
        <v>47</v>
      </c>
      <c r="AC454" s="6" t="s">
        <v>48</v>
      </c>
      <c r="AD454" s="6" t="s">
        <v>49</v>
      </c>
      <c r="AE454" s="6" t="s">
        <v>50</v>
      </c>
      <c r="AF454" s="6" t="s">
        <v>50</v>
      </c>
      <c r="AG454" s="6" t="s">
        <v>50</v>
      </c>
      <c r="AH454" s="6" t="s">
        <v>50</v>
      </c>
      <c r="AI454" s="6" t="s">
        <v>50</v>
      </c>
      <c r="AJ454" s="6" t="s">
        <v>50</v>
      </c>
      <c r="AK454" s="6" t="s">
        <v>50</v>
      </c>
      <c r="AL454" s="6" t="s">
        <v>50</v>
      </c>
      <c r="AM454" s="6" t="s">
        <v>50</v>
      </c>
      <c r="AN454" s="6" t="s">
        <v>50</v>
      </c>
      <c r="AO454" s="6" t="s">
        <v>50</v>
      </c>
    </row>
    <row r="455" spans="2:41" ht="165" x14ac:dyDescent="0.25">
      <c r="B455" s="207" t="s">
        <v>517</v>
      </c>
      <c r="C455" s="66" t="s">
        <v>471</v>
      </c>
      <c r="D455" s="4" t="s">
        <v>526</v>
      </c>
      <c r="E455" s="4" t="s">
        <v>1164</v>
      </c>
      <c r="F455" s="4" t="s">
        <v>448</v>
      </c>
      <c r="G455" s="4" t="s">
        <v>449</v>
      </c>
      <c r="H455" s="208">
        <v>1</v>
      </c>
      <c r="I455" s="4"/>
      <c r="J455" s="15" t="s">
        <v>527</v>
      </c>
      <c r="K455" s="4" t="s">
        <v>448</v>
      </c>
      <c r="L455" s="4" t="s">
        <v>451</v>
      </c>
      <c r="M455" s="4" t="s">
        <v>452</v>
      </c>
      <c r="N455" s="4">
        <v>201302221</v>
      </c>
      <c r="O455" s="4" t="s">
        <v>190</v>
      </c>
      <c r="P455" s="8">
        <v>1</v>
      </c>
      <c r="Q455" s="209">
        <f>Mon_ILR2[[#This Row],[Qty Required]]-Mon_ILR2[[#This Row],[QTY Transfer]]</f>
        <v>0</v>
      </c>
      <c r="R455" s="66" t="s">
        <v>905</v>
      </c>
      <c r="S455" s="66" t="s">
        <v>907</v>
      </c>
      <c r="T455" s="210">
        <f>_xlfn.IFNA(VLOOKUP(Mon_ILR2[[#This Row],[New Model]],PhilipsLibary[],4,FALSE),"0")</f>
        <v>4687.2</v>
      </c>
      <c r="U455" s="210">
        <f>_xlfn.IFNA(VLOOKUP(Mon_ILR2[[#This Row],[New Model]],PhilipsLibary[],5,FALSE),"0")</f>
        <v>0</v>
      </c>
      <c r="V455" s="210">
        <f>_xlfn.IFNA(VLOOKUP(Mon_ILR2[[#This Row],[New Model]],PhilipsLibary[],5,FALSE),"0")</f>
        <v>0</v>
      </c>
      <c r="W455" s="210">
        <v>943.28</v>
      </c>
      <c r="X455" s="8"/>
      <c r="Y455" s="289" t="s">
        <v>2217</v>
      </c>
      <c r="Z455" s="6" t="s">
        <v>453</v>
      </c>
      <c r="AA455" s="6" t="s">
        <v>50</v>
      </c>
      <c r="AB455" s="6" t="s">
        <v>47</v>
      </c>
      <c r="AC455" s="6" t="s">
        <v>48</v>
      </c>
      <c r="AD455" s="6" t="s">
        <v>49</v>
      </c>
      <c r="AE455" s="6" t="s">
        <v>50</v>
      </c>
      <c r="AF455" s="6" t="s">
        <v>50</v>
      </c>
      <c r="AG455" s="6" t="s">
        <v>50</v>
      </c>
      <c r="AH455" s="6" t="s">
        <v>50</v>
      </c>
      <c r="AI455" s="6" t="s">
        <v>50</v>
      </c>
      <c r="AJ455" s="6" t="s">
        <v>50</v>
      </c>
      <c r="AK455" s="6" t="s">
        <v>50</v>
      </c>
      <c r="AL455" s="6" t="s">
        <v>50</v>
      </c>
      <c r="AM455" s="6" t="s">
        <v>50</v>
      </c>
      <c r="AN455" s="6" t="s">
        <v>50</v>
      </c>
      <c r="AO455" s="6" t="s">
        <v>50</v>
      </c>
    </row>
    <row r="456" spans="2:41" ht="165" x14ac:dyDescent="0.25">
      <c r="B456" s="207" t="s">
        <v>528</v>
      </c>
      <c r="C456" s="66" t="s">
        <v>471</v>
      </c>
      <c r="D456" s="4" t="s">
        <v>529</v>
      </c>
      <c r="E456" s="4" t="s">
        <v>1164</v>
      </c>
      <c r="F456" s="4" t="s">
        <v>448</v>
      </c>
      <c r="G456" s="4" t="s">
        <v>449</v>
      </c>
      <c r="H456" s="208">
        <v>1</v>
      </c>
      <c r="I456" s="4"/>
      <c r="J456" s="15" t="s">
        <v>530</v>
      </c>
      <c r="K456" s="4" t="s">
        <v>448</v>
      </c>
      <c r="L456" s="4" t="s">
        <v>451</v>
      </c>
      <c r="M456" s="4" t="s">
        <v>452</v>
      </c>
      <c r="N456" s="4">
        <v>201503374</v>
      </c>
      <c r="O456" s="4" t="s">
        <v>190</v>
      </c>
      <c r="P456" s="8">
        <v>1</v>
      </c>
      <c r="Q456" s="209">
        <f>Mon_ILR2[[#This Row],[Qty Required]]-Mon_ILR2[[#This Row],[QTY Transfer]]</f>
        <v>0</v>
      </c>
      <c r="R456" s="66" t="s">
        <v>905</v>
      </c>
      <c r="S456" s="66" t="s">
        <v>907</v>
      </c>
      <c r="T456" s="210">
        <f>_xlfn.IFNA(VLOOKUP(Mon_ILR2[[#This Row],[New Model]],PhilipsLibary[],4,FALSE),"0")</f>
        <v>4687.2</v>
      </c>
      <c r="U456" s="210">
        <f>_xlfn.IFNA(VLOOKUP(Mon_ILR2[[#This Row],[New Model]],PhilipsLibary[],5,FALSE),"0")</f>
        <v>0</v>
      </c>
      <c r="V456" s="210">
        <f>_xlfn.IFNA(VLOOKUP(Mon_ILR2[[#This Row],[New Model]],PhilipsLibary[],5,FALSE),"0")</f>
        <v>0</v>
      </c>
      <c r="W456" s="210">
        <v>943.28</v>
      </c>
      <c r="X456" s="8"/>
      <c r="Y456" s="289" t="s">
        <v>2217</v>
      </c>
      <c r="Z456" s="6" t="s">
        <v>453</v>
      </c>
      <c r="AA456" s="6" t="s">
        <v>50</v>
      </c>
      <c r="AB456" s="6" t="s">
        <v>47</v>
      </c>
      <c r="AC456" s="6" t="s">
        <v>48</v>
      </c>
      <c r="AD456" s="6" t="s">
        <v>49</v>
      </c>
      <c r="AE456" s="6" t="s">
        <v>50</v>
      </c>
      <c r="AF456" s="6" t="s">
        <v>50</v>
      </c>
      <c r="AG456" s="6" t="s">
        <v>50</v>
      </c>
      <c r="AH456" s="6" t="s">
        <v>50</v>
      </c>
      <c r="AI456" s="6" t="s">
        <v>50</v>
      </c>
      <c r="AJ456" s="6" t="s">
        <v>50</v>
      </c>
      <c r="AK456" s="6" t="s">
        <v>50</v>
      </c>
      <c r="AL456" s="6" t="s">
        <v>50</v>
      </c>
      <c r="AM456" s="6" t="s">
        <v>50</v>
      </c>
      <c r="AN456" s="6" t="s">
        <v>50</v>
      </c>
      <c r="AO456" s="6" t="s">
        <v>50</v>
      </c>
    </row>
    <row r="457" spans="2:41" ht="165" x14ac:dyDescent="0.25">
      <c r="B457" s="207" t="s">
        <v>528</v>
      </c>
      <c r="C457" s="66" t="s">
        <v>471</v>
      </c>
      <c r="D457" s="4" t="s">
        <v>531</v>
      </c>
      <c r="E457" s="4" t="s">
        <v>1164</v>
      </c>
      <c r="F457" s="4" t="s">
        <v>448</v>
      </c>
      <c r="G457" s="4" t="s">
        <v>449</v>
      </c>
      <c r="H457" s="208">
        <v>1</v>
      </c>
      <c r="I457" s="4"/>
      <c r="J457" s="15" t="s">
        <v>532</v>
      </c>
      <c r="K457" s="4" t="s">
        <v>448</v>
      </c>
      <c r="L457" s="4" t="s">
        <v>451</v>
      </c>
      <c r="M457" s="4" t="s">
        <v>452</v>
      </c>
      <c r="N457" s="4">
        <v>201513281</v>
      </c>
      <c r="O457" s="4" t="s">
        <v>190</v>
      </c>
      <c r="P457" s="8">
        <v>1</v>
      </c>
      <c r="Q457" s="209">
        <f>Mon_ILR2[[#This Row],[Qty Required]]-Mon_ILR2[[#This Row],[QTY Transfer]]</f>
        <v>0</v>
      </c>
      <c r="R457" s="66" t="s">
        <v>905</v>
      </c>
      <c r="S457" s="66" t="s">
        <v>907</v>
      </c>
      <c r="T457" s="210">
        <f>_xlfn.IFNA(VLOOKUP(Mon_ILR2[[#This Row],[New Model]],PhilipsLibary[],4,FALSE),"0")</f>
        <v>4687.2</v>
      </c>
      <c r="U457" s="210">
        <f>_xlfn.IFNA(VLOOKUP(Mon_ILR2[[#This Row],[New Model]],PhilipsLibary[],5,FALSE),"0")</f>
        <v>0</v>
      </c>
      <c r="V457" s="210">
        <f>_xlfn.IFNA(VLOOKUP(Mon_ILR2[[#This Row],[New Model]],PhilipsLibary[],5,FALSE),"0")</f>
        <v>0</v>
      </c>
      <c r="W457" s="210">
        <v>943.28</v>
      </c>
      <c r="X457" s="8"/>
      <c r="Y457" s="289" t="s">
        <v>2217</v>
      </c>
      <c r="Z457" s="6" t="s">
        <v>453</v>
      </c>
      <c r="AA457" s="6" t="s">
        <v>50</v>
      </c>
      <c r="AB457" s="6" t="s">
        <v>47</v>
      </c>
      <c r="AC457" s="6" t="s">
        <v>48</v>
      </c>
      <c r="AD457" s="6" t="s">
        <v>49</v>
      </c>
      <c r="AE457" s="6" t="s">
        <v>50</v>
      </c>
      <c r="AF457" s="6" t="s">
        <v>50</v>
      </c>
      <c r="AG457" s="6" t="s">
        <v>50</v>
      </c>
      <c r="AH457" s="6" t="s">
        <v>50</v>
      </c>
      <c r="AI457" s="6" t="s">
        <v>50</v>
      </c>
      <c r="AJ457" s="6" t="s">
        <v>50</v>
      </c>
      <c r="AK457" s="6" t="s">
        <v>50</v>
      </c>
      <c r="AL457" s="6" t="s">
        <v>50</v>
      </c>
      <c r="AM457" s="6" t="s">
        <v>50</v>
      </c>
      <c r="AN457" s="6" t="s">
        <v>50</v>
      </c>
      <c r="AO457" s="6" t="s">
        <v>50</v>
      </c>
    </row>
    <row r="458" spans="2:41" ht="165" x14ac:dyDescent="0.25">
      <c r="B458" s="207" t="s">
        <v>368</v>
      </c>
      <c r="C458" s="66" t="s">
        <v>533</v>
      </c>
      <c r="D458" s="4" t="s">
        <v>534</v>
      </c>
      <c r="E458" s="4" t="s">
        <v>1164</v>
      </c>
      <c r="F458" s="4" t="s">
        <v>448</v>
      </c>
      <c r="G458" s="4" t="s">
        <v>449</v>
      </c>
      <c r="H458" s="208">
        <v>1</v>
      </c>
      <c r="I458" s="4"/>
      <c r="J458" s="15" t="s">
        <v>535</v>
      </c>
      <c r="K458" s="4" t="s">
        <v>448</v>
      </c>
      <c r="L458" s="4" t="s">
        <v>451</v>
      </c>
      <c r="M458" s="4" t="s">
        <v>465</v>
      </c>
      <c r="N458" s="4">
        <v>100008112117</v>
      </c>
      <c r="O458" s="4" t="s">
        <v>536</v>
      </c>
      <c r="P458" s="8">
        <v>1</v>
      </c>
      <c r="Q458" s="209">
        <f>Mon_ILR2[[#This Row],[Qty Required]]-Mon_ILR2[[#This Row],[QTY Transfer]]</f>
        <v>0</v>
      </c>
      <c r="R458" s="66" t="s">
        <v>905</v>
      </c>
      <c r="S458" s="66" t="s">
        <v>907</v>
      </c>
      <c r="T458" s="210">
        <f>_xlfn.IFNA(VLOOKUP(Mon_ILR2[[#This Row],[New Model]],PhilipsLibary[],4,FALSE),"0")</f>
        <v>4687.2</v>
      </c>
      <c r="U458" s="210">
        <f>_xlfn.IFNA(VLOOKUP(Mon_ILR2[[#This Row],[New Model]],PhilipsLibary[],5,FALSE),"0")</f>
        <v>0</v>
      </c>
      <c r="V458" s="210">
        <f>_xlfn.IFNA(VLOOKUP(Mon_ILR2[[#This Row],[New Model]],PhilipsLibary[],5,FALSE),"0")</f>
        <v>0</v>
      </c>
      <c r="W458" s="210">
        <v>943.28</v>
      </c>
      <c r="X458" s="8"/>
      <c r="Y458" s="289" t="s">
        <v>2217</v>
      </c>
      <c r="Z458" s="6" t="s">
        <v>453</v>
      </c>
      <c r="AA458" s="6" t="s">
        <v>50</v>
      </c>
      <c r="AB458" s="6" t="s">
        <v>47</v>
      </c>
      <c r="AC458" s="6" t="s">
        <v>48</v>
      </c>
      <c r="AD458" s="6" t="s">
        <v>49</v>
      </c>
      <c r="AE458" s="6" t="s">
        <v>50</v>
      </c>
      <c r="AF458" s="6" t="s">
        <v>50</v>
      </c>
      <c r="AG458" s="6" t="s">
        <v>50</v>
      </c>
      <c r="AH458" s="6" t="s">
        <v>50</v>
      </c>
      <c r="AI458" s="6" t="s">
        <v>50</v>
      </c>
      <c r="AJ458" s="6" t="s">
        <v>50</v>
      </c>
      <c r="AK458" s="6" t="s">
        <v>50</v>
      </c>
      <c r="AL458" s="6" t="s">
        <v>50</v>
      </c>
      <c r="AM458" s="6" t="s">
        <v>50</v>
      </c>
      <c r="AN458" s="6" t="s">
        <v>50</v>
      </c>
      <c r="AO458" s="6" t="s">
        <v>50</v>
      </c>
    </row>
    <row r="459" spans="2:41" ht="165" x14ac:dyDescent="0.25">
      <c r="B459" s="207" t="s">
        <v>368</v>
      </c>
      <c r="C459" s="66" t="s">
        <v>537</v>
      </c>
      <c r="D459" s="4" t="s">
        <v>538</v>
      </c>
      <c r="E459" s="4" t="s">
        <v>1164</v>
      </c>
      <c r="F459" s="4" t="s">
        <v>448</v>
      </c>
      <c r="G459" s="4" t="s">
        <v>449</v>
      </c>
      <c r="H459" s="208">
        <v>1</v>
      </c>
      <c r="I459" s="4"/>
      <c r="J459" s="15" t="s">
        <v>539</v>
      </c>
      <c r="K459" s="4" t="s">
        <v>448</v>
      </c>
      <c r="L459" s="4" t="s">
        <v>451</v>
      </c>
      <c r="M459" s="4" t="s">
        <v>465</v>
      </c>
      <c r="N459" s="4">
        <v>100011252117</v>
      </c>
      <c r="O459" s="4" t="s">
        <v>540</v>
      </c>
      <c r="P459" s="8">
        <v>1</v>
      </c>
      <c r="Q459" s="209">
        <f>Mon_ILR2[[#This Row],[Qty Required]]-Mon_ILR2[[#This Row],[QTY Transfer]]</f>
        <v>0</v>
      </c>
      <c r="R459" s="66" t="s">
        <v>905</v>
      </c>
      <c r="S459" s="66" t="s">
        <v>907</v>
      </c>
      <c r="T459" s="210">
        <f>_xlfn.IFNA(VLOOKUP(Mon_ILR2[[#This Row],[New Model]],PhilipsLibary[],4,FALSE),"0")</f>
        <v>4687.2</v>
      </c>
      <c r="U459" s="210">
        <f>_xlfn.IFNA(VLOOKUP(Mon_ILR2[[#This Row],[New Model]],PhilipsLibary[],5,FALSE),"0")</f>
        <v>0</v>
      </c>
      <c r="V459" s="210">
        <f>_xlfn.IFNA(VLOOKUP(Mon_ILR2[[#This Row],[New Model]],PhilipsLibary[],5,FALSE),"0")</f>
        <v>0</v>
      </c>
      <c r="W459" s="210">
        <v>943.28</v>
      </c>
      <c r="X459" s="8"/>
      <c r="Y459" s="289" t="s">
        <v>2217</v>
      </c>
      <c r="Z459" s="6" t="s">
        <v>453</v>
      </c>
      <c r="AA459" s="6" t="s">
        <v>50</v>
      </c>
      <c r="AB459" s="6" t="s">
        <v>47</v>
      </c>
      <c r="AC459" s="6" t="s">
        <v>48</v>
      </c>
      <c r="AD459" s="6" t="s">
        <v>49</v>
      </c>
      <c r="AE459" s="6" t="s">
        <v>50</v>
      </c>
      <c r="AF459" s="6" t="s">
        <v>50</v>
      </c>
      <c r="AG459" s="6" t="s">
        <v>50</v>
      </c>
      <c r="AH459" s="6" t="s">
        <v>50</v>
      </c>
      <c r="AI459" s="6" t="s">
        <v>50</v>
      </c>
      <c r="AJ459" s="6" t="s">
        <v>50</v>
      </c>
      <c r="AK459" s="6" t="s">
        <v>50</v>
      </c>
      <c r="AL459" s="6" t="s">
        <v>50</v>
      </c>
      <c r="AM459" s="6" t="s">
        <v>50</v>
      </c>
      <c r="AN459" s="6" t="s">
        <v>50</v>
      </c>
      <c r="AO459" s="6" t="s">
        <v>50</v>
      </c>
    </row>
    <row r="460" spans="2:41" ht="165" x14ac:dyDescent="0.25">
      <c r="B460" s="207" t="s">
        <v>368</v>
      </c>
      <c r="C460" s="66" t="s">
        <v>537</v>
      </c>
      <c r="D460" s="4" t="s">
        <v>541</v>
      </c>
      <c r="E460" s="4" t="s">
        <v>1164</v>
      </c>
      <c r="F460" s="4" t="s">
        <v>448</v>
      </c>
      <c r="G460" s="4" t="s">
        <v>449</v>
      </c>
      <c r="H460" s="208">
        <v>1</v>
      </c>
      <c r="I460" s="4"/>
      <c r="J460" s="15" t="s">
        <v>542</v>
      </c>
      <c r="K460" s="4" t="s">
        <v>448</v>
      </c>
      <c r="L460" s="4" t="s">
        <v>451</v>
      </c>
      <c r="M460" s="4" t="s">
        <v>465</v>
      </c>
      <c r="N460" s="4">
        <v>100014202217</v>
      </c>
      <c r="O460" s="4" t="s">
        <v>540</v>
      </c>
      <c r="P460" s="8">
        <v>1</v>
      </c>
      <c r="Q460" s="209">
        <f>Mon_ILR2[[#This Row],[Qty Required]]-Mon_ILR2[[#This Row],[QTY Transfer]]</f>
        <v>0</v>
      </c>
      <c r="R460" s="66" t="s">
        <v>905</v>
      </c>
      <c r="S460" s="66" t="s">
        <v>907</v>
      </c>
      <c r="T460" s="210">
        <f>_xlfn.IFNA(VLOOKUP(Mon_ILR2[[#This Row],[New Model]],PhilipsLibary[],4,FALSE),"0")</f>
        <v>4687.2</v>
      </c>
      <c r="U460" s="210">
        <f>_xlfn.IFNA(VLOOKUP(Mon_ILR2[[#This Row],[New Model]],PhilipsLibary[],5,FALSE),"0")</f>
        <v>0</v>
      </c>
      <c r="V460" s="210">
        <f>_xlfn.IFNA(VLOOKUP(Mon_ILR2[[#This Row],[New Model]],PhilipsLibary[],5,FALSE),"0")</f>
        <v>0</v>
      </c>
      <c r="W460" s="210">
        <v>943.28</v>
      </c>
      <c r="X460" s="8"/>
      <c r="Y460" s="289" t="s">
        <v>2217</v>
      </c>
      <c r="Z460" s="6" t="s">
        <v>453</v>
      </c>
      <c r="AA460" s="6" t="s">
        <v>50</v>
      </c>
      <c r="AB460" s="6" t="s">
        <v>47</v>
      </c>
      <c r="AC460" s="6" t="s">
        <v>48</v>
      </c>
      <c r="AD460" s="6" t="s">
        <v>49</v>
      </c>
      <c r="AE460" s="6" t="s">
        <v>50</v>
      </c>
      <c r="AF460" s="6" t="s">
        <v>50</v>
      </c>
      <c r="AG460" s="6" t="s">
        <v>50</v>
      </c>
      <c r="AH460" s="6" t="s">
        <v>50</v>
      </c>
      <c r="AI460" s="6" t="s">
        <v>50</v>
      </c>
      <c r="AJ460" s="6" t="s">
        <v>50</v>
      </c>
      <c r="AK460" s="6" t="s">
        <v>50</v>
      </c>
      <c r="AL460" s="6" t="s">
        <v>50</v>
      </c>
      <c r="AM460" s="6" t="s">
        <v>50</v>
      </c>
      <c r="AN460" s="6" t="s">
        <v>50</v>
      </c>
      <c r="AO460" s="6" t="s">
        <v>50</v>
      </c>
    </row>
    <row r="461" spans="2:41" ht="165" x14ac:dyDescent="0.25">
      <c r="B461" s="207" t="s">
        <v>368</v>
      </c>
      <c r="C461" s="66" t="s">
        <v>537</v>
      </c>
      <c r="D461" s="4" t="s">
        <v>543</v>
      </c>
      <c r="E461" s="4" t="s">
        <v>1164</v>
      </c>
      <c r="F461" s="4" t="s">
        <v>448</v>
      </c>
      <c r="G461" s="4" t="s">
        <v>449</v>
      </c>
      <c r="H461" s="208">
        <v>1</v>
      </c>
      <c r="I461" s="4"/>
      <c r="J461" s="15" t="s">
        <v>544</v>
      </c>
      <c r="K461" s="4" t="s">
        <v>448</v>
      </c>
      <c r="L461" s="4" t="s">
        <v>451</v>
      </c>
      <c r="M461" s="4" t="s">
        <v>465</v>
      </c>
      <c r="N461" s="4">
        <v>100014222217</v>
      </c>
      <c r="O461" s="4" t="s">
        <v>545</v>
      </c>
      <c r="P461" s="8">
        <v>1</v>
      </c>
      <c r="Q461" s="209">
        <f>Mon_ILR2[[#This Row],[Qty Required]]-Mon_ILR2[[#This Row],[QTY Transfer]]</f>
        <v>0</v>
      </c>
      <c r="R461" s="66" t="s">
        <v>905</v>
      </c>
      <c r="S461" s="66" t="s">
        <v>907</v>
      </c>
      <c r="T461" s="210">
        <f>_xlfn.IFNA(VLOOKUP(Mon_ILR2[[#This Row],[New Model]],PhilipsLibary[],4,FALSE),"0")</f>
        <v>4687.2</v>
      </c>
      <c r="U461" s="210">
        <f>_xlfn.IFNA(VLOOKUP(Mon_ILR2[[#This Row],[New Model]],PhilipsLibary[],5,FALSE),"0")</f>
        <v>0</v>
      </c>
      <c r="V461" s="210">
        <f>_xlfn.IFNA(VLOOKUP(Mon_ILR2[[#This Row],[New Model]],PhilipsLibary[],5,FALSE),"0")</f>
        <v>0</v>
      </c>
      <c r="W461" s="210">
        <v>943.28</v>
      </c>
      <c r="X461" s="8"/>
      <c r="Y461" s="289" t="s">
        <v>2217</v>
      </c>
      <c r="Z461" s="6" t="s">
        <v>453</v>
      </c>
      <c r="AA461" s="6" t="s">
        <v>50</v>
      </c>
      <c r="AB461" s="6" t="s">
        <v>47</v>
      </c>
      <c r="AC461" s="6" t="s">
        <v>48</v>
      </c>
      <c r="AD461" s="6" t="s">
        <v>49</v>
      </c>
      <c r="AE461" s="6" t="s">
        <v>50</v>
      </c>
      <c r="AF461" s="6" t="s">
        <v>50</v>
      </c>
      <c r="AG461" s="6" t="s">
        <v>50</v>
      </c>
      <c r="AH461" s="6" t="s">
        <v>50</v>
      </c>
      <c r="AI461" s="6" t="s">
        <v>50</v>
      </c>
      <c r="AJ461" s="6" t="s">
        <v>50</v>
      </c>
      <c r="AK461" s="6" t="s">
        <v>50</v>
      </c>
      <c r="AL461" s="6" t="s">
        <v>50</v>
      </c>
      <c r="AM461" s="6" t="s">
        <v>50</v>
      </c>
      <c r="AN461" s="6" t="s">
        <v>50</v>
      </c>
      <c r="AO461" s="6" t="s">
        <v>50</v>
      </c>
    </row>
    <row r="462" spans="2:41" ht="165" x14ac:dyDescent="0.25">
      <c r="B462" s="207" t="s">
        <v>368</v>
      </c>
      <c r="C462" s="66" t="s">
        <v>537</v>
      </c>
      <c r="D462" s="4" t="s">
        <v>546</v>
      </c>
      <c r="E462" s="4" t="s">
        <v>1164</v>
      </c>
      <c r="F462" s="4" t="s">
        <v>448</v>
      </c>
      <c r="G462" s="4" t="s">
        <v>449</v>
      </c>
      <c r="H462" s="208">
        <v>1</v>
      </c>
      <c r="I462" s="4"/>
      <c r="J462" s="15" t="s">
        <v>547</v>
      </c>
      <c r="K462" s="4" t="s">
        <v>448</v>
      </c>
      <c r="L462" s="4" t="s">
        <v>451</v>
      </c>
      <c r="M462" s="4" t="s">
        <v>465</v>
      </c>
      <c r="N462" s="4">
        <v>100014252217</v>
      </c>
      <c r="O462" s="4" t="s">
        <v>540</v>
      </c>
      <c r="P462" s="8">
        <v>1</v>
      </c>
      <c r="Q462" s="209">
        <f>Mon_ILR2[[#This Row],[Qty Required]]-Mon_ILR2[[#This Row],[QTY Transfer]]</f>
        <v>0</v>
      </c>
      <c r="R462" s="66" t="s">
        <v>905</v>
      </c>
      <c r="S462" s="66" t="s">
        <v>907</v>
      </c>
      <c r="T462" s="210">
        <f>_xlfn.IFNA(VLOOKUP(Mon_ILR2[[#This Row],[New Model]],PhilipsLibary[],4,FALSE),"0")</f>
        <v>4687.2</v>
      </c>
      <c r="U462" s="210">
        <f>_xlfn.IFNA(VLOOKUP(Mon_ILR2[[#This Row],[New Model]],PhilipsLibary[],5,FALSE),"0")</f>
        <v>0</v>
      </c>
      <c r="V462" s="210">
        <f>_xlfn.IFNA(VLOOKUP(Mon_ILR2[[#This Row],[New Model]],PhilipsLibary[],5,FALSE),"0")</f>
        <v>0</v>
      </c>
      <c r="W462" s="210">
        <v>943.28</v>
      </c>
      <c r="X462" s="8"/>
      <c r="Y462" s="289" t="s">
        <v>2217</v>
      </c>
      <c r="Z462" s="6" t="s">
        <v>453</v>
      </c>
      <c r="AA462" s="6" t="s">
        <v>50</v>
      </c>
      <c r="AB462" s="6" t="s">
        <v>47</v>
      </c>
      <c r="AC462" s="6" t="s">
        <v>48</v>
      </c>
      <c r="AD462" s="6" t="s">
        <v>49</v>
      </c>
      <c r="AE462" s="6" t="s">
        <v>50</v>
      </c>
      <c r="AF462" s="6" t="s">
        <v>50</v>
      </c>
      <c r="AG462" s="6" t="s">
        <v>50</v>
      </c>
      <c r="AH462" s="6" t="s">
        <v>50</v>
      </c>
      <c r="AI462" s="6" t="s">
        <v>50</v>
      </c>
      <c r="AJ462" s="6" t="s">
        <v>50</v>
      </c>
      <c r="AK462" s="6" t="s">
        <v>50</v>
      </c>
      <c r="AL462" s="6" t="s">
        <v>50</v>
      </c>
      <c r="AM462" s="6" t="s">
        <v>50</v>
      </c>
      <c r="AN462" s="6" t="s">
        <v>50</v>
      </c>
      <c r="AO462" s="6" t="s">
        <v>50</v>
      </c>
    </row>
    <row r="463" spans="2:41" ht="165" x14ac:dyDescent="0.25">
      <c r="B463" s="207" t="s">
        <v>368</v>
      </c>
      <c r="C463" s="66" t="s">
        <v>537</v>
      </c>
      <c r="D463" s="4" t="s">
        <v>548</v>
      </c>
      <c r="E463" s="4" t="s">
        <v>1164</v>
      </c>
      <c r="F463" s="4" t="s">
        <v>448</v>
      </c>
      <c r="G463" s="4" t="s">
        <v>449</v>
      </c>
      <c r="H463" s="208">
        <v>1</v>
      </c>
      <c r="I463" s="4"/>
      <c r="J463" s="15" t="s">
        <v>549</v>
      </c>
      <c r="K463" s="4" t="s">
        <v>448</v>
      </c>
      <c r="L463" s="4" t="s">
        <v>451</v>
      </c>
      <c r="M463" s="4" t="s">
        <v>465</v>
      </c>
      <c r="N463" s="4">
        <v>100014262217</v>
      </c>
      <c r="O463" s="4" t="s">
        <v>545</v>
      </c>
      <c r="P463" s="8">
        <v>1</v>
      </c>
      <c r="Q463" s="209">
        <f>Mon_ILR2[[#This Row],[Qty Required]]-Mon_ILR2[[#This Row],[QTY Transfer]]</f>
        <v>0</v>
      </c>
      <c r="R463" s="66" t="s">
        <v>905</v>
      </c>
      <c r="S463" s="66" t="s">
        <v>907</v>
      </c>
      <c r="T463" s="210">
        <f>_xlfn.IFNA(VLOOKUP(Mon_ILR2[[#This Row],[New Model]],PhilipsLibary[],4,FALSE),"0")</f>
        <v>4687.2</v>
      </c>
      <c r="U463" s="210">
        <f>_xlfn.IFNA(VLOOKUP(Mon_ILR2[[#This Row],[New Model]],PhilipsLibary[],5,FALSE),"0")</f>
        <v>0</v>
      </c>
      <c r="V463" s="210">
        <f>_xlfn.IFNA(VLOOKUP(Mon_ILR2[[#This Row],[New Model]],PhilipsLibary[],5,FALSE),"0")</f>
        <v>0</v>
      </c>
      <c r="W463" s="210">
        <v>943.28</v>
      </c>
      <c r="X463" s="8"/>
      <c r="Y463" s="289" t="s">
        <v>2217</v>
      </c>
      <c r="Z463" s="6" t="s">
        <v>453</v>
      </c>
      <c r="AA463" s="6" t="s">
        <v>50</v>
      </c>
      <c r="AB463" s="6" t="s">
        <v>47</v>
      </c>
      <c r="AC463" s="6" t="s">
        <v>48</v>
      </c>
      <c r="AD463" s="6" t="s">
        <v>49</v>
      </c>
      <c r="AE463" s="6" t="s">
        <v>50</v>
      </c>
      <c r="AF463" s="6" t="s">
        <v>50</v>
      </c>
      <c r="AG463" s="6" t="s">
        <v>50</v>
      </c>
      <c r="AH463" s="6" t="s">
        <v>50</v>
      </c>
      <c r="AI463" s="6" t="s">
        <v>50</v>
      </c>
      <c r="AJ463" s="6" t="s">
        <v>50</v>
      </c>
      <c r="AK463" s="6" t="s">
        <v>50</v>
      </c>
      <c r="AL463" s="6" t="s">
        <v>50</v>
      </c>
      <c r="AM463" s="6" t="s">
        <v>50</v>
      </c>
      <c r="AN463" s="6" t="s">
        <v>50</v>
      </c>
      <c r="AO463" s="6" t="s">
        <v>50</v>
      </c>
    </row>
    <row r="464" spans="2:41" ht="165" x14ac:dyDescent="0.25">
      <c r="B464" s="207" t="s">
        <v>368</v>
      </c>
      <c r="C464" s="66" t="s">
        <v>537</v>
      </c>
      <c r="D464" s="4" t="s">
        <v>550</v>
      </c>
      <c r="E464" s="4" t="s">
        <v>1164</v>
      </c>
      <c r="F464" s="4" t="s">
        <v>448</v>
      </c>
      <c r="G464" s="4" t="s">
        <v>449</v>
      </c>
      <c r="H464" s="208">
        <v>1</v>
      </c>
      <c r="I464" s="4"/>
      <c r="J464" s="15" t="s">
        <v>551</v>
      </c>
      <c r="K464" s="4" t="s">
        <v>448</v>
      </c>
      <c r="L464" s="4" t="s">
        <v>451</v>
      </c>
      <c r="M464" s="4" t="s">
        <v>465</v>
      </c>
      <c r="N464" s="4">
        <v>100014272217</v>
      </c>
      <c r="O464" s="4" t="s">
        <v>540</v>
      </c>
      <c r="P464" s="8">
        <v>1</v>
      </c>
      <c r="Q464" s="209">
        <f>Mon_ILR2[[#This Row],[Qty Required]]-Mon_ILR2[[#This Row],[QTY Transfer]]</f>
        <v>0</v>
      </c>
      <c r="R464" s="66" t="s">
        <v>905</v>
      </c>
      <c r="S464" s="66" t="s">
        <v>907</v>
      </c>
      <c r="T464" s="210">
        <f>_xlfn.IFNA(VLOOKUP(Mon_ILR2[[#This Row],[New Model]],PhilipsLibary[],4,FALSE),"0")</f>
        <v>4687.2</v>
      </c>
      <c r="U464" s="210">
        <f>_xlfn.IFNA(VLOOKUP(Mon_ILR2[[#This Row],[New Model]],PhilipsLibary[],5,FALSE),"0")</f>
        <v>0</v>
      </c>
      <c r="V464" s="210">
        <f>_xlfn.IFNA(VLOOKUP(Mon_ILR2[[#This Row],[New Model]],PhilipsLibary[],5,FALSE),"0")</f>
        <v>0</v>
      </c>
      <c r="W464" s="210">
        <v>943.28</v>
      </c>
      <c r="X464" s="8"/>
      <c r="Y464" s="289" t="s">
        <v>2217</v>
      </c>
      <c r="Z464" s="6" t="s">
        <v>453</v>
      </c>
      <c r="AA464" s="6" t="s">
        <v>50</v>
      </c>
      <c r="AB464" s="6" t="s">
        <v>47</v>
      </c>
      <c r="AC464" s="6" t="s">
        <v>48</v>
      </c>
      <c r="AD464" s="6" t="s">
        <v>49</v>
      </c>
      <c r="AE464" s="6" t="s">
        <v>50</v>
      </c>
      <c r="AF464" s="6" t="s">
        <v>50</v>
      </c>
      <c r="AG464" s="6" t="s">
        <v>50</v>
      </c>
      <c r="AH464" s="6" t="s">
        <v>50</v>
      </c>
      <c r="AI464" s="6" t="s">
        <v>50</v>
      </c>
      <c r="AJ464" s="6" t="s">
        <v>50</v>
      </c>
      <c r="AK464" s="6" t="s">
        <v>50</v>
      </c>
      <c r="AL464" s="6" t="s">
        <v>50</v>
      </c>
      <c r="AM464" s="6" t="s">
        <v>50</v>
      </c>
      <c r="AN464" s="6" t="s">
        <v>50</v>
      </c>
      <c r="AO464" s="6" t="s">
        <v>50</v>
      </c>
    </row>
    <row r="465" spans="2:41" ht="165" x14ac:dyDescent="0.25">
      <c r="B465" s="207" t="s">
        <v>368</v>
      </c>
      <c r="C465" s="66" t="s">
        <v>537</v>
      </c>
      <c r="D465" s="4" t="s">
        <v>552</v>
      </c>
      <c r="E465" s="4" t="s">
        <v>1164</v>
      </c>
      <c r="F465" s="4" t="s">
        <v>448</v>
      </c>
      <c r="G465" s="4" t="s">
        <v>449</v>
      </c>
      <c r="H465" s="208">
        <v>1</v>
      </c>
      <c r="I465" s="4"/>
      <c r="J465" s="15" t="s">
        <v>553</v>
      </c>
      <c r="K465" s="4" t="s">
        <v>448</v>
      </c>
      <c r="L465" s="4" t="s">
        <v>451</v>
      </c>
      <c r="M465" s="4" t="s">
        <v>465</v>
      </c>
      <c r="N465" s="4">
        <v>100014282217</v>
      </c>
      <c r="O465" s="4" t="s">
        <v>545</v>
      </c>
      <c r="P465" s="8">
        <v>1</v>
      </c>
      <c r="Q465" s="209">
        <f>Mon_ILR2[[#This Row],[Qty Required]]-Mon_ILR2[[#This Row],[QTY Transfer]]</f>
        <v>0</v>
      </c>
      <c r="R465" s="66" t="s">
        <v>905</v>
      </c>
      <c r="S465" s="66" t="s">
        <v>907</v>
      </c>
      <c r="T465" s="210">
        <f>_xlfn.IFNA(VLOOKUP(Mon_ILR2[[#This Row],[New Model]],PhilipsLibary[],4,FALSE),"0")</f>
        <v>4687.2</v>
      </c>
      <c r="U465" s="210">
        <f>_xlfn.IFNA(VLOOKUP(Mon_ILR2[[#This Row],[New Model]],PhilipsLibary[],5,FALSE),"0")</f>
        <v>0</v>
      </c>
      <c r="V465" s="210">
        <f>_xlfn.IFNA(VLOOKUP(Mon_ILR2[[#This Row],[New Model]],PhilipsLibary[],5,FALSE),"0")</f>
        <v>0</v>
      </c>
      <c r="W465" s="210">
        <v>943.28</v>
      </c>
      <c r="X465" s="8"/>
      <c r="Y465" s="289" t="s">
        <v>2217</v>
      </c>
      <c r="Z465" s="6" t="s">
        <v>453</v>
      </c>
      <c r="AA465" s="6" t="s">
        <v>50</v>
      </c>
      <c r="AB465" s="6" t="s">
        <v>47</v>
      </c>
      <c r="AC465" s="6" t="s">
        <v>48</v>
      </c>
      <c r="AD465" s="6" t="s">
        <v>49</v>
      </c>
      <c r="AE465" s="6" t="s">
        <v>50</v>
      </c>
      <c r="AF465" s="6" t="s">
        <v>50</v>
      </c>
      <c r="AG465" s="6" t="s">
        <v>50</v>
      </c>
      <c r="AH465" s="6" t="s">
        <v>50</v>
      </c>
      <c r="AI465" s="6" t="s">
        <v>50</v>
      </c>
      <c r="AJ465" s="6" t="s">
        <v>50</v>
      </c>
      <c r="AK465" s="6" t="s">
        <v>50</v>
      </c>
      <c r="AL465" s="6" t="s">
        <v>50</v>
      </c>
      <c r="AM465" s="6" t="s">
        <v>50</v>
      </c>
      <c r="AN465" s="6" t="s">
        <v>50</v>
      </c>
      <c r="AO465" s="6" t="s">
        <v>50</v>
      </c>
    </row>
    <row r="466" spans="2:41" ht="165" x14ac:dyDescent="0.25">
      <c r="B466" s="207" t="s">
        <v>368</v>
      </c>
      <c r="C466" s="66" t="s">
        <v>537</v>
      </c>
      <c r="D466" s="4" t="s">
        <v>554</v>
      </c>
      <c r="E466" s="4" t="s">
        <v>1164</v>
      </c>
      <c r="F466" s="4" t="s">
        <v>448</v>
      </c>
      <c r="G466" s="4" t="s">
        <v>449</v>
      </c>
      <c r="H466" s="208">
        <v>1</v>
      </c>
      <c r="I466" s="4"/>
      <c r="J466" s="15" t="s">
        <v>555</v>
      </c>
      <c r="K466" s="4" t="s">
        <v>448</v>
      </c>
      <c r="L466" s="4" t="s">
        <v>451</v>
      </c>
      <c r="M466" s="4" t="s">
        <v>465</v>
      </c>
      <c r="N466" s="4">
        <v>100016912317</v>
      </c>
      <c r="O466" s="4" t="s">
        <v>545</v>
      </c>
      <c r="P466" s="8">
        <v>1</v>
      </c>
      <c r="Q466" s="209">
        <f>Mon_ILR2[[#This Row],[Qty Required]]-Mon_ILR2[[#This Row],[QTY Transfer]]</f>
        <v>0</v>
      </c>
      <c r="R466" s="66" t="s">
        <v>905</v>
      </c>
      <c r="S466" s="66" t="s">
        <v>907</v>
      </c>
      <c r="T466" s="210">
        <f>_xlfn.IFNA(VLOOKUP(Mon_ILR2[[#This Row],[New Model]],PhilipsLibary[],4,FALSE),"0")</f>
        <v>4687.2</v>
      </c>
      <c r="U466" s="210">
        <f>_xlfn.IFNA(VLOOKUP(Mon_ILR2[[#This Row],[New Model]],PhilipsLibary[],5,FALSE),"0")</f>
        <v>0</v>
      </c>
      <c r="V466" s="210">
        <f>_xlfn.IFNA(VLOOKUP(Mon_ILR2[[#This Row],[New Model]],PhilipsLibary[],5,FALSE),"0")</f>
        <v>0</v>
      </c>
      <c r="W466" s="210">
        <v>943.28</v>
      </c>
      <c r="X466" s="8"/>
      <c r="Y466" s="289" t="s">
        <v>2217</v>
      </c>
      <c r="Z466" s="6" t="s">
        <v>453</v>
      </c>
      <c r="AA466" s="6" t="s">
        <v>50</v>
      </c>
      <c r="AB466" s="6" t="s">
        <v>47</v>
      </c>
      <c r="AC466" s="6" t="s">
        <v>48</v>
      </c>
      <c r="AD466" s="6" t="s">
        <v>49</v>
      </c>
      <c r="AE466" s="6" t="s">
        <v>50</v>
      </c>
      <c r="AF466" s="6" t="s">
        <v>50</v>
      </c>
      <c r="AG466" s="6" t="s">
        <v>50</v>
      </c>
      <c r="AH466" s="6" t="s">
        <v>50</v>
      </c>
      <c r="AI466" s="6" t="s">
        <v>50</v>
      </c>
      <c r="AJ466" s="6" t="s">
        <v>50</v>
      </c>
      <c r="AK466" s="6" t="s">
        <v>50</v>
      </c>
      <c r="AL466" s="6" t="s">
        <v>50</v>
      </c>
      <c r="AM466" s="6" t="s">
        <v>50</v>
      </c>
      <c r="AN466" s="6" t="s">
        <v>50</v>
      </c>
      <c r="AO466" s="6" t="s">
        <v>50</v>
      </c>
    </row>
    <row r="467" spans="2:41" ht="165" x14ac:dyDescent="0.25">
      <c r="B467" s="207" t="s">
        <v>368</v>
      </c>
      <c r="C467" s="66" t="s">
        <v>537</v>
      </c>
      <c r="D467" s="4" t="s">
        <v>556</v>
      </c>
      <c r="E467" s="4" t="s">
        <v>1164</v>
      </c>
      <c r="F467" s="4" t="s">
        <v>448</v>
      </c>
      <c r="G467" s="4" t="s">
        <v>449</v>
      </c>
      <c r="H467" s="208">
        <v>1</v>
      </c>
      <c r="I467" s="4"/>
      <c r="J467" s="15" t="s">
        <v>557</v>
      </c>
      <c r="K467" s="4" t="s">
        <v>448</v>
      </c>
      <c r="L467" s="4" t="s">
        <v>451</v>
      </c>
      <c r="M467" s="4" t="s">
        <v>465</v>
      </c>
      <c r="N467" s="4">
        <v>100017012317</v>
      </c>
      <c r="O467" s="4" t="s">
        <v>540</v>
      </c>
      <c r="P467" s="8">
        <v>1</v>
      </c>
      <c r="Q467" s="209">
        <f>Mon_ILR2[[#This Row],[Qty Required]]-Mon_ILR2[[#This Row],[QTY Transfer]]</f>
        <v>0</v>
      </c>
      <c r="R467" s="66" t="s">
        <v>905</v>
      </c>
      <c r="S467" s="66" t="s">
        <v>907</v>
      </c>
      <c r="T467" s="210">
        <f>_xlfn.IFNA(VLOOKUP(Mon_ILR2[[#This Row],[New Model]],PhilipsLibary[],4,FALSE),"0")</f>
        <v>4687.2</v>
      </c>
      <c r="U467" s="210">
        <f>_xlfn.IFNA(VLOOKUP(Mon_ILR2[[#This Row],[New Model]],PhilipsLibary[],5,FALSE),"0")</f>
        <v>0</v>
      </c>
      <c r="V467" s="210">
        <f>_xlfn.IFNA(VLOOKUP(Mon_ILR2[[#This Row],[New Model]],PhilipsLibary[],5,FALSE),"0")</f>
        <v>0</v>
      </c>
      <c r="W467" s="210">
        <v>943.28</v>
      </c>
      <c r="X467" s="8"/>
      <c r="Y467" s="289" t="s">
        <v>2217</v>
      </c>
      <c r="Z467" s="6" t="s">
        <v>453</v>
      </c>
      <c r="AA467" s="6" t="s">
        <v>50</v>
      </c>
      <c r="AB467" s="6" t="s">
        <v>47</v>
      </c>
      <c r="AC467" s="6" t="s">
        <v>48</v>
      </c>
      <c r="AD467" s="6" t="s">
        <v>49</v>
      </c>
      <c r="AE467" s="6" t="s">
        <v>50</v>
      </c>
      <c r="AF467" s="6" t="s">
        <v>50</v>
      </c>
      <c r="AG467" s="6" t="s">
        <v>50</v>
      </c>
      <c r="AH467" s="6" t="s">
        <v>50</v>
      </c>
      <c r="AI467" s="6" t="s">
        <v>50</v>
      </c>
      <c r="AJ467" s="6" t="s">
        <v>50</v>
      </c>
      <c r="AK467" s="6" t="s">
        <v>50</v>
      </c>
      <c r="AL467" s="6" t="s">
        <v>50</v>
      </c>
      <c r="AM467" s="6" t="s">
        <v>50</v>
      </c>
      <c r="AN467" s="6" t="s">
        <v>50</v>
      </c>
      <c r="AO467" s="6" t="s">
        <v>50</v>
      </c>
    </row>
    <row r="468" spans="2:41" ht="165" x14ac:dyDescent="0.25">
      <c r="B468" s="207" t="s">
        <v>368</v>
      </c>
      <c r="C468" s="66" t="s">
        <v>537</v>
      </c>
      <c r="D468" s="4" t="s">
        <v>558</v>
      </c>
      <c r="E468" s="4" t="s">
        <v>1164</v>
      </c>
      <c r="F468" s="4" t="s">
        <v>448</v>
      </c>
      <c r="G468" s="4" t="s">
        <v>449</v>
      </c>
      <c r="H468" s="208">
        <v>1</v>
      </c>
      <c r="I468" s="4"/>
      <c r="J468" s="15" t="s">
        <v>559</v>
      </c>
      <c r="K468" s="4" t="s">
        <v>448</v>
      </c>
      <c r="L468" s="4" t="s">
        <v>451</v>
      </c>
      <c r="M468" s="4" t="s">
        <v>465</v>
      </c>
      <c r="N468" s="4">
        <v>100017032317</v>
      </c>
      <c r="O468" s="4" t="s">
        <v>545</v>
      </c>
      <c r="P468" s="8">
        <v>1</v>
      </c>
      <c r="Q468" s="209">
        <f>Mon_ILR2[[#This Row],[Qty Required]]-Mon_ILR2[[#This Row],[QTY Transfer]]</f>
        <v>0</v>
      </c>
      <c r="R468" s="66" t="s">
        <v>905</v>
      </c>
      <c r="S468" s="66" t="s">
        <v>907</v>
      </c>
      <c r="T468" s="210">
        <f>_xlfn.IFNA(VLOOKUP(Mon_ILR2[[#This Row],[New Model]],PhilipsLibary[],4,FALSE),"0")</f>
        <v>4687.2</v>
      </c>
      <c r="U468" s="210">
        <f>_xlfn.IFNA(VLOOKUP(Mon_ILR2[[#This Row],[New Model]],PhilipsLibary[],5,FALSE),"0")</f>
        <v>0</v>
      </c>
      <c r="V468" s="210">
        <f>_xlfn.IFNA(VLOOKUP(Mon_ILR2[[#This Row],[New Model]],PhilipsLibary[],5,FALSE),"0")</f>
        <v>0</v>
      </c>
      <c r="W468" s="210">
        <v>943.28</v>
      </c>
      <c r="X468" s="8"/>
      <c r="Y468" s="289" t="s">
        <v>2217</v>
      </c>
      <c r="Z468" s="6" t="s">
        <v>453</v>
      </c>
      <c r="AA468" s="6" t="s">
        <v>50</v>
      </c>
      <c r="AB468" s="6" t="s">
        <v>47</v>
      </c>
      <c r="AC468" s="6" t="s">
        <v>48</v>
      </c>
      <c r="AD468" s="6" t="s">
        <v>49</v>
      </c>
      <c r="AE468" s="6" t="s">
        <v>50</v>
      </c>
      <c r="AF468" s="6" t="s">
        <v>50</v>
      </c>
      <c r="AG468" s="6" t="s">
        <v>50</v>
      </c>
      <c r="AH468" s="6" t="s">
        <v>50</v>
      </c>
      <c r="AI468" s="6" t="s">
        <v>50</v>
      </c>
      <c r="AJ468" s="6" t="s">
        <v>50</v>
      </c>
      <c r="AK468" s="6" t="s">
        <v>50</v>
      </c>
      <c r="AL468" s="6" t="s">
        <v>50</v>
      </c>
      <c r="AM468" s="6" t="s">
        <v>50</v>
      </c>
      <c r="AN468" s="6" t="s">
        <v>50</v>
      </c>
      <c r="AO468" s="6" t="s">
        <v>50</v>
      </c>
    </row>
    <row r="469" spans="2:41" ht="165" x14ac:dyDescent="0.25">
      <c r="B469" s="207" t="s">
        <v>368</v>
      </c>
      <c r="C469" s="66" t="s">
        <v>537</v>
      </c>
      <c r="D469" s="4" t="s">
        <v>560</v>
      </c>
      <c r="E469" s="4" t="s">
        <v>1164</v>
      </c>
      <c r="F469" s="4" t="s">
        <v>448</v>
      </c>
      <c r="G469" s="4" t="s">
        <v>449</v>
      </c>
      <c r="H469" s="208">
        <v>1</v>
      </c>
      <c r="I469" s="4"/>
      <c r="J469" s="15" t="s">
        <v>561</v>
      </c>
      <c r="K469" s="4" t="s">
        <v>448</v>
      </c>
      <c r="L469" s="4" t="s">
        <v>451</v>
      </c>
      <c r="M469" s="4" t="s">
        <v>465</v>
      </c>
      <c r="N469" s="4">
        <v>100017132317</v>
      </c>
      <c r="O469" s="4" t="s">
        <v>536</v>
      </c>
      <c r="P469" s="8">
        <v>1</v>
      </c>
      <c r="Q469" s="209">
        <f>Mon_ILR2[[#This Row],[Qty Required]]-Mon_ILR2[[#This Row],[QTY Transfer]]</f>
        <v>0</v>
      </c>
      <c r="R469" s="66" t="s">
        <v>905</v>
      </c>
      <c r="S469" s="66" t="s">
        <v>907</v>
      </c>
      <c r="T469" s="210">
        <f>_xlfn.IFNA(VLOOKUP(Mon_ILR2[[#This Row],[New Model]],PhilipsLibary[],4,FALSE),"0")</f>
        <v>4687.2</v>
      </c>
      <c r="U469" s="210">
        <f>_xlfn.IFNA(VLOOKUP(Mon_ILR2[[#This Row],[New Model]],PhilipsLibary[],5,FALSE),"0")</f>
        <v>0</v>
      </c>
      <c r="V469" s="210">
        <f>_xlfn.IFNA(VLOOKUP(Mon_ILR2[[#This Row],[New Model]],PhilipsLibary[],5,FALSE),"0")</f>
        <v>0</v>
      </c>
      <c r="W469" s="210">
        <v>943.28</v>
      </c>
      <c r="X469" s="8"/>
      <c r="Y469" s="289" t="s">
        <v>2217</v>
      </c>
      <c r="Z469" s="6" t="s">
        <v>453</v>
      </c>
      <c r="AA469" s="6" t="s">
        <v>50</v>
      </c>
      <c r="AB469" s="6" t="s">
        <v>47</v>
      </c>
      <c r="AC469" s="6" t="s">
        <v>48</v>
      </c>
      <c r="AD469" s="6" t="s">
        <v>49</v>
      </c>
      <c r="AE469" s="6" t="s">
        <v>50</v>
      </c>
      <c r="AF469" s="6" t="s">
        <v>50</v>
      </c>
      <c r="AG469" s="6" t="s">
        <v>50</v>
      </c>
      <c r="AH469" s="6" t="s">
        <v>50</v>
      </c>
      <c r="AI469" s="6" t="s">
        <v>50</v>
      </c>
      <c r="AJ469" s="6" t="s">
        <v>50</v>
      </c>
      <c r="AK469" s="6" t="s">
        <v>50</v>
      </c>
      <c r="AL469" s="6" t="s">
        <v>50</v>
      </c>
      <c r="AM469" s="6" t="s">
        <v>50</v>
      </c>
      <c r="AN469" s="6" t="s">
        <v>50</v>
      </c>
      <c r="AO469" s="6" t="s">
        <v>50</v>
      </c>
    </row>
    <row r="470" spans="2:41" ht="165" x14ac:dyDescent="0.25">
      <c r="B470" s="207" t="s">
        <v>368</v>
      </c>
      <c r="C470" s="66" t="s">
        <v>537</v>
      </c>
      <c r="D470" s="4" t="s">
        <v>562</v>
      </c>
      <c r="E470" s="4" t="s">
        <v>1164</v>
      </c>
      <c r="F470" s="4" t="s">
        <v>448</v>
      </c>
      <c r="G470" s="4" t="s">
        <v>449</v>
      </c>
      <c r="H470" s="208">
        <v>1</v>
      </c>
      <c r="I470" s="4"/>
      <c r="J470" s="15" t="s">
        <v>563</v>
      </c>
      <c r="K470" s="4" t="s">
        <v>448</v>
      </c>
      <c r="L470" s="4" t="s">
        <v>451</v>
      </c>
      <c r="M470" s="4" t="s">
        <v>465</v>
      </c>
      <c r="N470" s="4">
        <v>100017142317</v>
      </c>
      <c r="O470" s="4" t="s">
        <v>540</v>
      </c>
      <c r="P470" s="8">
        <v>1</v>
      </c>
      <c r="Q470" s="209">
        <f>Mon_ILR2[[#This Row],[Qty Required]]-Mon_ILR2[[#This Row],[QTY Transfer]]</f>
        <v>0</v>
      </c>
      <c r="R470" s="66" t="s">
        <v>905</v>
      </c>
      <c r="S470" s="66" t="s">
        <v>907</v>
      </c>
      <c r="T470" s="210">
        <f>_xlfn.IFNA(VLOOKUP(Mon_ILR2[[#This Row],[New Model]],PhilipsLibary[],4,FALSE),"0")</f>
        <v>4687.2</v>
      </c>
      <c r="U470" s="210">
        <f>_xlfn.IFNA(VLOOKUP(Mon_ILR2[[#This Row],[New Model]],PhilipsLibary[],5,FALSE),"0")</f>
        <v>0</v>
      </c>
      <c r="V470" s="210">
        <f>_xlfn.IFNA(VLOOKUP(Mon_ILR2[[#This Row],[New Model]],PhilipsLibary[],5,FALSE),"0")</f>
        <v>0</v>
      </c>
      <c r="W470" s="210">
        <v>943.28</v>
      </c>
      <c r="X470" s="8"/>
      <c r="Y470" s="289" t="s">
        <v>2217</v>
      </c>
      <c r="Z470" s="6" t="s">
        <v>453</v>
      </c>
      <c r="AA470" s="6" t="s">
        <v>50</v>
      </c>
      <c r="AB470" s="6" t="s">
        <v>47</v>
      </c>
      <c r="AC470" s="6" t="s">
        <v>48</v>
      </c>
      <c r="AD470" s="6" t="s">
        <v>49</v>
      </c>
      <c r="AE470" s="6" t="s">
        <v>50</v>
      </c>
      <c r="AF470" s="6" t="s">
        <v>50</v>
      </c>
      <c r="AG470" s="6" t="s">
        <v>50</v>
      </c>
      <c r="AH470" s="6" t="s">
        <v>50</v>
      </c>
      <c r="AI470" s="6" t="s">
        <v>50</v>
      </c>
      <c r="AJ470" s="6" t="s">
        <v>50</v>
      </c>
      <c r="AK470" s="6" t="s">
        <v>50</v>
      </c>
      <c r="AL470" s="6" t="s">
        <v>50</v>
      </c>
      <c r="AM470" s="6" t="s">
        <v>50</v>
      </c>
      <c r="AN470" s="6" t="s">
        <v>50</v>
      </c>
      <c r="AO470" s="6" t="s">
        <v>50</v>
      </c>
    </row>
    <row r="471" spans="2:41" ht="165" x14ac:dyDescent="0.25">
      <c r="B471" s="207" t="s">
        <v>368</v>
      </c>
      <c r="C471" s="66" t="s">
        <v>537</v>
      </c>
      <c r="D471" s="4" t="s">
        <v>564</v>
      </c>
      <c r="E471" s="4" t="s">
        <v>1164</v>
      </c>
      <c r="F471" s="4" t="s">
        <v>448</v>
      </c>
      <c r="G471" s="4" t="s">
        <v>449</v>
      </c>
      <c r="H471" s="208">
        <v>1</v>
      </c>
      <c r="I471" s="4"/>
      <c r="J471" s="15" t="s">
        <v>565</v>
      </c>
      <c r="K471" s="4" t="s">
        <v>448</v>
      </c>
      <c r="L471" s="4" t="s">
        <v>451</v>
      </c>
      <c r="M471" s="4" t="s">
        <v>465</v>
      </c>
      <c r="N471" s="4">
        <v>100017192317</v>
      </c>
      <c r="O471" s="4" t="s">
        <v>536</v>
      </c>
      <c r="P471" s="8">
        <v>1</v>
      </c>
      <c r="Q471" s="209">
        <f>Mon_ILR2[[#This Row],[Qty Required]]-Mon_ILR2[[#This Row],[QTY Transfer]]</f>
        <v>0</v>
      </c>
      <c r="R471" s="66" t="s">
        <v>905</v>
      </c>
      <c r="S471" s="66" t="s">
        <v>907</v>
      </c>
      <c r="T471" s="210">
        <f>_xlfn.IFNA(VLOOKUP(Mon_ILR2[[#This Row],[New Model]],PhilipsLibary[],4,FALSE),"0")</f>
        <v>4687.2</v>
      </c>
      <c r="U471" s="210">
        <f>_xlfn.IFNA(VLOOKUP(Mon_ILR2[[#This Row],[New Model]],PhilipsLibary[],5,FALSE),"0")</f>
        <v>0</v>
      </c>
      <c r="V471" s="210">
        <f>_xlfn.IFNA(VLOOKUP(Mon_ILR2[[#This Row],[New Model]],PhilipsLibary[],5,FALSE),"0")</f>
        <v>0</v>
      </c>
      <c r="W471" s="210">
        <v>943.28</v>
      </c>
      <c r="X471" s="8"/>
      <c r="Y471" s="289" t="s">
        <v>2217</v>
      </c>
      <c r="Z471" s="6" t="s">
        <v>453</v>
      </c>
      <c r="AA471" s="6" t="s">
        <v>50</v>
      </c>
      <c r="AB471" s="6" t="s">
        <v>47</v>
      </c>
      <c r="AC471" s="6" t="s">
        <v>48</v>
      </c>
      <c r="AD471" s="6" t="s">
        <v>49</v>
      </c>
      <c r="AE471" s="6" t="s">
        <v>50</v>
      </c>
      <c r="AF471" s="6" t="s">
        <v>50</v>
      </c>
      <c r="AG471" s="6" t="s">
        <v>50</v>
      </c>
      <c r="AH471" s="6" t="s">
        <v>50</v>
      </c>
      <c r="AI471" s="6" t="s">
        <v>50</v>
      </c>
      <c r="AJ471" s="6" t="s">
        <v>50</v>
      </c>
      <c r="AK471" s="6" t="s">
        <v>50</v>
      </c>
      <c r="AL471" s="6" t="s">
        <v>50</v>
      </c>
      <c r="AM471" s="6" t="s">
        <v>50</v>
      </c>
      <c r="AN471" s="6" t="s">
        <v>50</v>
      </c>
      <c r="AO471" s="6" t="s">
        <v>50</v>
      </c>
    </row>
    <row r="472" spans="2:41" ht="165" x14ac:dyDescent="0.25">
      <c r="B472" s="207" t="s">
        <v>368</v>
      </c>
      <c r="C472" s="66" t="s">
        <v>537</v>
      </c>
      <c r="D472" s="4" t="s">
        <v>566</v>
      </c>
      <c r="E472" s="4" t="s">
        <v>1164</v>
      </c>
      <c r="F472" s="4" t="s">
        <v>448</v>
      </c>
      <c r="G472" s="4" t="s">
        <v>449</v>
      </c>
      <c r="H472" s="208">
        <v>1</v>
      </c>
      <c r="I472" s="4"/>
      <c r="J472" s="15" t="s">
        <v>567</v>
      </c>
      <c r="K472" s="4" t="s">
        <v>448</v>
      </c>
      <c r="L472" s="4" t="s">
        <v>451</v>
      </c>
      <c r="M472" s="4" t="s">
        <v>465</v>
      </c>
      <c r="N472" s="4">
        <v>100017232317</v>
      </c>
      <c r="O472" s="4" t="s">
        <v>536</v>
      </c>
      <c r="P472" s="8">
        <v>1</v>
      </c>
      <c r="Q472" s="209">
        <f>Mon_ILR2[[#This Row],[Qty Required]]-Mon_ILR2[[#This Row],[QTY Transfer]]</f>
        <v>0</v>
      </c>
      <c r="R472" s="66" t="s">
        <v>905</v>
      </c>
      <c r="S472" s="66" t="s">
        <v>907</v>
      </c>
      <c r="T472" s="210">
        <f>_xlfn.IFNA(VLOOKUP(Mon_ILR2[[#This Row],[New Model]],PhilipsLibary[],4,FALSE),"0")</f>
        <v>4687.2</v>
      </c>
      <c r="U472" s="210">
        <f>_xlfn.IFNA(VLOOKUP(Mon_ILR2[[#This Row],[New Model]],PhilipsLibary[],5,FALSE),"0")</f>
        <v>0</v>
      </c>
      <c r="V472" s="210">
        <f>_xlfn.IFNA(VLOOKUP(Mon_ILR2[[#This Row],[New Model]],PhilipsLibary[],5,FALSE),"0")</f>
        <v>0</v>
      </c>
      <c r="W472" s="210">
        <v>943.28</v>
      </c>
      <c r="X472" s="8"/>
      <c r="Y472" s="289" t="s">
        <v>2217</v>
      </c>
      <c r="Z472" s="6" t="s">
        <v>453</v>
      </c>
      <c r="AA472" s="6" t="s">
        <v>50</v>
      </c>
      <c r="AB472" s="6" t="s">
        <v>47</v>
      </c>
      <c r="AC472" s="6" t="s">
        <v>48</v>
      </c>
      <c r="AD472" s="6" t="s">
        <v>49</v>
      </c>
      <c r="AE472" s="6" t="s">
        <v>50</v>
      </c>
      <c r="AF472" s="6" t="s">
        <v>50</v>
      </c>
      <c r="AG472" s="6" t="s">
        <v>50</v>
      </c>
      <c r="AH472" s="6" t="s">
        <v>50</v>
      </c>
      <c r="AI472" s="6" t="s">
        <v>50</v>
      </c>
      <c r="AJ472" s="6" t="s">
        <v>50</v>
      </c>
      <c r="AK472" s="6" t="s">
        <v>50</v>
      </c>
      <c r="AL472" s="6" t="s">
        <v>50</v>
      </c>
      <c r="AM472" s="6" t="s">
        <v>50</v>
      </c>
      <c r="AN472" s="6" t="s">
        <v>50</v>
      </c>
      <c r="AO472" s="6" t="s">
        <v>50</v>
      </c>
    </row>
    <row r="473" spans="2:41" ht="165" x14ac:dyDescent="0.25">
      <c r="B473" s="207" t="s">
        <v>368</v>
      </c>
      <c r="C473" s="66" t="s">
        <v>568</v>
      </c>
      <c r="D473" s="4" t="s">
        <v>569</v>
      </c>
      <c r="E473" s="4" t="s">
        <v>1164</v>
      </c>
      <c r="F473" s="4" t="s">
        <v>448</v>
      </c>
      <c r="G473" s="4" t="s">
        <v>449</v>
      </c>
      <c r="H473" s="208">
        <v>1</v>
      </c>
      <c r="I473" s="4"/>
      <c r="J473" s="15" t="s">
        <v>570</v>
      </c>
      <c r="K473" s="4" t="s">
        <v>448</v>
      </c>
      <c r="L473" s="4" t="s">
        <v>451</v>
      </c>
      <c r="M473" s="4" t="s">
        <v>465</v>
      </c>
      <c r="N473" s="4">
        <v>100011242117</v>
      </c>
      <c r="O473" s="4" t="s">
        <v>536</v>
      </c>
      <c r="P473" s="8">
        <v>1</v>
      </c>
      <c r="Q473" s="209">
        <f>Mon_ILR2[[#This Row],[Qty Required]]-Mon_ILR2[[#This Row],[QTY Transfer]]</f>
        <v>0</v>
      </c>
      <c r="R473" s="66" t="s">
        <v>905</v>
      </c>
      <c r="S473" s="66" t="s">
        <v>907</v>
      </c>
      <c r="T473" s="210">
        <f>_xlfn.IFNA(VLOOKUP(Mon_ILR2[[#This Row],[New Model]],PhilipsLibary[],4,FALSE),"0")</f>
        <v>4687.2</v>
      </c>
      <c r="U473" s="210">
        <f>_xlfn.IFNA(VLOOKUP(Mon_ILR2[[#This Row],[New Model]],PhilipsLibary[],5,FALSE),"0")</f>
        <v>0</v>
      </c>
      <c r="V473" s="210">
        <f>_xlfn.IFNA(VLOOKUP(Mon_ILR2[[#This Row],[New Model]],PhilipsLibary[],5,FALSE),"0")</f>
        <v>0</v>
      </c>
      <c r="W473" s="210">
        <v>943.28</v>
      </c>
      <c r="X473" s="8"/>
      <c r="Y473" s="289" t="s">
        <v>2217</v>
      </c>
      <c r="Z473" s="6" t="s">
        <v>453</v>
      </c>
      <c r="AA473" s="6" t="s">
        <v>50</v>
      </c>
      <c r="AB473" s="6" t="s">
        <v>47</v>
      </c>
      <c r="AC473" s="6" t="s">
        <v>48</v>
      </c>
      <c r="AD473" s="6" t="s">
        <v>49</v>
      </c>
      <c r="AE473" s="6" t="s">
        <v>50</v>
      </c>
      <c r="AF473" s="6" t="s">
        <v>50</v>
      </c>
      <c r="AG473" s="6" t="s">
        <v>50</v>
      </c>
      <c r="AH473" s="6" t="s">
        <v>50</v>
      </c>
      <c r="AI473" s="6" t="s">
        <v>50</v>
      </c>
      <c r="AJ473" s="6" t="s">
        <v>50</v>
      </c>
      <c r="AK473" s="6" t="s">
        <v>50</v>
      </c>
      <c r="AL473" s="6" t="s">
        <v>50</v>
      </c>
      <c r="AM473" s="6" t="s">
        <v>50</v>
      </c>
      <c r="AN473" s="6" t="s">
        <v>50</v>
      </c>
      <c r="AO473" s="6" t="s">
        <v>50</v>
      </c>
    </row>
    <row r="474" spans="2:41" ht="165" x14ac:dyDescent="0.25">
      <c r="B474" s="207" t="s">
        <v>368</v>
      </c>
      <c r="C474" s="66" t="s">
        <v>571</v>
      </c>
      <c r="D474" s="4" t="s">
        <v>572</v>
      </c>
      <c r="E474" s="4" t="s">
        <v>1164</v>
      </c>
      <c r="F474" s="4" t="s">
        <v>448</v>
      </c>
      <c r="G474" s="4" t="s">
        <v>449</v>
      </c>
      <c r="H474" s="208">
        <v>1</v>
      </c>
      <c r="I474" s="4"/>
      <c r="J474" s="15" t="s">
        <v>573</v>
      </c>
      <c r="K474" s="4" t="s">
        <v>574</v>
      </c>
      <c r="L474" s="4" t="s">
        <v>451</v>
      </c>
      <c r="M474" s="15"/>
      <c r="N474" s="15"/>
      <c r="O474" s="15"/>
      <c r="P474" s="8">
        <v>1</v>
      </c>
      <c r="Q474" s="209">
        <f>Mon_ILR2[[#This Row],[Qty Required]]-Mon_ILR2[[#This Row],[QTY Transfer]]</f>
        <v>0</v>
      </c>
      <c r="R474" s="66" t="s">
        <v>905</v>
      </c>
      <c r="S474" s="66" t="s">
        <v>907</v>
      </c>
      <c r="T474" s="210">
        <f>_xlfn.IFNA(VLOOKUP(Mon_ILR2[[#This Row],[New Model]],PhilipsLibary[],4,FALSE),"0")</f>
        <v>4687.2</v>
      </c>
      <c r="U474" s="210">
        <f>_xlfn.IFNA(VLOOKUP(Mon_ILR2[[#This Row],[New Model]],PhilipsLibary[],5,FALSE),"0")</f>
        <v>0</v>
      </c>
      <c r="V474" s="210">
        <f>_xlfn.IFNA(VLOOKUP(Mon_ILR2[[#This Row],[New Model]],PhilipsLibary[],5,FALSE),"0")</f>
        <v>0</v>
      </c>
      <c r="W474" s="210">
        <v>943.28</v>
      </c>
      <c r="X474" s="8"/>
      <c r="Y474" s="289" t="s">
        <v>2217</v>
      </c>
      <c r="Z474" s="6" t="s">
        <v>453</v>
      </c>
      <c r="AA474" s="6" t="s">
        <v>50</v>
      </c>
      <c r="AB474" s="6" t="s">
        <v>47</v>
      </c>
      <c r="AC474" s="6" t="s">
        <v>48</v>
      </c>
      <c r="AD474" s="6" t="s">
        <v>49</v>
      </c>
      <c r="AE474" s="6" t="s">
        <v>50</v>
      </c>
      <c r="AF474" s="6" t="s">
        <v>50</v>
      </c>
      <c r="AG474" s="6" t="s">
        <v>50</v>
      </c>
      <c r="AH474" s="6" t="s">
        <v>50</v>
      </c>
      <c r="AI474" s="6" t="s">
        <v>50</v>
      </c>
      <c r="AJ474" s="6" t="s">
        <v>50</v>
      </c>
      <c r="AK474" s="6" t="s">
        <v>50</v>
      </c>
      <c r="AL474" s="6" t="s">
        <v>50</v>
      </c>
      <c r="AM474" s="6" t="s">
        <v>50</v>
      </c>
      <c r="AN474" s="6" t="s">
        <v>50</v>
      </c>
      <c r="AO474" s="6" t="s">
        <v>50</v>
      </c>
    </row>
    <row r="475" spans="2:41" ht="165" x14ac:dyDescent="0.25">
      <c r="B475" s="207" t="s">
        <v>368</v>
      </c>
      <c r="C475" s="66" t="s">
        <v>575</v>
      </c>
      <c r="D475" s="4" t="s">
        <v>576</v>
      </c>
      <c r="E475" s="4" t="s">
        <v>1164</v>
      </c>
      <c r="F475" s="4" t="s">
        <v>448</v>
      </c>
      <c r="G475" s="4" t="s">
        <v>449</v>
      </c>
      <c r="H475" s="208">
        <v>1</v>
      </c>
      <c r="I475" s="4"/>
      <c r="J475" s="15" t="s">
        <v>577</v>
      </c>
      <c r="K475" s="4" t="s">
        <v>448</v>
      </c>
      <c r="L475" s="4" t="s">
        <v>451</v>
      </c>
      <c r="M475" s="4" t="s">
        <v>465</v>
      </c>
      <c r="N475" s="4">
        <v>100014232217</v>
      </c>
      <c r="O475" s="4" t="s">
        <v>171</v>
      </c>
      <c r="P475" s="8">
        <v>1</v>
      </c>
      <c r="Q475" s="209">
        <f>Mon_ILR2[[#This Row],[Qty Required]]-Mon_ILR2[[#This Row],[QTY Transfer]]</f>
        <v>0</v>
      </c>
      <c r="R475" s="66" t="s">
        <v>905</v>
      </c>
      <c r="S475" s="66" t="s">
        <v>907</v>
      </c>
      <c r="T475" s="210">
        <f>_xlfn.IFNA(VLOOKUP(Mon_ILR2[[#This Row],[New Model]],PhilipsLibary[],4,FALSE),"0")</f>
        <v>4687.2</v>
      </c>
      <c r="U475" s="210">
        <f>_xlfn.IFNA(VLOOKUP(Mon_ILR2[[#This Row],[New Model]],PhilipsLibary[],5,FALSE),"0")</f>
        <v>0</v>
      </c>
      <c r="V475" s="210">
        <f>_xlfn.IFNA(VLOOKUP(Mon_ILR2[[#This Row],[New Model]],PhilipsLibary[],5,FALSE),"0")</f>
        <v>0</v>
      </c>
      <c r="W475" s="210">
        <v>943.28</v>
      </c>
      <c r="X475" s="8"/>
      <c r="Y475" s="289" t="s">
        <v>2217</v>
      </c>
      <c r="Z475" s="6" t="s">
        <v>453</v>
      </c>
      <c r="AA475" s="6" t="s">
        <v>50</v>
      </c>
      <c r="AB475" s="6" t="s">
        <v>47</v>
      </c>
      <c r="AC475" s="6" t="s">
        <v>48</v>
      </c>
      <c r="AD475" s="6" t="s">
        <v>49</v>
      </c>
      <c r="AE475" s="6" t="s">
        <v>50</v>
      </c>
      <c r="AF475" s="6" t="s">
        <v>50</v>
      </c>
      <c r="AG475" s="6" t="s">
        <v>50</v>
      </c>
      <c r="AH475" s="6" t="s">
        <v>50</v>
      </c>
      <c r="AI475" s="6" t="s">
        <v>50</v>
      </c>
      <c r="AJ475" s="6" t="s">
        <v>50</v>
      </c>
      <c r="AK475" s="6" t="s">
        <v>50</v>
      </c>
      <c r="AL475" s="6" t="s">
        <v>50</v>
      </c>
      <c r="AM475" s="6" t="s">
        <v>50</v>
      </c>
      <c r="AN475" s="6" t="s">
        <v>50</v>
      </c>
      <c r="AO475" s="6" t="s">
        <v>50</v>
      </c>
    </row>
    <row r="476" spans="2:41" ht="165" x14ac:dyDescent="0.25">
      <c r="B476" s="207" t="s">
        <v>368</v>
      </c>
      <c r="C476" s="66" t="s">
        <v>578</v>
      </c>
      <c r="D476" s="4" t="s">
        <v>579</v>
      </c>
      <c r="E476" s="4" t="s">
        <v>1164</v>
      </c>
      <c r="F476" s="4" t="s">
        <v>448</v>
      </c>
      <c r="G476" s="4" t="s">
        <v>449</v>
      </c>
      <c r="H476" s="208">
        <v>1</v>
      </c>
      <c r="I476" s="4"/>
      <c r="J476" s="15" t="s">
        <v>580</v>
      </c>
      <c r="K476" s="4" t="s">
        <v>448</v>
      </c>
      <c r="L476" s="4" t="s">
        <v>451</v>
      </c>
      <c r="M476" s="4" t="s">
        <v>465</v>
      </c>
      <c r="N476" s="4">
        <v>100017282317</v>
      </c>
      <c r="O476" s="4" t="s">
        <v>171</v>
      </c>
      <c r="P476" s="8">
        <v>1</v>
      </c>
      <c r="Q476" s="209">
        <f>Mon_ILR2[[#This Row],[Qty Required]]-Mon_ILR2[[#This Row],[QTY Transfer]]</f>
        <v>0</v>
      </c>
      <c r="R476" s="66" t="s">
        <v>905</v>
      </c>
      <c r="S476" s="66" t="s">
        <v>907</v>
      </c>
      <c r="T476" s="210">
        <f>_xlfn.IFNA(VLOOKUP(Mon_ILR2[[#This Row],[New Model]],PhilipsLibary[],4,FALSE),"0")</f>
        <v>4687.2</v>
      </c>
      <c r="U476" s="210">
        <f>_xlfn.IFNA(VLOOKUP(Mon_ILR2[[#This Row],[New Model]],PhilipsLibary[],5,FALSE),"0")</f>
        <v>0</v>
      </c>
      <c r="V476" s="210">
        <f>_xlfn.IFNA(VLOOKUP(Mon_ILR2[[#This Row],[New Model]],PhilipsLibary[],5,FALSE),"0")</f>
        <v>0</v>
      </c>
      <c r="W476" s="210">
        <v>943.28</v>
      </c>
      <c r="X476" s="8"/>
      <c r="Y476" s="289" t="s">
        <v>2217</v>
      </c>
      <c r="Z476" s="6" t="s">
        <v>453</v>
      </c>
      <c r="AA476" s="6" t="s">
        <v>50</v>
      </c>
      <c r="AB476" s="6" t="s">
        <v>47</v>
      </c>
      <c r="AC476" s="6" t="s">
        <v>48</v>
      </c>
      <c r="AD476" s="6" t="s">
        <v>49</v>
      </c>
      <c r="AE476" s="6" t="s">
        <v>50</v>
      </c>
      <c r="AF476" s="6" t="s">
        <v>50</v>
      </c>
      <c r="AG476" s="6" t="s">
        <v>50</v>
      </c>
      <c r="AH476" s="6" t="s">
        <v>50</v>
      </c>
      <c r="AI476" s="6" t="s">
        <v>50</v>
      </c>
      <c r="AJ476" s="6" t="s">
        <v>50</v>
      </c>
      <c r="AK476" s="6" t="s">
        <v>50</v>
      </c>
      <c r="AL476" s="6" t="s">
        <v>50</v>
      </c>
      <c r="AM476" s="6" t="s">
        <v>50</v>
      </c>
      <c r="AN476" s="6" t="s">
        <v>50</v>
      </c>
      <c r="AO476" s="6" t="s">
        <v>50</v>
      </c>
    </row>
    <row r="477" spans="2:41" ht="165" x14ac:dyDescent="0.25">
      <c r="B477" s="207" t="s">
        <v>368</v>
      </c>
      <c r="C477" s="66" t="s">
        <v>533</v>
      </c>
      <c r="D477" s="4" t="s">
        <v>581</v>
      </c>
      <c r="E477" s="4" t="s">
        <v>1164</v>
      </c>
      <c r="F477" s="4" t="s">
        <v>448</v>
      </c>
      <c r="G477" s="4" t="s">
        <v>449</v>
      </c>
      <c r="H477" s="208">
        <v>1</v>
      </c>
      <c r="I477" s="4"/>
      <c r="J477" s="15" t="s">
        <v>582</v>
      </c>
      <c r="K477" s="4" t="s">
        <v>448</v>
      </c>
      <c r="L477" s="4" t="s">
        <v>451</v>
      </c>
      <c r="M477" s="4" t="s">
        <v>465</v>
      </c>
      <c r="N477" s="4">
        <v>100008062117</v>
      </c>
      <c r="O477" s="4" t="s">
        <v>536</v>
      </c>
      <c r="P477" s="8">
        <v>1</v>
      </c>
      <c r="Q477" s="209">
        <f>Mon_ILR2[[#This Row],[Qty Required]]-Mon_ILR2[[#This Row],[QTY Transfer]]</f>
        <v>0</v>
      </c>
      <c r="R477" s="66" t="s">
        <v>905</v>
      </c>
      <c r="S477" s="66" t="s">
        <v>907</v>
      </c>
      <c r="T477" s="210">
        <f>_xlfn.IFNA(VLOOKUP(Mon_ILR2[[#This Row],[New Model]],PhilipsLibary[],4,FALSE),"0")</f>
        <v>4687.2</v>
      </c>
      <c r="U477" s="210">
        <f>_xlfn.IFNA(VLOOKUP(Mon_ILR2[[#This Row],[New Model]],PhilipsLibary[],5,FALSE),"0")</f>
        <v>0</v>
      </c>
      <c r="V477" s="210">
        <f>_xlfn.IFNA(VLOOKUP(Mon_ILR2[[#This Row],[New Model]],PhilipsLibary[],5,FALSE),"0")</f>
        <v>0</v>
      </c>
      <c r="W477" s="210">
        <v>943.28</v>
      </c>
      <c r="X477" s="8"/>
      <c r="Y477" s="289" t="s">
        <v>2217</v>
      </c>
      <c r="Z477" s="6" t="s">
        <v>453</v>
      </c>
      <c r="AA477" s="6" t="s">
        <v>50</v>
      </c>
      <c r="AB477" s="6" t="s">
        <v>47</v>
      </c>
      <c r="AC477" s="6" t="s">
        <v>48</v>
      </c>
      <c r="AD477" s="6" t="s">
        <v>49</v>
      </c>
      <c r="AE477" s="6" t="s">
        <v>50</v>
      </c>
      <c r="AF477" s="6" t="s">
        <v>50</v>
      </c>
      <c r="AG477" s="6" t="s">
        <v>50</v>
      </c>
      <c r="AH477" s="6" t="s">
        <v>50</v>
      </c>
      <c r="AI477" s="6" t="s">
        <v>50</v>
      </c>
      <c r="AJ477" s="6" t="s">
        <v>50</v>
      </c>
      <c r="AK477" s="6" t="s">
        <v>50</v>
      </c>
      <c r="AL477" s="6" t="s">
        <v>50</v>
      </c>
      <c r="AM477" s="6" t="s">
        <v>50</v>
      </c>
      <c r="AN477" s="6" t="s">
        <v>50</v>
      </c>
      <c r="AO477" s="6" t="s">
        <v>50</v>
      </c>
    </row>
    <row r="478" spans="2:41" ht="165" x14ac:dyDescent="0.25">
      <c r="B478" s="207" t="s">
        <v>368</v>
      </c>
      <c r="C478" s="66" t="s">
        <v>533</v>
      </c>
      <c r="D478" s="4" t="s">
        <v>583</v>
      </c>
      <c r="E478" s="4" t="s">
        <v>1164</v>
      </c>
      <c r="F478" s="4" t="s">
        <v>448</v>
      </c>
      <c r="G478" s="4" t="s">
        <v>449</v>
      </c>
      <c r="H478" s="208">
        <v>1</v>
      </c>
      <c r="I478" s="4"/>
      <c r="J478" s="15" t="s">
        <v>584</v>
      </c>
      <c r="K478" s="4" t="s">
        <v>448</v>
      </c>
      <c r="L478" s="4" t="s">
        <v>451</v>
      </c>
      <c r="M478" s="4" t="s">
        <v>465</v>
      </c>
      <c r="N478" s="4">
        <v>100008062117</v>
      </c>
      <c r="O478" s="4" t="s">
        <v>536</v>
      </c>
      <c r="P478" s="8">
        <v>1</v>
      </c>
      <c r="Q478" s="209">
        <f>Mon_ILR2[[#This Row],[Qty Required]]-Mon_ILR2[[#This Row],[QTY Transfer]]</f>
        <v>0</v>
      </c>
      <c r="R478" s="66" t="s">
        <v>905</v>
      </c>
      <c r="S478" s="66" t="s">
        <v>907</v>
      </c>
      <c r="T478" s="210">
        <f>_xlfn.IFNA(VLOOKUP(Mon_ILR2[[#This Row],[New Model]],PhilipsLibary[],4,FALSE),"0")</f>
        <v>4687.2</v>
      </c>
      <c r="U478" s="210">
        <f>_xlfn.IFNA(VLOOKUP(Mon_ILR2[[#This Row],[New Model]],PhilipsLibary[],5,FALSE),"0")</f>
        <v>0</v>
      </c>
      <c r="V478" s="210">
        <f>_xlfn.IFNA(VLOOKUP(Mon_ILR2[[#This Row],[New Model]],PhilipsLibary[],5,FALSE),"0")</f>
        <v>0</v>
      </c>
      <c r="W478" s="210">
        <v>943.28</v>
      </c>
      <c r="X478" s="8"/>
      <c r="Y478" s="289" t="s">
        <v>2217</v>
      </c>
      <c r="Z478" s="6" t="s">
        <v>453</v>
      </c>
      <c r="AA478" s="6" t="s">
        <v>50</v>
      </c>
      <c r="AB478" s="6" t="s">
        <v>47</v>
      </c>
      <c r="AC478" s="6" t="s">
        <v>48</v>
      </c>
      <c r="AD478" s="6" t="s">
        <v>49</v>
      </c>
      <c r="AE478" s="6" t="s">
        <v>50</v>
      </c>
      <c r="AF478" s="6" t="s">
        <v>50</v>
      </c>
      <c r="AG478" s="6" t="s">
        <v>50</v>
      </c>
      <c r="AH478" s="6" t="s">
        <v>50</v>
      </c>
      <c r="AI478" s="6" t="s">
        <v>50</v>
      </c>
      <c r="AJ478" s="6" t="s">
        <v>50</v>
      </c>
      <c r="AK478" s="6" t="s">
        <v>50</v>
      </c>
      <c r="AL478" s="6" t="s">
        <v>50</v>
      </c>
      <c r="AM478" s="6" t="s">
        <v>50</v>
      </c>
      <c r="AN478" s="6" t="s">
        <v>50</v>
      </c>
      <c r="AO478" s="6" t="s">
        <v>50</v>
      </c>
    </row>
    <row r="479" spans="2:41" ht="165" x14ac:dyDescent="0.25">
      <c r="B479" s="207" t="s">
        <v>368</v>
      </c>
      <c r="C479" s="66" t="s">
        <v>533</v>
      </c>
      <c r="D479" s="4" t="s">
        <v>585</v>
      </c>
      <c r="E479" s="4" t="s">
        <v>1164</v>
      </c>
      <c r="F479" s="4" t="s">
        <v>448</v>
      </c>
      <c r="G479" s="4" t="s">
        <v>449</v>
      </c>
      <c r="H479" s="208">
        <v>1</v>
      </c>
      <c r="I479" s="4"/>
      <c r="J479" s="15" t="s">
        <v>586</v>
      </c>
      <c r="K479" s="4" t="s">
        <v>448</v>
      </c>
      <c r="L479" s="4" t="s">
        <v>451</v>
      </c>
      <c r="M479" s="4" t="s">
        <v>465</v>
      </c>
      <c r="N479" s="4">
        <v>100008112117</v>
      </c>
      <c r="O479" s="4" t="s">
        <v>536</v>
      </c>
      <c r="P479" s="8">
        <v>1</v>
      </c>
      <c r="Q479" s="209">
        <f>Mon_ILR2[[#This Row],[Qty Required]]-Mon_ILR2[[#This Row],[QTY Transfer]]</f>
        <v>0</v>
      </c>
      <c r="R479" s="66" t="s">
        <v>905</v>
      </c>
      <c r="S479" s="66" t="s">
        <v>907</v>
      </c>
      <c r="T479" s="210">
        <f>_xlfn.IFNA(VLOOKUP(Mon_ILR2[[#This Row],[New Model]],PhilipsLibary[],4,FALSE),"0")</f>
        <v>4687.2</v>
      </c>
      <c r="U479" s="210">
        <f>_xlfn.IFNA(VLOOKUP(Mon_ILR2[[#This Row],[New Model]],PhilipsLibary[],5,FALSE),"0")</f>
        <v>0</v>
      </c>
      <c r="V479" s="210">
        <f>_xlfn.IFNA(VLOOKUP(Mon_ILR2[[#This Row],[New Model]],PhilipsLibary[],5,FALSE),"0")</f>
        <v>0</v>
      </c>
      <c r="W479" s="210">
        <v>943.28</v>
      </c>
      <c r="X479" s="8"/>
      <c r="Y479" s="289" t="s">
        <v>2217</v>
      </c>
      <c r="Z479" s="6" t="s">
        <v>453</v>
      </c>
      <c r="AA479" s="6" t="s">
        <v>50</v>
      </c>
      <c r="AB479" s="6" t="s">
        <v>47</v>
      </c>
      <c r="AC479" s="6" t="s">
        <v>48</v>
      </c>
      <c r="AD479" s="6" t="s">
        <v>49</v>
      </c>
      <c r="AE479" s="6" t="s">
        <v>50</v>
      </c>
      <c r="AF479" s="6" t="s">
        <v>50</v>
      </c>
      <c r="AG479" s="6" t="s">
        <v>50</v>
      </c>
      <c r="AH479" s="6" t="s">
        <v>50</v>
      </c>
      <c r="AI479" s="6" t="s">
        <v>50</v>
      </c>
      <c r="AJ479" s="6" t="s">
        <v>50</v>
      </c>
      <c r="AK479" s="6" t="s">
        <v>50</v>
      </c>
      <c r="AL479" s="6" t="s">
        <v>50</v>
      </c>
      <c r="AM479" s="6" t="s">
        <v>50</v>
      </c>
      <c r="AN479" s="6" t="s">
        <v>50</v>
      </c>
      <c r="AO479" s="6" t="s">
        <v>50</v>
      </c>
    </row>
    <row r="480" spans="2:41" ht="165" x14ac:dyDescent="0.25">
      <c r="B480" s="207" t="s">
        <v>368</v>
      </c>
      <c r="C480" s="66" t="s">
        <v>533</v>
      </c>
      <c r="D480" s="4" t="s">
        <v>587</v>
      </c>
      <c r="E480" s="4" t="s">
        <v>1164</v>
      </c>
      <c r="F480" s="4" t="s">
        <v>448</v>
      </c>
      <c r="G480" s="4" t="s">
        <v>449</v>
      </c>
      <c r="H480" s="208">
        <v>1</v>
      </c>
      <c r="I480" s="4"/>
      <c r="J480" s="15" t="s">
        <v>588</v>
      </c>
      <c r="K480" s="4" t="s">
        <v>448</v>
      </c>
      <c r="L480" s="4" t="s">
        <v>451</v>
      </c>
      <c r="M480" s="4" t="s">
        <v>465</v>
      </c>
      <c r="N480" s="4">
        <v>100008152117</v>
      </c>
      <c r="O480" s="4" t="s">
        <v>545</v>
      </c>
      <c r="P480" s="8">
        <v>1</v>
      </c>
      <c r="Q480" s="209">
        <f>Mon_ILR2[[#This Row],[Qty Required]]-Mon_ILR2[[#This Row],[QTY Transfer]]</f>
        <v>0</v>
      </c>
      <c r="R480" s="66" t="s">
        <v>905</v>
      </c>
      <c r="S480" s="66" t="s">
        <v>907</v>
      </c>
      <c r="T480" s="210">
        <f>_xlfn.IFNA(VLOOKUP(Mon_ILR2[[#This Row],[New Model]],PhilipsLibary[],4,FALSE),"0")</f>
        <v>4687.2</v>
      </c>
      <c r="U480" s="210">
        <f>_xlfn.IFNA(VLOOKUP(Mon_ILR2[[#This Row],[New Model]],PhilipsLibary[],5,FALSE),"0")</f>
        <v>0</v>
      </c>
      <c r="V480" s="210">
        <f>_xlfn.IFNA(VLOOKUP(Mon_ILR2[[#This Row],[New Model]],PhilipsLibary[],5,FALSE),"0")</f>
        <v>0</v>
      </c>
      <c r="W480" s="210">
        <v>943.28</v>
      </c>
      <c r="X480" s="8"/>
      <c r="Y480" s="289" t="s">
        <v>2217</v>
      </c>
      <c r="Z480" s="6" t="s">
        <v>453</v>
      </c>
      <c r="AA480" s="6" t="s">
        <v>50</v>
      </c>
      <c r="AB480" s="6" t="s">
        <v>47</v>
      </c>
      <c r="AC480" s="6" t="s">
        <v>48</v>
      </c>
      <c r="AD480" s="6" t="s">
        <v>49</v>
      </c>
      <c r="AE480" s="6" t="s">
        <v>50</v>
      </c>
      <c r="AF480" s="6" t="s">
        <v>50</v>
      </c>
      <c r="AG480" s="6" t="s">
        <v>50</v>
      </c>
      <c r="AH480" s="6" t="s">
        <v>50</v>
      </c>
      <c r="AI480" s="6" t="s">
        <v>50</v>
      </c>
      <c r="AJ480" s="6" t="s">
        <v>50</v>
      </c>
      <c r="AK480" s="6" t="s">
        <v>50</v>
      </c>
      <c r="AL480" s="6" t="s">
        <v>50</v>
      </c>
      <c r="AM480" s="6" t="s">
        <v>50</v>
      </c>
      <c r="AN480" s="6" t="s">
        <v>50</v>
      </c>
      <c r="AO480" s="6" t="s">
        <v>50</v>
      </c>
    </row>
    <row r="481" spans="2:41" ht="165" x14ac:dyDescent="0.25">
      <c r="B481" s="207" t="s">
        <v>368</v>
      </c>
      <c r="C481" s="66" t="s">
        <v>533</v>
      </c>
      <c r="D481" s="4" t="s">
        <v>589</v>
      </c>
      <c r="E481" s="4" t="s">
        <v>1164</v>
      </c>
      <c r="F481" s="4" t="s">
        <v>448</v>
      </c>
      <c r="G481" s="4" t="s">
        <v>449</v>
      </c>
      <c r="H481" s="208">
        <v>1</v>
      </c>
      <c r="I481" s="4"/>
      <c r="J481" s="15" t="s">
        <v>590</v>
      </c>
      <c r="K481" s="4" t="s">
        <v>448</v>
      </c>
      <c r="L481" s="4" t="s">
        <v>451</v>
      </c>
      <c r="M481" s="4" t="s">
        <v>465</v>
      </c>
      <c r="N481" s="4">
        <v>100008172117</v>
      </c>
      <c r="O481" s="4" t="s">
        <v>545</v>
      </c>
      <c r="P481" s="8">
        <v>1</v>
      </c>
      <c r="Q481" s="209">
        <f>Mon_ILR2[[#This Row],[Qty Required]]-Mon_ILR2[[#This Row],[QTY Transfer]]</f>
        <v>0</v>
      </c>
      <c r="R481" s="66" t="s">
        <v>905</v>
      </c>
      <c r="S481" s="66" t="s">
        <v>907</v>
      </c>
      <c r="T481" s="210">
        <f>_xlfn.IFNA(VLOOKUP(Mon_ILR2[[#This Row],[New Model]],PhilipsLibary[],4,FALSE),"0")</f>
        <v>4687.2</v>
      </c>
      <c r="U481" s="210">
        <f>_xlfn.IFNA(VLOOKUP(Mon_ILR2[[#This Row],[New Model]],PhilipsLibary[],5,FALSE),"0")</f>
        <v>0</v>
      </c>
      <c r="V481" s="210">
        <f>_xlfn.IFNA(VLOOKUP(Mon_ILR2[[#This Row],[New Model]],PhilipsLibary[],5,FALSE),"0")</f>
        <v>0</v>
      </c>
      <c r="W481" s="210">
        <v>943.28</v>
      </c>
      <c r="X481" s="8"/>
      <c r="Y481" s="289" t="s">
        <v>2217</v>
      </c>
      <c r="Z481" s="6" t="s">
        <v>453</v>
      </c>
      <c r="AA481" s="6" t="s">
        <v>50</v>
      </c>
      <c r="AB481" s="6" t="s">
        <v>47</v>
      </c>
      <c r="AC481" s="6" t="s">
        <v>48</v>
      </c>
      <c r="AD481" s="6" t="s">
        <v>49</v>
      </c>
      <c r="AE481" s="6" t="s">
        <v>50</v>
      </c>
      <c r="AF481" s="6" t="s">
        <v>50</v>
      </c>
      <c r="AG481" s="6" t="s">
        <v>50</v>
      </c>
      <c r="AH481" s="6" t="s">
        <v>50</v>
      </c>
      <c r="AI481" s="6" t="s">
        <v>50</v>
      </c>
      <c r="AJ481" s="6" t="s">
        <v>50</v>
      </c>
      <c r="AK481" s="6" t="s">
        <v>50</v>
      </c>
      <c r="AL481" s="6" t="s">
        <v>50</v>
      </c>
      <c r="AM481" s="6" t="s">
        <v>50</v>
      </c>
      <c r="AN481" s="6" t="s">
        <v>50</v>
      </c>
      <c r="AO481" s="6" t="s">
        <v>50</v>
      </c>
    </row>
    <row r="482" spans="2:41" ht="165" x14ac:dyDescent="0.25">
      <c r="B482" s="207" t="s">
        <v>591</v>
      </c>
      <c r="C482" s="66" t="s">
        <v>471</v>
      </c>
      <c r="D482" s="4" t="s">
        <v>592</v>
      </c>
      <c r="E482" s="4" t="s">
        <v>1164</v>
      </c>
      <c r="F482" s="4" t="s">
        <v>448</v>
      </c>
      <c r="G482" s="4" t="s">
        <v>449</v>
      </c>
      <c r="H482" s="208">
        <v>1</v>
      </c>
      <c r="I482" s="4"/>
      <c r="J482" s="15" t="s">
        <v>593</v>
      </c>
      <c r="K482" s="4" t="s">
        <v>448</v>
      </c>
      <c r="L482" s="4" t="s">
        <v>451</v>
      </c>
      <c r="M482" s="4" t="s">
        <v>465</v>
      </c>
      <c r="N482" s="4">
        <v>21100083721517</v>
      </c>
      <c r="O482" s="4" t="s">
        <v>171</v>
      </c>
      <c r="P482" s="8">
        <v>1</v>
      </c>
      <c r="Q482" s="209">
        <f>Mon_ILR2[[#This Row],[Qty Required]]-Mon_ILR2[[#This Row],[QTY Transfer]]</f>
        <v>0</v>
      </c>
      <c r="R482" s="66" t="s">
        <v>905</v>
      </c>
      <c r="S482" s="66" t="s">
        <v>907</v>
      </c>
      <c r="T482" s="210">
        <f>_xlfn.IFNA(VLOOKUP(Mon_ILR2[[#This Row],[New Model]],PhilipsLibary[],4,FALSE),"0")</f>
        <v>4687.2</v>
      </c>
      <c r="U482" s="210">
        <f>_xlfn.IFNA(VLOOKUP(Mon_ILR2[[#This Row],[New Model]],PhilipsLibary[],5,FALSE),"0")</f>
        <v>0</v>
      </c>
      <c r="V482" s="210">
        <f>_xlfn.IFNA(VLOOKUP(Mon_ILR2[[#This Row],[New Model]],PhilipsLibary[],5,FALSE),"0")</f>
        <v>0</v>
      </c>
      <c r="W482" s="210">
        <v>943.28</v>
      </c>
      <c r="X482" s="8"/>
      <c r="Y482" s="289" t="s">
        <v>2217</v>
      </c>
      <c r="Z482" s="6" t="s">
        <v>453</v>
      </c>
      <c r="AA482" s="6" t="s">
        <v>50</v>
      </c>
      <c r="AB482" s="6" t="s">
        <v>47</v>
      </c>
      <c r="AC482" s="6" t="s">
        <v>48</v>
      </c>
      <c r="AD482" s="6" t="s">
        <v>49</v>
      </c>
      <c r="AE482" s="6" t="s">
        <v>50</v>
      </c>
      <c r="AF482" s="6" t="s">
        <v>50</v>
      </c>
      <c r="AG482" s="6" t="s">
        <v>50</v>
      </c>
      <c r="AH482" s="6" t="s">
        <v>50</v>
      </c>
      <c r="AI482" s="6" t="s">
        <v>50</v>
      </c>
      <c r="AJ482" s="6" t="s">
        <v>50</v>
      </c>
      <c r="AK482" s="6" t="s">
        <v>50</v>
      </c>
      <c r="AL482" s="6" t="s">
        <v>50</v>
      </c>
      <c r="AM482" s="6" t="s">
        <v>50</v>
      </c>
      <c r="AN482" s="6" t="s">
        <v>50</v>
      </c>
      <c r="AO482" s="6" t="s">
        <v>50</v>
      </c>
    </row>
    <row r="483" spans="2:41" ht="165" x14ac:dyDescent="0.25">
      <c r="B483" s="207" t="s">
        <v>591</v>
      </c>
      <c r="C483" s="66" t="s">
        <v>594</v>
      </c>
      <c r="D483" s="4" t="s">
        <v>595</v>
      </c>
      <c r="E483" s="4" t="s">
        <v>1164</v>
      </c>
      <c r="F483" s="4" t="s">
        <v>448</v>
      </c>
      <c r="G483" s="4" t="s">
        <v>449</v>
      </c>
      <c r="H483" s="208">
        <v>1</v>
      </c>
      <c r="I483" s="4"/>
      <c r="J483" s="15" t="s">
        <v>596</v>
      </c>
      <c r="K483" s="4" t="s">
        <v>448</v>
      </c>
      <c r="L483" s="4" t="s">
        <v>451</v>
      </c>
      <c r="M483" s="4" t="s">
        <v>465</v>
      </c>
      <c r="N483" s="4">
        <v>100017372317</v>
      </c>
      <c r="O483" s="4" t="s">
        <v>540</v>
      </c>
      <c r="P483" s="8">
        <v>1</v>
      </c>
      <c r="Q483" s="209">
        <f>Mon_ILR2[[#This Row],[Qty Required]]-Mon_ILR2[[#This Row],[QTY Transfer]]</f>
        <v>0</v>
      </c>
      <c r="R483" s="66" t="s">
        <v>905</v>
      </c>
      <c r="S483" s="66" t="s">
        <v>907</v>
      </c>
      <c r="T483" s="210">
        <f>_xlfn.IFNA(VLOOKUP(Mon_ILR2[[#This Row],[New Model]],PhilipsLibary[],4,FALSE),"0")</f>
        <v>4687.2</v>
      </c>
      <c r="U483" s="210">
        <f>_xlfn.IFNA(VLOOKUP(Mon_ILR2[[#This Row],[New Model]],PhilipsLibary[],5,FALSE),"0")</f>
        <v>0</v>
      </c>
      <c r="V483" s="210">
        <f>_xlfn.IFNA(VLOOKUP(Mon_ILR2[[#This Row],[New Model]],PhilipsLibary[],5,FALSE),"0")</f>
        <v>0</v>
      </c>
      <c r="W483" s="210">
        <v>943.28</v>
      </c>
      <c r="X483" s="8"/>
      <c r="Y483" s="289" t="s">
        <v>2217</v>
      </c>
      <c r="Z483" s="6" t="s">
        <v>453</v>
      </c>
      <c r="AA483" s="6" t="s">
        <v>50</v>
      </c>
      <c r="AB483" s="6" t="s">
        <v>47</v>
      </c>
      <c r="AC483" s="6" t="s">
        <v>48</v>
      </c>
      <c r="AD483" s="6" t="s">
        <v>49</v>
      </c>
      <c r="AE483" s="6" t="s">
        <v>50</v>
      </c>
      <c r="AF483" s="6" t="s">
        <v>50</v>
      </c>
      <c r="AG483" s="6" t="s">
        <v>50</v>
      </c>
      <c r="AH483" s="6" t="s">
        <v>50</v>
      </c>
      <c r="AI483" s="6" t="s">
        <v>50</v>
      </c>
      <c r="AJ483" s="6" t="s">
        <v>50</v>
      </c>
      <c r="AK483" s="6" t="s">
        <v>50</v>
      </c>
      <c r="AL483" s="6" t="s">
        <v>50</v>
      </c>
      <c r="AM483" s="6" t="s">
        <v>50</v>
      </c>
      <c r="AN483" s="6" t="s">
        <v>50</v>
      </c>
      <c r="AO483" s="6" t="s">
        <v>50</v>
      </c>
    </row>
    <row r="484" spans="2:41" ht="165" x14ac:dyDescent="0.25">
      <c r="B484" s="207" t="s">
        <v>591</v>
      </c>
      <c r="C484" s="66" t="s">
        <v>594</v>
      </c>
      <c r="D484" s="4" t="s">
        <v>597</v>
      </c>
      <c r="E484" s="4" t="s">
        <v>1164</v>
      </c>
      <c r="F484" s="4" t="s">
        <v>448</v>
      </c>
      <c r="G484" s="4" t="s">
        <v>449</v>
      </c>
      <c r="H484" s="208">
        <v>1</v>
      </c>
      <c r="I484" s="4"/>
      <c r="J484" s="15" t="s">
        <v>598</v>
      </c>
      <c r="K484" s="4" t="s">
        <v>448</v>
      </c>
      <c r="L484" s="4" t="s">
        <v>451</v>
      </c>
      <c r="M484" s="4" t="s">
        <v>465</v>
      </c>
      <c r="N484" s="4">
        <v>100017362317</v>
      </c>
      <c r="O484" s="4" t="s">
        <v>545</v>
      </c>
      <c r="P484" s="8">
        <v>1</v>
      </c>
      <c r="Q484" s="209">
        <f>Mon_ILR2[[#This Row],[Qty Required]]-Mon_ILR2[[#This Row],[QTY Transfer]]</f>
        <v>0</v>
      </c>
      <c r="R484" s="66" t="s">
        <v>905</v>
      </c>
      <c r="S484" s="66" t="s">
        <v>907</v>
      </c>
      <c r="T484" s="210">
        <f>_xlfn.IFNA(VLOOKUP(Mon_ILR2[[#This Row],[New Model]],PhilipsLibary[],4,FALSE),"0")</f>
        <v>4687.2</v>
      </c>
      <c r="U484" s="210">
        <f>_xlfn.IFNA(VLOOKUP(Mon_ILR2[[#This Row],[New Model]],PhilipsLibary[],5,FALSE),"0")</f>
        <v>0</v>
      </c>
      <c r="V484" s="210">
        <f>_xlfn.IFNA(VLOOKUP(Mon_ILR2[[#This Row],[New Model]],PhilipsLibary[],5,FALSE),"0")</f>
        <v>0</v>
      </c>
      <c r="W484" s="210">
        <v>943.28</v>
      </c>
      <c r="X484" s="8"/>
      <c r="Y484" s="289" t="s">
        <v>2217</v>
      </c>
      <c r="Z484" s="6" t="s">
        <v>453</v>
      </c>
      <c r="AA484" s="6" t="s">
        <v>50</v>
      </c>
      <c r="AB484" s="6" t="s">
        <v>47</v>
      </c>
      <c r="AC484" s="6" t="s">
        <v>48</v>
      </c>
      <c r="AD484" s="6" t="s">
        <v>49</v>
      </c>
      <c r="AE484" s="6" t="s">
        <v>50</v>
      </c>
      <c r="AF484" s="6" t="s">
        <v>50</v>
      </c>
      <c r="AG484" s="6" t="s">
        <v>50</v>
      </c>
      <c r="AH484" s="6" t="s">
        <v>50</v>
      </c>
      <c r="AI484" s="6" t="s">
        <v>50</v>
      </c>
      <c r="AJ484" s="6" t="s">
        <v>50</v>
      </c>
      <c r="AK484" s="6" t="s">
        <v>50</v>
      </c>
      <c r="AL484" s="6" t="s">
        <v>50</v>
      </c>
      <c r="AM484" s="6" t="s">
        <v>50</v>
      </c>
      <c r="AN484" s="6" t="s">
        <v>50</v>
      </c>
      <c r="AO484" s="6" t="s">
        <v>50</v>
      </c>
    </row>
    <row r="485" spans="2:41" ht="165" x14ac:dyDescent="0.25">
      <c r="B485" s="207" t="s">
        <v>591</v>
      </c>
      <c r="C485" s="66" t="s">
        <v>594</v>
      </c>
      <c r="D485" s="4" t="s">
        <v>599</v>
      </c>
      <c r="E485" s="4" t="s">
        <v>1164</v>
      </c>
      <c r="F485" s="4" t="s">
        <v>448</v>
      </c>
      <c r="G485" s="4" t="s">
        <v>449</v>
      </c>
      <c r="H485" s="208">
        <v>1</v>
      </c>
      <c r="I485" s="4"/>
      <c r="J485" s="15" t="s">
        <v>600</v>
      </c>
      <c r="K485" s="4" t="s">
        <v>448</v>
      </c>
      <c r="L485" s="4" t="s">
        <v>451</v>
      </c>
      <c r="M485" s="4" t="s">
        <v>465</v>
      </c>
      <c r="N485" s="4">
        <v>100023092517</v>
      </c>
      <c r="O485" s="4" t="s">
        <v>536</v>
      </c>
      <c r="P485" s="8">
        <v>1</v>
      </c>
      <c r="Q485" s="209">
        <f>Mon_ILR2[[#This Row],[Qty Required]]-Mon_ILR2[[#This Row],[QTY Transfer]]</f>
        <v>0</v>
      </c>
      <c r="R485" s="66" t="s">
        <v>905</v>
      </c>
      <c r="S485" s="66" t="s">
        <v>907</v>
      </c>
      <c r="T485" s="210">
        <f>_xlfn.IFNA(VLOOKUP(Mon_ILR2[[#This Row],[New Model]],PhilipsLibary[],4,FALSE),"0")</f>
        <v>4687.2</v>
      </c>
      <c r="U485" s="210">
        <f>_xlfn.IFNA(VLOOKUP(Mon_ILR2[[#This Row],[New Model]],PhilipsLibary[],5,FALSE),"0")</f>
        <v>0</v>
      </c>
      <c r="V485" s="210">
        <f>_xlfn.IFNA(VLOOKUP(Mon_ILR2[[#This Row],[New Model]],PhilipsLibary[],5,FALSE),"0")</f>
        <v>0</v>
      </c>
      <c r="W485" s="210">
        <v>943.28</v>
      </c>
      <c r="X485" s="8"/>
      <c r="Y485" s="289" t="s">
        <v>2217</v>
      </c>
      <c r="Z485" s="6" t="s">
        <v>453</v>
      </c>
      <c r="AA485" s="6" t="s">
        <v>50</v>
      </c>
      <c r="AB485" s="6" t="s">
        <v>47</v>
      </c>
      <c r="AC485" s="6" t="s">
        <v>48</v>
      </c>
      <c r="AD485" s="6" t="s">
        <v>49</v>
      </c>
      <c r="AE485" s="6" t="s">
        <v>50</v>
      </c>
      <c r="AF485" s="6" t="s">
        <v>50</v>
      </c>
      <c r="AG485" s="6" t="s">
        <v>50</v>
      </c>
      <c r="AH485" s="6" t="s">
        <v>50</v>
      </c>
      <c r="AI485" s="6" t="s">
        <v>50</v>
      </c>
      <c r="AJ485" s="6" t="s">
        <v>50</v>
      </c>
      <c r="AK485" s="6" t="s">
        <v>50</v>
      </c>
      <c r="AL485" s="6" t="s">
        <v>50</v>
      </c>
      <c r="AM485" s="6" t="s">
        <v>50</v>
      </c>
      <c r="AN485" s="6" t="s">
        <v>50</v>
      </c>
      <c r="AO485" s="6" t="s">
        <v>50</v>
      </c>
    </row>
    <row r="486" spans="2:41" ht="165" x14ac:dyDescent="0.25">
      <c r="B486" s="207" t="s">
        <v>591</v>
      </c>
      <c r="C486" s="66" t="s">
        <v>594</v>
      </c>
      <c r="D486" s="4" t="s">
        <v>601</v>
      </c>
      <c r="E486" s="4" t="s">
        <v>1164</v>
      </c>
      <c r="F486" s="4" t="s">
        <v>448</v>
      </c>
      <c r="G486" s="4" t="s">
        <v>449</v>
      </c>
      <c r="H486" s="208">
        <v>1</v>
      </c>
      <c r="I486" s="4"/>
      <c r="J486" s="15" t="s">
        <v>602</v>
      </c>
      <c r="K486" s="4" t="s">
        <v>448</v>
      </c>
      <c r="L486" s="4" t="s">
        <v>451</v>
      </c>
      <c r="M486" s="4" t="s">
        <v>465</v>
      </c>
      <c r="N486" s="4">
        <v>100017292317</v>
      </c>
      <c r="O486" s="4" t="s">
        <v>540</v>
      </c>
      <c r="P486" s="8">
        <v>1</v>
      </c>
      <c r="Q486" s="209">
        <f>Mon_ILR2[[#This Row],[Qty Required]]-Mon_ILR2[[#This Row],[QTY Transfer]]</f>
        <v>0</v>
      </c>
      <c r="R486" s="66" t="s">
        <v>905</v>
      </c>
      <c r="S486" s="66" t="s">
        <v>907</v>
      </c>
      <c r="T486" s="210">
        <f>_xlfn.IFNA(VLOOKUP(Mon_ILR2[[#This Row],[New Model]],PhilipsLibary[],4,FALSE),"0")</f>
        <v>4687.2</v>
      </c>
      <c r="U486" s="210">
        <f>_xlfn.IFNA(VLOOKUP(Mon_ILR2[[#This Row],[New Model]],PhilipsLibary[],5,FALSE),"0")</f>
        <v>0</v>
      </c>
      <c r="V486" s="210">
        <f>_xlfn.IFNA(VLOOKUP(Mon_ILR2[[#This Row],[New Model]],PhilipsLibary[],5,FALSE),"0")</f>
        <v>0</v>
      </c>
      <c r="W486" s="210">
        <v>943.28</v>
      </c>
      <c r="X486" s="8"/>
      <c r="Y486" s="289" t="s">
        <v>2217</v>
      </c>
      <c r="Z486" s="6" t="s">
        <v>453</v>
      </c>
      <c r="AA486" s="6" t="s">
        <v>50</v>
      </c>
      <c r="AB486" s="6" t="s">
        <v>47</v>
      </c>
      <c r="AC486" s="6" t="s">
        <v>48</v>
      </c>
      <c r="AD486" s="6" t="s">
        <v>49</v>
      </c>
      <c r="AE486" s="6" t="s">
        <v>50</v>
      </c>
      <c r="AF486" s="6" t="s">
        <v>50</v>
      </c>
      <c r="AG486" s="6" t="s">
        <v>50</v>
      </c>
      <c r="AH486" s="6" t="s">
        <v>50</v>
      </c>
      <c r="AI486" s="6" t="s">
        <v>50</v>
      </c>
      <c r="AJ486" s="6" t="s">
        <v>50</v>
      </c>
      <c r="AK486" s="6" t="s">
        <v>50</v>
      </c>
      <c r="AL486" s="6" t="s">
        <v>50</v>
      </c>
      <c r="AM486" s="6" t="s">
        <v>50</v>
      </c>
      <c r="AN486" s="6" t="s">
        <v>50</v>
      </c>
      <c r="AO486" s="6" t="s">
        <v>50</v>
      </c>
    </row>
    <row r="487" spans="2:41" ht="165" x14ac:dyDescent="0.25">
      <c r="B487" s="207" t="s">
        <v>591</v>
      </c>
      <c r="C487" s="66" t="s">
        <v>594</v>
      </c>
      <c r="D487" s="4" t="s">
        <v>603</v>
      </c>
      <c r="E487" s="4" t="s">
        <v>1164</v>
      </c>
      <c r="F487" s="4" t="s">
        <v>448</v>
      </c>
      <c r="G487" s="4" t="s">
        <v>449</v>
      </c>
      <c r="H487" s="208">
        <v>1</v>
      </c>
      <c r="I487" s="4"/>
      <c r="J487" s="15" t="s">
        <v>604</v>
      </c>
      <c r="K487" s="4" t="s">
        <v>448</v>
      </c>
      <c r="L487" s="4" t="s">
        <v>451</v>
      </c>
      <c r="M487" s="4" t="s">
        <v>465</v>
      </c>
      <c r="N487" s="4">
        <v>100017332317</v>
      </c>
      <c r="O487" s="4" t="s">
        <v>540</v>
      </c>
      <c r="P487" s="8">
        <v>1</v>
      </c>
      <c r="Q487" s="209">
        <f>Mon_ILR2[[#This Row],[Qty Required]]-Mon_ILR2[[#This Row],[QTY Transfer]]</f>
        <v>0</v>
      </c>
      <c r="R487" s="66" t="s">
        <v>905</v>
      </c>
      <c r="S487" s="66" t="s">
        <v>907</v>
      </c>
      <c r="T487" s="210">
        <f>_xlfn.IFNA(VLOOKUP(Mon_ILR2[[#This Row],[New Model]],PhilipsLibary[],4,FALSE),"0")</f>
        <v>4687.2</v>
      </c>
      <c r="U487" s="210">
        <f>_xlfn.IFNA(VLOOKUP(Mon_ILR2[[#This Row],[New Model]],PhilipsLibary[],5,FALSE),"0")</f>
        <v>0</v>
      </c>
      <c r="V487" s="210">
        <f>_xlfn.IFNA(VLOOKUP(Mon_ILR2[[#This Row],[New Model]],PhilipsLibary[],5,FALSE),"0")</f>
        <v>0</v>
      </c>
      <c r="W487" s="210">
        <v>943.28</v>
      </c>
      <c r="X487" s="8"/>
      <c r="Y487" s="289" t="s">
        <v>2217</v>
      </c>
      <c r="Z487" s="6" t="s">
        <v>453</v>
      </c>
      <c r="AA487" s="6" t="s">
        <v>50</v>
      </c>
      <c r="AB487" s="6" t="s">
        <v>47</v>
      </c>
      <c r="AC487" s="6" t="s">
        <v>48</v>
      </c>
      <c r="AD487" s="6" t="s">
        <v>49</v>
      </c>
      <c r="AE487" s="6" t="s">
        <v>50</v>
      </c>
      <c r="AF487" s="6" t="s">
        <v>50</v>
      </c>
      <c r="AG487" s="6" t="s">
        <v>50</v>
      </c>
      <c r="AH487" s="6" t="s">
        <v>50</v>
      </c>
      <c r="AI487" s="6" t="s">
        <v>50</v>
      </c>
      <c r="AJ487" s="6" t="s">
        <v>50</v>
      </c>
      <c r="AK487" s="6" t="s">
        <v>50</v>
      </c>
      <c r="AL487" s="6" t="s">
        <v>50</v>
      </c>
      <c r="AM487" s="6" t="s">
        <v>50</v>
      </c>
      <c r="AN487" s="6" t="s">
        <v>50</v>
      </c>
      <c r="AO487" s="6" t="s">
        <v>50</v>
      </c>
    </row>
    <row r="488" spans="2:41" ht="165" x14ac:dyDescent="0.25">
      <c r="B488" s="207" t="s">
        <v>591</v>
      </c>
      <c r="C488" s="66" t="s">
        <v>594</v>
      </c>
      <c r="D488" s="4" t="s">
        <v>605</v>
      </c>
      <c r="E488" s="4" t="s">
        <v>1164</v>
      </c>
      <c r="F488" s="4" t="s">
        <v>448</v>
      </c>
      <c r="G488" s="4" t="s">
        <v>449</v>
      </c>
      <c r="H488" s="208">
        <v>1</v>
      </c>
      <c r="I488" s="4"/>
      <c r="J488" s="15" t="s">
        <v>606</v>
      </c>
      <c r="K488" s="4" t="s">
        <v>448</v>
      </c>
      <c r="L488" s="4" t="s">
        <v>451</v>
      </c>
      <c r="M488" s="4" t="s">
        <v>465</v>
      </c>
      <c r="N488" s="4">
        <v>100023012517</v>
      </c>
      <c r="O488" s="4" t="s">
        <v>415</v>
      </c>
      <c r="P488" s="8">
        <v>1</v>
      </c>
      <c r="Q488" s="209">
        <f>Mon_ILR2[[#This Row],[Qty Required]]-Mon_ILR2[[#This Row],[QTY Transfer]]</f>
        <v>0</v>
      </c>
      <c r="R488" s="66" t="s">
        <v>905</v>
      </c>
      <c r="S488" s="66" t="s">
        <v>907</v>
      </c>
      <c r="T488" s="210">
        <f>_xlfn.IFNA(VLOOKUP(Mon_ILR2[[#This Row],[New Model]],PhilipsLibary[],4,FALSE),"0")</f>
        <v>4687.2</v>
      </c>
      <c r="U488" s="210">
        <f>_xlfn.IFNA(VLOOKUP(Mon_ILR2[[#This Row],[New Model]],PhilipsLibary[],5,FALSE),"0")</f>
        <v>0</v>
      </c>
      <c r="V488" s="210">
        <f>_xlfn.IFNA(VLOOKUP(Mon_ILR2[[#This Row],[New Model]],PhilipsLibary[],5,FALSE),"0")</f>
        <v>0</v>
      </c>
      <c r="W488" s="210">
        <v>943.28</v>
      </c>
      <c r="X488" s="8"/>
      <c r="Y488" s="289" t="s">
        <v>2217</v>
      </c>
      <c r="Z488" s="6" t="s">
        <v>453</v>
      </c>
      <c r="AA488" s="6" t="s">
        <v>50</v>
      </c>
      <c r="AB488" s="6" t="s">
        <v>47</v>
      </c>
      <c r="AC488" s="6" t="s">
        <v>48</v>
      </c>
      <c r="AD488" s="6" t="s">
        <v>49</v>
      </c>
      <c r="AE488" s="6" t="s">
        <v>50</v>
      </c>
      <c r="AF488" s="6" t="s">
        <v>50</v>
      </c>
      <c r="AG488" s="6" t="s">
        <v>50</v>
      </c>
      <c r="AH488" s="6" t="s">
        <v>50</v>
      </c>
      <c r="AI488" s="6" t="s">
        <v>50</v>
      </c>
      <c r="AJ488" s="6" t="s">
        <v>50</v>
      </c>
      <c r="AK488" s="6" t="s">
        <v>50</v>
      </c>
      <c r="AL488" s="6" t="s">
        <v>50</v>
      </c>
      <c r="AM488" s="6" t="s">
        <v>50</v>
      </c>
      <c r="AN488" s="6" t="s">
        <v>50</v>
      </c>
      <c r="AO488" s="6" t="s">
        <v>50</v>
      </c>
    </row>
    <row r="489" spans="2:41" ht="165" x14ac:dyDescent="0.25">
      <c r="B489" s="207" t="s">
        <v>591</v>
      </c>
      <c r="C489" s="66" t="s">
        <v>594</v>
      </c>
      <c r="D489" s="4" t="s">
        <v>607</v>
      </c>
      <c r="E489" s="4" t="s">
        <v>1164</v>
      </c>
      <c r="F489" s="4" t="s">
        <v>448</v>
      </c>
      <c r="G489" s="4" t="s">
        <v>449</v>
      </c>
      <c r="H489" s="208">
        <v>1</v>
      </c>
      <c r="I489" s="4"/>
      <c r="J489" s="15" t="s">
        <v>608</v>
      </c>
      <c r="K489" s="4" t="s">
        <v>448</v>
      </c>
      <c r="L489" s="4" t="s">
        <v>451</v>
      </c>
      <c r="M489" s="4" t="s">
        <v>465</v>
      </c>
      <c r="N489" s="4">
        <v>100023092517</v>
      </c>
      <c r="O489" s="4" t="s">
        <v>536</v>
      </c>
      <c r="P489" s="8">
        <v>1</v>
      </c>
      <c r="Q489" s="209">
        <f>Mon_ILR2[[#This Row],[Qty Required]]-Mon_ILR2[[#This Row],[QTY Transfer]]</f>
        <v>0</v>
      </c>
      <c r="R489" s="66" t="s">
        <v>905</v>
      </c>
      <c r="S489" s="66" t="s">
        <v>907</v>
      </c>
      <c r="T489" s="210">
        <f>_xlfn.IFNA(VLOOKUP(Mon_ILR2[[#This Row],[New Model]],PhilipsLibary[],4,FALSE),"0")</f>
        <v>4687.2</v>
      </c>
      <c r="U489" s="210">
        <f>_xlfn.IFNA(VLOOKUP(Mon_ILR2[[#This Row],[New Model]],PhilipsLibary[],5,FALSE),"0")</f>
        <v>0</v>
      </c>
      <c r="V489" s="210">
        <f>_xlfn.IFNA(VLOOKUP(Mon_ILR2[[#This Row],[New Model]],PhilipsLibary[],5,FALSE),"0")</f>
        <v>0</v>
      </c>
      <c r="W489" s="210">
        <v>943.28</v>
      </c>
      <c r="X489" s="8"/>
      <c r="Y489" s="289" t="s">
        <v>2217</v>
      </c>
      <c r="Z489" s="6" t="s">
        <v>453</v>
      </c>
      <c r="AA489" s="6" t="s">
        <v>50</v>
      </c>
      <c r="AB489" s="6" t="s">
        <v>47</v>
      </c>
      <c r="AC489" s="6" t="s">
        <v>48</v>
      </c>
      <c r="AD489" s="6" t="s">
        <v>49</v>
      </c>
      <c r="AE489" s="6" t="s">
        <v>50</v>
      </c>
      <c r="AF489" s="6" t="s">
        <v>50</v>
      </c>
      <c r="AG489" s="6" t="s">
        <v>50</v>
      </c>
      <c r="AH489" s="6" t="s">
        <v>50</v>
      </c>
      <c r="AI489" s="6" t="s">
        <v>50</v>
      </c>
      <c r="AJ489" s="6" t="s">
        <v>50</v>
      </c>
      <c r="AK489" s="6" t="s">
        <v>50</v>
      </c>
      <c r="AL489" s="6" t="s">
        <v>50</v>
      </c>
      <c r="AM489" s="6" t="s">
        <v>50</v>
      </c>
      <c r="AN489" s="6" t="s">
        <v>50</v>
      </c>
      <c r="AO489" s="6" t="s">
        <v>50</v>
      </c>
    </row>
    <row r="490" spans="2:41" ht="165" x14ac:dyDescent="0.25">
      <c r="B490" s="207" t="s">
        <v>591</v>
      </c>
      <c r="C490" s="66" t="s">
        <v>609</v>
      </c>
      <c r="D490" s="4" t="s">
        <v>610</v>
      </c>
      <c r="E490" s="4" t="s">
        <v>1164</v>
      </c>
      <c r="F490" s="4" t="s">
        <v>448</v>
      </c>
      <c r="G490" s="4" t="s">
        <v>449</v>
      </c>
      <c r="H490" s="208">
        <v>1</v>
      </c>
      <c r="I490" s="4"/>
      <c r="J490" s="15" t="s">
        <v>611</v>
      </c>
      <c r="K490" s="4" t="s">
        <v>448</v>
      </c>
      <c r="L490" s="4" t="s">
        <v>451</v>
      </c>
      <c r="M490" s="4" t="s">
        <v>465</v>
      </c>
      <c r="N490" s="4">
        <v>100017242317</v>
      </c>
      <c r="O490" s="4" t="s">
        <v>536</v>
      </c>
      <c r="P490" s="8">
        <v>1</v>
      </c>
      <c r="Q490" s="209">
        <f>Mon_ILR2[[#This Row],[Qty Required]]-Mon_ILR2[[#This Row],[QTY Transfer]]</f>
        <v>0</v>
      </c>
      <c r="R490" s="66" t="s">
        <v>905</v>
      </c>
      <c r="S490" s="66" t="s">
        <v>907</v>
      </c>
      <c r="T490" s="210">
        <f>_xlfn.IFNA(VLOOKUP(Mon_ILR2[[#This Row],[New Model]],PhilipsLibary[],4,FALSE),"0")</f>
        <v>4687.2</v>
      </c>
      <c r="U490" s="210">
        <f>_xlfn.IFNA(VLOOKUP(Mon_ILR2[[#This Row],[New Model]],PhilipsLibary[],5,FALSE),"0")</f>
        <v>0</v>
      </c>
      <c r="V490" s="210">
        <f>_xlfn.IFNA(VLOOKUP(Mon_ILR2[[#This Row],[New Model]],PhilipsLibary[],5,FALSE),"0")</f>
        <v>0</v>
      </c>
      <c r="W490" s="210">
        <v>943.28</v>
      </c>
      <c r="X490" s="8"/>
      <c r="Y490" s="289" t="s">
        <v>2217</v>
      </c>
      <c r="Z490" s="6" t="s">
        <v>453</v>
      </c>
      <c r="AA490" s="6" t="s">
        <v>50</v>
      </c>
      <c r="AB490" s="6" t="s">
        <v>47</v>
      </c>
      <c r="AC490" s="6" t="s">
        <v>48</v>
      </c>
      <c r="AD490" s="6" t="s">
        <v>49</v>
      </c>
      <c r="AE490" s="6" t="s">
        <v>50</v>
      </c>
      <c r="AF490" s="6" t="s">
        <v>50</v>
      </c>
      <c r="AG490" s="6" t="s">
        <v>50</v>
      </c>
      <c r="AH490" s="6" t="s">
        <v>50</v>
      </c>
      <c r="AI490" s="6" t="s">
        <v>50</v>
      </c>
      <c r="AJ490" s="6" t="s">
        <v>50</v>
      </c>
      <c r="AK490" s="6" t="s">
        <v>50</v>
      </c>
      <c r="AL490" s="6" t="s">
        <v>50</v>
      </c>
      <c r="AM490" s="6" t="s">
        <v>50</v>
      </c>
      <c r="AN490" s="6" t="s">
        <v>50</v>
      </c>
      <c r="AO490" s="6" t="s">
        <v>50</v>
      </c>
    </row>
    <row r="491" spans="2:41" ht="165" x14ac:dyDescent="0.25">
      <c r="B491" s="207" t="s">
        <v>591</v>
      </c>
      <c r="C491" s="66" t="s">
        <v>609</v>
      </c>
      <c r="D491" s="4" t="s">
        <v>612</v>
      </c>
      <c r="E491" s="4" t="s">
        <v>1164</v>
      </c>
      <c r="F491" s="4" t="s">
        <v>448</v>
      </c>
      <c r="G491" s="4" t="s">
        <v>449</v>
      </c>
      <c r="H491" s="208">
        <v>1</v>
      </c>
      <c r="I491" s="4"/>
      <c r="J491" s="15" t="s">
        <v>613</v>
      </c>
      <c r="K491" s="4" t="s">
        <v>448</v>
      </c>
      <c r="L491" s="4" t="s">
        <v>451</v>
      </c>
      <c r="M491" s="4" t="s">
        <v>465</v>
      </c>
      <c r="N491" s="4">
        <v>100017242317</v>
      </c>
      <c r="O491" s="4" t="s">
        <v>536</v>
      </c>
      <c r="P491" s="8">
        <v>1</v>
      </c>
      <c r="Q491" s="209">
        <f>Mon_ILR2[[#This Row],[Qty Required]]-Mon_ILR2[[#This Row],[QTY Transfer]]</f>
        <v>0</v>
      </c>
      <c r="R491" s="66" t="s">
        <v>905</v>
      </c>
      <c r="S491" s="66" t="s">
        <v>907</v>
      </c>
      <c r="T491" s="210">
        <f>_xlfn.IFNA(VLOOKUP(Mon_ILR2[[#This Row],[New Model]],PhilipsLibary[],4,FALSE),"0")</f>
        <v>4687.2</v>
      </c>
      <c r="U491" s="210">
        <f>_xlfn.IFNA(VLOOKUP(Mon_ILR2[[#This Row],[New Model]],PhilipsLibary[],5,FALSE),"0")</f>
        <v>0</v>
      </c>
      <c r="V491" s="210">
        <f>_xlfn.IFNA(VLOOKUP(Mon_ILR2[[#This Row],[New Model]],PhilipsLibary[],5,FALSE),"0")</f>
        <v>0</v>
      </c>
      <c r="W491" s="210">
        <v>943.28</v>
      </c>
      <c r="X491" s="8"/>
      <c r="Y491" s="289" t="s">
        <v>2217</v>
      </c>
      <c r="Z491" s="6" t="s">
        <v>453</v>
      </c>
      <c r="AA491" s="6" t="s">
        <v>50</v>
      </c>
      <c r="AB491" s="6" t="s">
        <v>47</v>
      </c>
      <c r="AC491" s="6" t="s">
        <v>48</v>
      </c>
      <c r="AD491" s="6" t="s">
        <v>49</v>
      </c>
      <c r="AE491" s="6" t="s">
        <v>50</v>
      </c>
      <c r="AF491" s="6" t="s">
        <v>50</v>
      </c>
      <c r="AG491" s="6" t="s">
        <v>50</v>
      </c>
      <c r="AH491" s="6" t="s">
        <v>50</v>
      </c>
      <c r="AI491" s="6" t="s">
        <v>50</v>
      </c>
      <c r="AJ491" s="6" t="s">
        <v>50</v>
      </c>
      <c r="AK491" s="6" t="s">
        <v>50</v>
      </c>
      <c r="AL491" s="6" t="s">
        <v>50</v>
      </c>
      <c r="AM491" s="6" t="s">
        <v>50</v>
      </c>
      <c r="AN491" s="6" t="s">
        <v>50</v>
      </c>
      <c r="AO491" s="6" t="s">
        <v>50</v>
      </c>
    </row>
    <row r="492" spans="2:41" ht="165" x14ac:dyDescent="0.25">
      <c r="B492" s="207" t="s">
        <v>35</v>
      </c>
      <c r="C492" s="66" t="s">
        <v>614</v>
      </c>
      <c r="D492" s="4" t="s">
        <v>615</v>
      </c>
      <c r="E492" s="4" t="s">
        <v>1164</v>
      </c>
      <c r="F492" s="4" t="s">
        <v>448</v>
      </c>
      <c r="G492" s="4" t="s">
        <v>449</v>
      </c>
      <c r="H492" s="208">
        <v>1</v>
      </c>
      <c r="I492" s="4"/>
      <c r="J492" s="15" t="s">
        <v>616</v>
      </c>
      <c r="K492" s="4" t="s">
        <v>448</v>
      </c>
      <c r="L492" s="4" t="s">
        <v>451</v>
      </c>
      <c r="M492" s="4" t="s">
        <v>465</v>
      </c>
      <c r="N492" s="4">
        <v>100023162517</v>
      </c>
      <c r="O492" s="4" t="s">
        <v>536</v>
      </c>
      <c r="P492" s="8">
        <v>1</v>
      </c>
      <c r="Q492" s="209">
        <f>Mon_ILR2[[#This Row],[Qty Required]]-Mon_ILR2[[#This Row],[QTY Transfer]]</f>
        <v>0</v>
      </c>
      <c r="R492" s="66" t="s">
        <v>905</v>
      </c>
      <c r="S492" s="66" t="s">
        <v>907</v>
      </c>
      <c r="T492" s="210">
        <f>_xlfn.IFNA(VLOOKUP(Mon_ILR2[[#This Row],[New Model]],PhilipsLibary[],4,FALSE),"0")</f>
        <v>4687.2</v>
      </c>
      <c r="U492" s="210">
        <f>_xlfn.IFNA(VLOOKUP(Mon_ILR2[[#This Row],[New Model]],PhilipsLibary[],5,FALSE),"0")</f>
        <v>0</v>
      </c>
      <c r="V492" s="210">
        <f>_xlfn.IFNA(VLOOKUP(Mon_ILR2[[#This Row],[New Model]],PhilipsLibary[],5,FALSE),"0")</f>
        <v>0</v>
      </c>
      <c r="W492" s="210">
        <v>943.28</v>
      </c>
      <c r="X492" s="8"/>
      <c r="Y492" s="289" t="s">
        <v>2217</v>
      </c>
      <c r="Z492" s="6" t="s">
        <v>453</v>
      </c>
      <c r="AA492" s="6" t="s">
        <v>50</v>
      </c>
      <c r="AB492" s="6" t="s">
        <v>47</v>
      </c>
      <c r="AC492" s="6" t="s">
        <v>48</v>
      </c>
      <c r="AD492" s="6" t="s">
        <v>49</v>
      </c>
      <c r="AE492" s="6" t="s">
        <v>50</v>
      </c>
      <c r="AF492" s="6" t="s">
        <v>50</v>
      </c>
      <c r="AG492" s="6" t="s">
        <v>50</v>
      </c>
      <c r="AH492" s="6" t="s">
        <v>50</v>
      </c>
      <c r="AI492" s="6" t="s">
        <v>50</v>
      </c>
      <c r="AJ492" s="6" t="s">
        <v>50</v>
      </c>
      <c r="AK492" s="6" t="s">
        <v>50</v>
      </c>
      <c r="AL492" s="6" t="s">
        <v>50</v>
      </c>
      <c r="AM492" s="6" t="s">
        <v>50</v>
      </c>
      <c r="AN492" s="6" t="s">
        <v>50</v>
      </c>
      <c r="AO492" s="6" t="s">
        <v>50</v>
      </c>
    </row>
    <row r="493" spans="2:41" ht="165" x14ac:dyDescent="0.25">
      <c r="B493" s="207" t="s">
        <v>35</v>
      </c>
      <c r="C493" s="66" t="s">
        <v>614</v>
      </c>
      <c r="D493" s="4" t="s">
        <v>615</v>
      </c>
      <c r="E493" s="4" t="s">
        <v>1164</v>
      </c>
      <c r="F493" s="4" t="s">
        <v>448</v>
      </c>
      <c r="G493" s="4" t="s">
        <v>449</v>
      </c>
      <c r="H493" s="208">
        <v>1</v>
      </c>
      <c r="I493" s="4"/>
      <c r="J493" s="15" t="s">
        <v>617</v>
      </c>
      <c r="K493" s="4" t="s">
        <v>448</v>
      </c>
      <c r="L493" s="4" t="s">
        <v>451</v>
      </c>
      <c r="M493" s="4" t="s">
        <v>465</v>
      </c>
      <c r="N493" s="4">
        <v>100023162517</v>
      </c>
      <c r="O493" s="4" t="s">
        <v>536</v>
      </c>
      <c r="P493" s="8">
        <v>1</v>
      </c>
      <c r="Q493" s="209">
        <f>Mon_ILR2[[#This Row],[Qty Required]]-Mon_ILR2[[#This Row],[QTY Transfer]]</f>
        <v>0</v>
      </c>
      <c r="R493" s="66" t="s">
        <v>905</v>
      </c>
      <c r="S493" s="66" t="s">
        <v>907</v>
      </c>
      <c r="T493" s="210">
        <f>_xlfn.IFNA(VLOOKUP(Mon_ILR2[[#This Row],[New Model]],PhilipsLibary[],4,FALSE),"0")</f>
        <v>4687.2</v>
      </c>
      <c r="U493" s="210">
        <f>_xlfn.IFNA(VLOOKUP(Mon_ILR2[[#This Row],[New Model]],PhilipsLibary[],5,FALSE),"0")</f>
        <v>0</v>
      </c>
      <c r="V493" s="210">
        <f>_xlfn.IFNA(VLOOKUP(Mon_ILR2[[#This Row],[New Model]],PhilipsLibary[],5,FALSE),"0")</f>
        <v>0</v>
      </c>
      <c r="W493" s="210">
        <v>943.28</v>
      </c>
      <c r="X493" s="8"/>
      <c r="Y493" s="289" t="s">
        <v>2217</v>
      </c>
      <c r="Z493" s="6" t="s">
        <v>453</v>
      </c>
      <c r="AA493" s="6" t="s">
        <v>50</v>
      </c>
      <c r="AB493" s="6" t="s">
        <v>47</v>
      </c>
      <c r="AC493" s="6" t="s">
        <v>48</v>
      </c>
      <c r="AD493" s="6" t="s">
        <v>49</v>
      </c>
      <c r="AE493" s="6" t="s">
        <v>50</v>
      </c>
      <c r="AF493" s="6" t="s">
        <v>50</v>
      </c>
      <c r="AG493" s="6" t="s">
        <v>50</v>
      </c>
      <c r="AH493" s="6" t="s">
        <v>50</v>
      </c>
      <c r="AI493" s="6" t="s">
        <v>50</v>
      </c>
      <c r="AJ493" s="6" t="s">
        <v>50</v>
      </c>
      <c r="AK493" s="6" t="s">
        <v>50</v>
      </c>
      <c r="AL493" s="6" t="s">
        <v>50</v>
      </c>
      <c r="AM493" s="6" t="s">
        <v>50</v>
      </c>
      <c r="AN493" s="6" t="s">
        <v>50</v>
      </c>
      <c r="AO493" s="6" t="s">
        <v>50</v>
      </c>
    </row>
    <row r="494" spans="2:41" ht="165" x14ac:dyDescent="0.25">
      <c r="B494" s="207" t="s">
        <v>35</v>
      </c>
      <c r="C494" s="66" t="s">
        <v>614</v>
      </c>
      <c r="D494" s="4" t="s">
        <v>615</v>
      </c>
      <c r="E494" s="4" t="s">
        <v>1164</v>
      </c>
      <c r="F494" s="4" t="s">
        <v>448</v>
      </c>
      <c r="G494" s="4" t="s">
        <v>449</v>
      </c>
      <c r="H494" s="208">
        <v>1</v>
      </c>
      <c r="I494" s="4"/>
      <c r="J494" s="15" t="s">
        <v>618</v>
      </c>
      <c r="K494" s="4" t="s">
        <v>448</v>
      </c>
      <c r="L494" s="4" t="s">
        <v>451</v>
      </c>
      <c r="M494" s="4" t="s">
        <v>465</v>
      </c>
      <c r="N494" s="4">
        <v>100080061517</v>
      </c>
      <c r="O494" s="4" t="s">
        <v>466</v>
      </c>
      <c r="P494" s="8">
        <v>1</v>
      </c>
      <c r="Q494" s="209">
        <f>Mon_ILR2[[#This Row],[Qty Required]]-Mon_ILR2[[#This Row],[QTY Transfer]]</f>
        <v>0</v>
      </c>
      <c r="R494" s="66" t="s">
        <v>905</v>
      </c>
      <c r="S494" s="66" t="s">
        <v>907</v>
      </c>
      <c r="T494" s="210">
        <f>_xlfn.IFNA(VLOOKUP(Mon_ILR2[[#This Row],[New Model]],PhilipsLibary[],4,FALSE),"0")</f>
        <v>4687.2</v>
      </c>
      <c r="U494" s="210">
        <f>_xlfn.IFNA(VLOOKUP(Mon_ILR2[[#This Row],[New Model]],PhilipsLibary[],5,FALSE),"0")</f>
        <v>0</v>
      </c>
      <c r="V494" s="210">
        <f>_xlfn.IFNA(VLOOKUP(Mon_ILR2[[#This Row],[New Model]],PhilipsLibary[],5,FALSE),"0")</f>
        <v>0</v>
      </c>
      <c r="W494" s="210">
        <v>943.28</v>
      </c>
      <c r="X494" s="8"/>
      <c r="Y494" s="289" t="s">
        <v>2217</v>
      </c>
      <c r="Z494" s="6" t="s">
        <v>453</v>
      </c>
      <c r="AA494" s="6" t="s">
        <v>50</v>
      </c>
      <c r="AB494" s="6" t="s">
        <v>47</v>
      </c>
      <c r="AC494" s="6" t="s">
        <v>48</v>
      </c>
      <c r="AD494" s="6" t="s">
        <v>49</v>
      </c>
      <c r="AE494" s="6" t="s">
        <v>50</v>
      </c>
      <c r="AF494" s="6" t="s">
        <v>50</v>
      </c>
      <c r="AG494" s="6" t="s">
        <v>50</v>
      </c>
      <c r="AH494" s="6" t="s">
        <v>50</v>
      </c>
      <c r="AI494" s="6" t="s">
        <v>50</v>
      </c>
      <c r="AJ494" s="6" t="s">
        <v>50</v>
      </c>
      <c r="AK494" s="6" t="s">
        <v>50</v>
      </c>
      <c r="AL494" s="6" t="s">
        <v>50</v>
      </c>
      <c r="AM494" s="6" t="s">
        <v>50</v>
      </c>
      <c r="AN494" s="6" t="s">
        <v>50</v>
      </c>
      <c r="AO494" s="6" t="s">
        <v>50</v>
      </c>
    </row>
    <row r="495" spans="2:41" ht="165" x14ac:dyDescent="0.25">
      <c r="B495" s="207" t="s">
        <v>35</v>
      </c>
      <c r="C495" s="66" t="s">
        <v>614</v>
      </c>
      <c r="D495" s="4" t="s">
        <v>615</v>
      </c>
      <c r="E495" s="4" t="s">
        <v>1164</v>
      </c>
      <c r="F495" s="4" t="s">
        <v>448</v>
      </c>
      <c r="G495" s="4" t="s">
        <v>449</v>
      </c>
      <c r="H495" s="208">
        <v>1</v>
      </c>
      <c r="I495" s="4"/>
      <c r="J495" s="15" t="s">
        <v>619</v>
      </c>
      <c r="K495" s="4" t="s">
        <v>448</v>
      </c>
      <c r="L495" s="4" t="s">
        <v>451</v>
      </c>
      <c r="M495" s="4" t="s">
        <v>465</v>
      </c>
      <c r="N495" s="4">
        <v>100023152517</v>
      </c>
      <c r="O495" s="4" t="s">
        <v>545</v>
      </c>
      <c r="P495" s="8">
        <v>1</v>
      </c>
      <c r="Q495" s="209">
        <f>Mon_ILR2[[#This Row],[Qty Required]]-Mon_ILR2[[#This Row],[QTY Transfer]]</f>
        <v>0</v>
      </c>
      <c r="R495" s="66" t="s">
        <v>905</v>
      </c>
      <c r="S495" s="66" t="s">
        <v>907</v>
      </c>
      <c r="T495" s="210">
        <f>_xlfn.IFNA(VLOOKUP(Mon_ILR2[[#This Row],[New Model]],PhilipsLibary[],4,FALSE),"0")</f>
        <v>4687.2</v>
      </c>
      <c r="U495" s="210">
        <f>_xlfn.IFNA(VLOOKUP(Mon_ILR2[[#This Row],[New Model]],PhilipsLibary[],5,FALSE),"0")</f>
        <v>0</v>
      </c>
      <c r="V495" s="210">
        <f>_xlfn.IFNA(VLOOKUP(Mon_ILR2[[#This Row],[New Model]],PhilipsLibary[],5,FALSE),"0")</f>
        <v>0</v>
      </c>
      <c r="W495" s="210">
        <v>943.28</v>
      </c>
      <c r="X495" s="8"/>
      <c r="Y495" s="289" t="s">
        <v>2217</v>
      </c>
      <c r="Z495" s="6" t="s">
        <v>453</v>
      </c>
      <c r="AA495" s="6" t="s">
        <v>50</v>
      </c>
      <c r="AB495" s="6" t="s">
        <v>47</v>
      </c>
      <c r="AC495" s="6" t="s">
        <v>48</v>
      </c>
      <c r="AD495" s="6" t="s">
        <v>49</v>
      </c>
      <c r="AE495" s="6" t="s">
        <v>50</v>
      </c>
      <c r="AF495" s="6" t="s">
        <v>50</v>
      </c>
      <c r="AG495" s="6" t="s">
        <v>50</v>
      </c>
      <c r="AH495" s="6" t="s">
        <v>50</v>
      </c>
      <c r="AI495" s="6" t="s">
        <v>50</v>
      </c>
      <c r="AJ495" s="6" t="s">
        <v>50</v>
      </c>
      <c r="AK495" s="6" t="s">
        <v>50</v>
      </c>
      <c r="AL495" s="6" t="s">
        <v>50</v>
      </c>
      <c r="AM495" s="6" t="s">
        <v>50</v>
      </c>
      <c r="AN495" s="6" t="s">
        <v>50</v>
      </c>
      <c r="AO495" s="6" t="s">
        <v>50</v>
      </c>
    </row>
    <row r="496" spans="2:41" ht="165" x14ac:dyDescent="0.25">
      <c r="B496" s="207" t="s">
        <v>620</v>
      </c>
      <c r="C496" s="66" t="s">
        <v>174</v>
      </c>
      <c r="D496" s="4" t="s">
        <v>621</v>
      </c>
      <c r="E496" s="4" t="s">
        <v>1164</v>
      </c>
      <c r="F496" s="4" t="s">
        <v>448</v>
      </c>
      <c r="G496" s="4" t="s">
        <v>449</v>
      </c>
      <c r="H496" s="208">
        <v>1</v>
      </c>
      <c r="I496" s="4"/>
      <c r="J496" s="15" t="s">
        <v>622</v>
      </c>
      <c r="K496" s="4" t="s">
        <v>448</v>
      </c>
      <c r="L496" s="4" t="s">
        <v>451</v>
      </c>
      <c r="M496" s="4" t="s">
        <v>465</v>
      </c>
      <c r="N496" s="4">
        <v>100080201517</v>
      </c>
      <c r="O496" s="4" t="s">
        <v>466</v>
      </c>
      <c r="P496" s="8">
        <v>1</v>
      </c>
      <c r="Q496" s="209">
        <f>Mon_ILR2[[#This Row],[Qty Required]]-Mon_ILR2[[#This Row],[QTY Transfer]]</f>
        <v>0</v>
      </c>
      <c r="R496" s="66" t="s">
        <v>905</v>
      </c>
      <c r="S496" s="66" t="s">
        <v>907</v>
      </c>
      <c r="T496" s="210">
        <f>_xlfn.IFNA(VLOOKUP(Mon_ILR2[[#This Row],[New Model]],PhilipsLibary[],4,FALSE),"0")</f>
        <v>4687.2</v>
      </c>
      <c r="U496" s="210">
        <f>_xlfn.IFNA(VLOOKUP(Mon_ILR2[[#This Row],[New Model]],PhilipsLibary[],5,FALSE),"0")</f>
        <v>0</v>
      </c>
      <c r="V496" s="210">
        <f>_xlfn.IFNA(VLOOKUP(Mon_ILR2[[#This Row],[New Model]],PhilipsLibary[],5,FALSE),"0")</f>
        <v>0</v>
      </c>
      <c r="W496" s="210">
        <v>943.28</v>
      </c>
      <c r="X496" s="8"/>
      <c r="Y496" s="289" t="s">
        <v>2217</v>
      </c>
      <c r="Z496" s="6" t="s">
        <v>453</v>
      </c>
      <c r="AA496" s="6" t="s">
        <v>50</v>
      </c>
      <c r="AB496" s="6" t="s">
        <v>47</v>
      </c>
      <c r="AC496" s="6" t="s">
        <v>48</v>
      </c>
      <c r="AD496" s="6" t="s">
        <v>49</v>
      </c>
      <c r="AE496" s="6" t="s">
        <v>50</v>
      </c>
      <c r="AF496" s="6" t="s">
        <v>50</v>
      </c>
      <c r="AG496" s="6" t="s">
        <v>50</v>
      </c>
      <c r="AH496" s="6" t="s">
        <v>50</v>
      </c>
      <c r="AI496" s="6" t="s">
        <v>50</v>
      </c>
      <c r="AJ496" s="6" t="s">
        <v>50</v>
      </c>
      <c r="AK496" s="6" t="s">
        <v>50</v>
      </c>
      <c r="AL496" s="6" t="s">
        <v>50</v>
      </c>
      <c r="AM496" s="6" t="s">
        <v>50</v>
      </c>
      <c r="AN496" s="6" t="s">
        <v>50</v>
      </c>
      <c r="AO496" s="6" t="s">
        <v>50</v>
      </c>
    </row>
    <row r="497" spans="2:41" ht="165" x14ac:dyDescent="0.25">
      <c r="B497" s="207" t="s">
        <v>620</v>
      </c>
      <c r="C497" s="66" t="s">
        <v>174</v>
      </c>
      <c r="D497" s="4" t="s">
        <v>621</v>
      </c>
      <c r="E497" s="4" t="s">
        <v>1164</v>
      </c>
      <c r="F497" s="4" t="s">
        <v>448</v>
      </c>
      <c r="G497" s="4" t="s">
        <v>449</v>
      </c>
      <c r="H497" s="208">
        <v>1</v>
      </c>
      <c r="I497" s="4"/>
      <c r="J497" s="15" t="s">
        <v>623</v>
      </c>
      <c r="K497" s="4" t="s">
        <v>448</v>
      </c>
      <c r="L497" s="4" t="s">
        <v>451</v>
      </c>
      <c r="M497" s="4" t="s">
        <v>465</v>
      </c>
      <c r="N497" s="4">
        <v>0</v>
      </c>
      <c r="O497" s="4" t="s">
        <v>514</v>
      </c>
      <c r="P497" s="8">
        <v>1</v>
      </c>
      <c r="Q497" s="209">
        <f>Mon_ILR2[[#This Row],[Qty Required]]-Mon_ILR2[[#This Row],[QTY Transfer]]</f>
        <v>0</v>
      </c>
      <c r="R497" s="66" t="s">
        <v>905</v>
      </c>
      <c r="S497" s="66" t="s">
        <v>907</v>
      </c>
      <c r="T497" s="210">
        <f>_xlfn.IFNA(VLOOKUP(Mon_ILR2[[#This Row],[New Model]],PhilipsLibary[],4,FALSE),"0")</f>
        <v>4687.2</v>
      </c>
      <c r="U497" s="210">
        <f>_xlfn.IFNA(VLOOKUP(Mon_ILR2[[#This Row],[New Model]],PhilipsLibary[],5,FALSE),"0")</f>
        <v>0</v>
      </c>
      <c r="V497" s="210">
        <f>_xlfn.IFNA(VLOOKUP(Mon_ILR2[[#This Row],[New Model]],PhilipsLibary[],5,FALSE),"0")</f>
        <v>0</v>
      </c>
      <c r="W497" s="210">
        <v>943.28</v>
      </c>
      <c r="X497" s="8"/>
      <c r="Y497" s="289" t="s">
        <v>2217</v>
      </c>
      <c r="Z497" s="6" t="s">
        <v>453</v>
      </c>
      <c r="AA497" s="6" t="s">
        <v>50</v>
      </c>
      <c r="AB497" s="6" t="s">
        <v>47</v>
      </c>
      <c r="AC497" s="6" t="s">
        <v>48</v>
      </c>
      <c r="AD497" s="6" t="s">
        <v>49</v>
      </c>
      <c r="AE497" s="6" t="s">
        <v>50</v>
      </c>
      <c r="AF497" s="6" t="s">
        <v>50</v>
      </c>
      <c r="AG497" s="6" t="s">
        <v>50</v>
      </c>
      <c r="AH497" s="6" t="s">
        <v>50</v>
      </c>
      <c r="AI497" s="6" t="s">
        <v>50</v>
      </c>
      <c r="AJ497" s="6" t="s">
        <v>50</v>
      </c>
      <c r="AK497" s="6" t="s">
        <v>50</v>
      </c>
      <c r="AL497" s="6" t="s">
        <v>50</v>
      </c>
      <c r="AM497" s="6" t="s">
        <v>50</v>
      </c>
      <c r="AN497" s="6" t="s">
        <v>50</v>
      </c>
      <c r="AO497" s="6" t="s">
        <v>50</v>
      </c>
    </row>
    <row r="498" spans="2:41" ht="165" x14ac:dyDescent="0.25">
      <c r="B498" s="207" t="s">
        <v>620</v>
      </c>
      <c r="C498" s="66" t="s">
        <v>174</v>
      </c>
      <c r="D498" s="4" t="s">
        <v>621</v>
      </c>
      <c r="E498" s="4" t="s">
        <v>1164</v>
      </c>
      <c r="F498" s="4" t="s">
        <v>448</v>
      </c>
      <c r="G498" s="4" t="s">
        <v>449</v>
      </c>
      <c r="H498" s="208">
        <v>1</v>
      </c>
      <c r="I498" s="4"/>
      <c r="J498" s="15" t="s">
        <v>624</v>
      </c>
      <c r="K498" s="4" t="s">
        <v>448</v>
      </c>
      <c r="L498" s="4" t="s">
        <v>451</v>
      </c>
      <c r="M498" s="4" t="s">
        <v>465</v>
      </c>
      <c r="N498" s="4">
        <v>0</v>
      </c>
      <c r="O498" s="4" t="s">
        <v>514</v>
      </c>
      <c r="P498" s="8">
        <v>1</v>
      </c>
      <c r="Q498" s="209">
        <f>Mon_ILR2[[#This Row],[Qty Required]]-Mon_ILR2[[#This Row],[QTY Transfer]]</f>
        <v>0</v>
      </c>
      <c r="R498" s="66" t="s">
        <v>905</v>
      </c>
      <c r="S498" s="66" t="s">
        <v>907</v>
      </c>
      <c r="T498" s="210">
        <f>_xlfn.IFNA(VLOOKUP(Mon_ILR2[[#This Row],[New Model]],PhilipsLibary[],4,FALSE),"0")</f>
        <v>4687.2</v>
      </c>
      <c r="U498" s="210">
        <f>_xlfn.IFNA(VLOOKUP(Mon_ILR2[[#This Row],[New Model]],PhilipsLibary[],5,FALSE),"0")</f>
        <v>0</v>
      </c>
      <c r="V498" s="210">
        <f>_xlfn.IFNA(VLOOKUP(Mon_ILR2[[#This Row],[New Model]],PhilipsLibary[],5,FALSE),"0")</f>
        <v>0</v>
      </c>
      <c r="W498" s="210">
        <v>943.28</v>
      </c>
      <c r="X498" s="8"/>
      <c r="Y498" s="289" t="s">
        <v>2217</v>
      </c>
      <c r="Z498" s="6" t="s">
        <v>453</v>
      </c>
      <c r="AA498" s="6" t="s">
        <v>50</v>
      </c>
      <c r="AB498" s="6" t="s">
        <v>47</v>
      </c>
      <c r="AC498" s="6" t="s">
        <v>48</v>
      </c>
      <c r="AD498" s="6" t="s">
        <v>49</v>
      </c>
      <c r="AE498" s="6" t="s">
        <v>50</v>
      </c>
      <c r="AF498" s="6" t="s">
        <v>50</v>
      </c>
      <c r="AG498" s="6" t="s">
        <v>50</v>
      </c>
      <c r="AH498" s="6" t="s">
        <v>50</v>
      </c>
      <c r="AI498" s="6" t="s">
        <v>50</v>
      </c>
      <c r="AJ498" s="6" t="s">
        <v>50</v>
      </c>
      <c r="AK498" s="6" t="s">
        <v>50</v>
      </c>
      <c r="AL498" s="6" t="s">
        <v>50</v>
      </c>
      <c r="AM498" s="6" t="s">
        <v>50</v>
      </c>
      <c r="AN498" s="6" t="s">
        <v>50</v>
      </c>
      <c r="AO498" s="6" t="s">
        <v>50</v>
      </c>
    </row>
    <row r="499" spans="2:41" ht="165" x14ac:dyDescent="0.25">
      <c r="B499" s="207" t="s">
        <v>620</v>
      </c>
      <c r="C499" s="66" t="s">
        <v>174</v>
      </c>
      <c r="D499" s="4" t="s">
        <v>621</v>
      </c>
      <c r="E499" s="4" t="s">
        <v>1164</v>
      </c>
      <c r="F499" s="4" t="s">
        <v>448</v>
      </c>
      <c r="G499" s="4" t="s">
        <v>449</v>
      </c>
      <c r="H499" s="208">
        <v>1</v>
      </c>
      <c r="I499" s="4"/>
      <c r="J499" s="15" t="s">
        <v>625</v>
      </c>
      <c r="K499" s="4" t="s">
        <v>448</v>
      </c>
      <c r="L499" s="4" t="s">
        <v>451</v>
      </c>
      <c r="M499" s="4" t="s">
        <v>465</v>
      </c>
      <c r="N499" s="4">
        <v>0</v>
      </c>
      <c r="O499" s="4" t="s">
        <v>514</v>
      </c>
      <c r="P499" s="8">
        <v>1</v>
      </c>
      <c r="Q499" s="209">
        <f>Mon_ILR2[[#This Row],[Qty Required]]-Mon_ILR2[[#This Row],[QTY Transfer]]</f>
        <v>0</v>
      </c>
      <c r="R499" s="66" t="s">
        <v>905</v>
      </c>
      <c r="S499" s="66" t="s">
        <v>907</v>
      </c>
      <c r="T499" s="210">
        <f>_xlfn.IFNA(VLOOKUP(Mon_ILR2[[#This Row],[New Model]],PhilipsLibary[],4,FALSE),"0")</f>
        <v>4687.2</v>
      </c>
      <c r="U499" s="210">
        <f>_xlfn.IFNA(VLOOKUP(Mon_ILR2[[#This Row],[New Model]],PhilipsLibary[],5,FALSE),"0")</f>
        <v>0</v>
      </c>
      <c r="V499" s="210">
        <f>_xlfn.IFNA(VLOOKUP(Mon_ILR2[[#This Row],[New Model]],PhilipsLibary[],5,FALSE),"0")</f>
        <v>0</v>
      </c>
      <c r="W499" s="210">
        <v>943.28</v>
      </c>
      <c r="X499" s="8"/>
      <c r="Y499" s="289" t="s">
        <v>2217</v>
      </c>
      <c r="Z499" s="6" t="s">
        <v>453</v>
      </c>
      <c r="AA499" s="6" t="s">
        <v>50</v>
      </c>
      <c r="AB499" s="6" t="s">
        <v>47</v>
      </c>
      <c r="AC499" s="6" t="s">
        <v>48</v>
      </c>
      <c r="AD499" s="6" t="s">
        <v>49</v>
      </c>
      <c r="AE499" s="6" t="s">
        <v>50</v>
      </c>
      <c r="AF499" s="6" t="s">
        <v>50</v>
      </c>
      <c r="AG499" s="6" t="s">
        <v>50</v>
      </c>
      <c r="AH499" s="6" t="s">
        <v>50</v>
      </c>
      <c r="AI499" s="6" t="s">
        <v>50</v>
      </c>
      <c r="AJ499" s="6" t="s">
        <v>50</v>
      </c>
      <c r="AK499" s="6" t="s">
        <v>50</v>
      </c>
      <c r="AL499" s="6" t="s">
        <v>50</v>
      </c>
      <c r="AM499" s="6" t="s">
        <v>50</v>
      </c>
      <c r="AN499" s="6" t="s">
        <v>50</v>
      </c>
      <c r="AO499" s="6" t="s">
        <v>50</v>
      </c>
    </row>
    <row r="500" spans="2:41" ht="165" x14ac:dyDescent="0.25">
      <c r="B500" s="207" t="s">
        <v>620</v>
      </c>
      <c r="C500" s="66" t="s">
        <v>174</v>
      </c>
      <c r="D500" s="4" t="s">
        <v>621</v>
      </c>
      <c r="E500" s="4" t="s">
        <v>1164</v>
      </c>
      <c r="F500" s="4" t="s">
        <v>448</v>
      </c>
      <c r="G500" s="4" t="s">
        <v>449</v>
      </c>
      <c r="H500" s="208">
        <v>1</v>
      </c>
      <c r="I500" s="4"/>
      <c r="J500" s="15" t="s">
        <v>626</v>
      </c>
      <c r="K500" s="4" t="s">
        <v>448</v>
      </c>
      <c r="L500" s="4" t="s">
        <v>451</v>
      </c>
      <c r="M500" s="4" t="s">
        <v>465</v>
      </c>
      <c r="N500" s="4">
        <v>0</v>
      </c>
      <c r="O500" s="4" t="s">
        <v>469</v>
      </c>
      <c r="P500" s="8">
        <v>1</v>
      </c>
      <c r="Q500" s="209">
        <f>Mon_ILR2[[#This Row],[Qty Required]]-Mon_ILR2[[#This Row],[QTY Transfer]]</f>
        <v>0</v>
      </c>
      <c r="R500" s="66" t="s">
        <v>905</v>
      </c>
      <c r="S500" s="66" t="s">
        <v>907</v>
      </c>
      <c r="T500" s="210">
        <f>_xlfn.IFNA(VLOOKUP(Mon_ILR2[[#This Row],[New Model]],PhilipsLibary[],4,FALSE),"0")</f>
        <v>4687.2</v>
      </c>
      <c r="U500" s="210">
        <f>_xlfn.IFNA(VLOOKUP(Mon_ILR2[[#This Row],[New Model]],PhilipsLibary[],5,FALSE),"0")</f>
        <v>0</v>
      </c>
      <c r="V500" s="210">
        <f>_xlfn.IFNA(VLOOKUP(Mon_ILR2[[#This Row],[New Model]],PhilipsLibary[],5,FALSE),"0")</f>
        <v>0</v>
      </c>
      <c r="W500" s="210">
        <v>943.28</v>
      </c>
      <c r="X500" s="8"/>
      <c r="Y500" s="289" t="s">
        <v>2217</v>
      </c>
      <c r="Z500" s="6" t="s">
        <v>453</v>
      </c>
      <c r="AA500" s="6" t="s">
        <v>50</v>
      </c>
      <c r="AB500" s="6" t="s">
        <v>47</v>
      </c>
      <c r="AC500" s="6" t="s">
        <v>48</v>
      </c>
      <c r="AD500" s="6" t="s">
        <v>49</v>
      </c>
      <c r="AE500" s="6" t="s">
        <v>50</v>
      </c>
      <c r="AF500" s="6" t="s">
        <v>50</v>
      </c>
      <c r="AG500" s="6" t="s">
        <v>50</v>
      </c>
      <c r="AH500" s="6" t="s">
        <v>50</v>
      </c>
      <c r="AI500" s="6" t="s">
        <v>50</v>
      </c>
      <c r="AJ500" s="6" t="s">
        <v>50</v>
      </c>
      <c r="AK500" s="6" t="s">
        <v>50</v>
      </c>
      <c r="AL500" s="6" t="s">
        <v>50</v>
      </c>
      <c r="AM500" s="6" t="s">
        <v>50</v>
      </c>
      <c r="AN500" s="6" t="s">
        <v>50</v>
      </c>
      <c r="AO500" s="6" t="s">
        <v>50</v>
      </c>
    </row>
    <row r="501" spans="2:41" ht="165" x14ac:dyDescent="0.25">
      <c r="B501" s="207" t="s">
        <v>620</v>
      </c>
      <c r="C501" s="66" t="s">
        <v>174</v>
      </c>
      <c r="D501" s="4" t="s">
        <v>621</v>
      </c>
      <c r="E501" s="4" t="s">
        <v>1164</v>
      </c>
      <c r="F501" s="4" t="s">
        <v>448</v>
      </c>
      <c r="G501" s="4" t="s">
        <v>449</v>
      </c>
      <c r="H501" s="208">
        <v>1</v>
      </c>
      <c r="I501" s="4"/>
      <c r="J501" s="15" t="s">
        <v>627</v>
      </c>
      <c r="K501" s="4" t="s">
        <v>448</v>
      </c>
      <c r="L501" s="4" t="s">
        <v>451</v>
      </c>
      <c r="M501" s="4" t="s">
        <v>465</v>
      </c>
      <c r="N501" s="4">
        <v>0</v>
      </c>
      <c r="O501" s="4" t="s">
        <v>628</v>
      </c>
      <c r="P501" s="8">
        <v>1</v>
      </c>
      <c r="Q501" s="209">
        <f>Mon_ILR2[[#This Row],[Qty Required]]-Mon_ILR2[[#This Row],[QTY Transfer]]</f>
        <v>0</v>
      </c>
      <c r="R501" s="66" t="s">
        <v>905</v>
      </c>
      <c r="S501" s="66" t="s">
        <v>907</v>
      </c>
      <c r="T501" s="210">
        <f>_xlfn.IFNA(VLOOKUP(Mon_ILR2[[#This Row],[New Model]],PhilipsLibary[],4,FALSE),"0")</f>
        <v>4687.2</v>
      </c>
      <c r="U501" s="210">
        <f>_xlfn.IFNA(VLOOKUP(Mon_ILR2[[#This Row],[New Model]],PhilipsLibary[],5,FALSE),"0")</f>
        <v>0</v>
      </c>
      <c r="V501" s="210">
        <f>_xlfn.IFNA(VLOOKUP(Mon_ILR2[[#This Row],[New Model]],PhilipsLibary[],5,FALSE),"0")</f>
        <v>0</v>
      </c>
      <c r="W501" s="210">
        <v>943.28</v>
      </c>
      <c r="X501" s="8"/>
      <c r="Y501" s="289" t="s">
        <v>2217</v>
      </c>
      <c r="Z501" s="6" t="s">
        <v>453</v>
      </c>
      <c r="AA501" s="6" t="s">
        <v>50</v>
      </c>
      <c r="AB501" s="6" t="s">
        <v>47</v>
      </c>
      <c r="AC501" s="6" t="s">
        <v>48</v>
      </c>
      <c r="AD501" s="6" t="s">
        <v>49</v>
      </c>
      <c r="AE501" s="6" t="s">
        <v>50</v>
      </c>
      <c r="AF501" s="6" t="s">
        <v>50</v>
      </c>
      <c r="AG501" s="6" t="s">
        <v>50</v>
      </c>
      <c r="AH501" s="6" t="s">
        <v>50</v>
      </c>
      <c r="AI501" s="6" t="s">
        <v>50</v>
      </c>
      <c r="AJ501" s="6" t="s">
        <v>50</v>
      </c>
      <c r="AK501" s="6" t="s">
        <v>50</v>
      </c>
      <c r="AL501" s="6" t="s">
        <v>50</v>
      </c>
      <c r="AM501" s="6" t="s">
        <v>50</v>
      </c>
      <c r="AN501" s="6" t="s">
        <v>50</v>
      </c>
      <c r="AO501" s="6" t="s">
        <v>50</v>
      </c>
    </row>
    <row r="502" spans="2:41" ht="165" x14ac:dyDescent="0.25">
      <c r="B502" s="207" t="s">
        <v>620</v>
      </c>
      <c r="C502" s="66" t="s">
        <v>174</v>
      </c>
      <c r="D502" s="4" t="s">
        <v>621</v>
      </c>
      <c r="E502" s="4" t="s">
        <v>1164</v>
      </c>
      <c r="F502" s="4" t="s">
        <v>448</v>
      </c>
      <c r="G502" s="4" t="s">
        <v>449</v>
      </c>
      <c r="H502" s="208">
        <v>1</v>
      </c>
      <c r="I502" s="4"/>
      <c r="J502" s="15" t="s">
        <v>629</v>
      </c>
      <c r="K502" s="4" t="s">
        <v>448</v>
      </c>
      <c r="L502" s="4" t="s">
        <v>451</v>
      </c>
      <c r="M502" s="4" t="s">
        <v>465</v>
      </c>
      <c r="N502" s="4">
        <v>0</v>
      </c>
      <c r="O502" s="4" t="s">
        <v>628</v>
      </c>
      <c r="P502" s="8">
        <v>1</v>
      </c>
      <c r="Q502" s="209">
        <f>Mon_ILR2[[#This Row],[Qty Required]]-Mon_ILR2[[#This Row],[QTY Transfer]]</f>
        <v>0</v>
      </c>
      <c r="R502" s="66" t="s">
        <v>905</v>
      </c>
      <c r="S502" s="66" t="s">
        <v>907</v>
      </c>
      <c r="T502" s="210">
        <f>_xlfn.IFNA(VLOOKUP(Mon_ILR2[[#This Row],[New Model]],PhilipsLibary[],4,FALSE),"0")</f>
        <v>4687.2</v>
      </c>
      <c r="U502" s="210">
        <f>_xlfn.IFNA(VLOOKUP(Mon_ILR2[[#This Row],[New Model]],PhilipsLibary[],5,FALSE),"0")</f>
        <v>0</v>
      </c>
      <c r="V502" s="210">
        <f>_xlfn.IFNA(VLOOKUP(Mon_ILR2[[#This Row],[New Model]],PhilipsLibary[],5,FALSE),"0")</f>
        <v>0</v>
      </c>
      <c r="W502" s="210">
        <v>943.28</v>
      </c>
      <c r="X502" s="8"/>
      <c r="Y502" s="289" t="s">
        <v>2217</v>
      </c>
      <c r="Z502" s="6" t="s">
        <v>453</v>
      </c>
      <c r="AA502" s="6" t="s">
        <v>50</v>
      </c>
      <c r="AB502" s="6" t="s">
        <v>47</v>
      </c>
      <c r="AC502" s="6" t="s">
        <v>48</v>
      </c>
      <c r="AD502" s="6" t="s">
        <v>49</v>
      </c>
      <c r="AE502" s="6" t="s">
        <v>50</v>
      </c>
      <c r="AF502" s="6" t="s">
        <v>50</v>
      </c>
      <c r="AG502" s="6" t="s">
        <v>50</v>
      </c>
      <c r="AH502" s="6" t="s">
        <v>50</v>
      </c>
      <c r="AI502" s="6" t="s">
        <v>50</v>
      </c>
      <c r="AJ502" s="6" t="s">
        <v>50</v>
      </c>
      <c r="AK502" s="6" t="s">
        <v>50</v>
      </c>
      <c r="AL502" s="6" t="s">
        <v>50</v>
      </c>
      <c r="AM502" s="6" t="s">
        <v>50</v>
      </c>
      <c r="AN502" s="6" t="s">
        <v>50</v>
      </c>
      <c r="AO502" s="6" t="s">
        <v>50</v>
      </c>
    </row>
    <row r="503" spans="2:41" ht="165" x14ac:dyDescent="0.25">
      <c r="B503" s="207" t="s">
        <v>620</v>
      </c>
      <c r="C503" s="66" t="s">
        <v>174</v>
      </c>
      <c r="D503" s="4" t="s">
        <v>621</v>
      </c>
      <c r="E503" s="4" t="s">
        <v>1164</v>
      </c>
      <c r="F503" s="4" t="s">
        <v>448</v>
      </c>
      <c r="G503" s="4" t="s">
        <v>449</v>
      </c>
      <c r="H503" s="208">
        <v>1</v>
      </c>
      <c r="I503" s="4"/>
      <c r="J503" s="15" t="s">
        <v>630</v>
      </c>
      <c r="K503" s="4" t="s">
        <v>448</v>
      </c>
      <c r="L503" s="4" t="s">
        <v>451</v>
      </c>
      <c r="M503" s="4" t="s">
        <v>465</v>
      </c>
      <c r="N503" s="4">
        <v>0</v>
      </c>
      <c r="O503" s="4" t="s">
        <v>505</v>
      </c>
      <c r="P503" s="8">
        <v>1</v>
      </c>
      <c r="Q503" s="209">
        <f>Mon_ILR2[[#This Row],[Qty Required]]-Mon_ILR2[[#This Row],[QTY Transfer]]</f>
        <v>0</v>
      </c>
      <c r="R503" s="66" t="s">
        <v>905</v>
      </c>
      <c r="S503" s="66" t="s">
        <v>907</v>
      </c>
      <c r="T503" s="210">
        <f>_xlfn.IFNA(VLOOKUP(Mon_ILR2[[#This Row],[New Model]],PhilipsLibary[],4,FALSE),"0")</f>
        <v>4687.2</v>
      </c>
      <c r="U503" s="210">
        <f>_xlfn.IFNA(VLOOKUP(Mon_ILR2[[#This Row],[New Model]],PhilipsLibary[],5,FALSE),"0")</f>
        <v>0</v>
      </c>
      <c r="V503" s="210">
        <f>_xlfn.IFNA(VLOOKUP(Mon_ILR2[[#This Row],[New Model]],PhilipsLibary[],5,FALSE),"0")</f>
        <v>0</v>
      </c>
      <c r="W503" s="210">
        <v>943.28</v>
      </c>
      <c r="X503" s="8"/>
      <c r="Y503" s="289" t="s">
        <v>2217</v>
      </c>
      <c r="Z503" s="6" t="s">
        <v>453</v>
      </c>
      <c r="AA503" s="6" t="s">
        <v>50</v>
      </c>
      <c r="AB503" s="6" t="s">
        <v>47</v>
      </c>
      <c r="AC503" s="6" t="s">
        <v>48</v>
      </c>
      <c r="AD503" s="6" t="s">
        <v>49</v>
      </c>
      <c r="AE503" s="6" t="s">
        <v>50</v>
      </c>
      <c r="AF503" s="6" t="s">
        <v>50</v>
      </c>
      <c r="AG503" s="6" t="s">
        <v>50</v>
      </c>
      <c r="AH503" s="6" t="s">
        <v>50</v>
      </c>
      <c r="AI503" s="6" t="s">
        <v>50</v>
      </c>
      <c r="AJ503" s="6" t="s">
        <v>50</v>
      </c>
      <c r="AK503" s="6" t="s">
        <v>50</v>
      </c>
      <c r="AL503" s="6" t="s">
        <v>50</v>
      </c>
      <c r="AM503" s="6" t="s">
        <v>50</v>
      </c>
      <c r="AN503" s="6" t="s">
        <v>50</v>
      </c>
      <c r="AO503" s="6" t="s">
        <v>50</v>
      </c>
    </row>
    <row r="504" spans="2:41" ht="165" x14ac:dyDescent="0.25">
      <c r="B504" s="207" t="s">
        <v>620</v>
      </c>
      <c r="C504" s="66" t="s">
        <v>174</v>
      </c>
      <c r="D504" s="4" t="s">
        <v>621</v>
      </c>
      <c r="E504" s="4" t="s">
        <v>1164</v>
      </c>
      <c r="F504" s="4" t="s">
        <v>448</v>
      </c>
      <c r="G504" s="4" t="s">
        <v>449</v>
      </c>
      <c r="H504" s="208">
        <v>1</v>
      </c>
      <c r="I504" s="4"/>
      <c r="J504" s="15" t="s">
        <v>631</v>
      </c>
      <c r="K504" s="4" t="s">
        <v>448</v>
      </c>
      <c r="L504" s="4" t="s">
        <v>451</v>
      </c>
      <c r="M504" s="4" t="s">
        <v>465</v>
      </c>
      <c r="N504" s="4">
        <v>0</v>
      </c>
      <c r="O504" s="4" t="s">
        <v>514</v>
      </c>
      <c r="P504" s="8">
        <v>1</v>
      </c>
      <c r="Q504" s="209">
        <f>Mon_ILR2[[#This Row],[Qty Required]]-Mon_ILR2[[#This Row],[QTY Transfer]]</f>
        <v>0</v>
      </c>
      <c r="R504" s="66" t="s">
        <v>905</v>
      </c>
      <c r="S504" s="66" t="s">
        <v>907</v>
      </c>
      <c r="T504" s="210">
        <f>_xlfn.IFNA(VLOOKUP(Mon_ILR2[[#This Row],[New Model]],PhilipsLibary[],4,FALSE),"0")</f>
        <v>4687.2</v>
      </c>
      <c r="U504" s="210">
        <f>_xlfn.IFNA(VLOOKUP(Mon_ILR2[[#This Row],[New Model]],PhilipsLibary[],5,FALSE),"0")</f>
        <v>0</v>
      </c>
      <c r="V504" s="210">
        <f>_xlfn.IFNA(VLOOKUP(Mon_ILR2[[#This Row],[New Model]],PhilipsLibary[],5,FALSE),"0")</f>
        <v>0</v>
      </c>
      <c r="W504" s="210">
        <v>943.28</v>
      </c>
      <c r="X504" s="8"/>
      <c r="Y504" s="289" t="s">
        <v>2217</v>
      </c>
      <c r="Z504" s="6" t="s">
        <v>453</v>
      </c>
      <c r="AA504" s="6" t="s">
        <v>50</v>
      </c>
      <c r="AB504" s="6" t="s">
        <v>47</v>
      </c>
      <c r="AC504" s="6" t="s">
        <v>48</v>
      </c>
      <c r="AD504" s="6" t="s">
        <v>49</v>
      </c>
      <c r="AE504" s="6" t="s">
        <v>50</v>
      </c>
      <c r="AF504" s="6" t="s">
        <v>50</v>
      </c>
      <c r="AG504" s="6" t="s">
        <v>50</v>
      </c>
      <c r="AH504" s="6" t="s">
        <v>50</v>
      </c>
      <c r="AI504" s="6" t="s">
        <v>50</v>
      </c>
      <c r="AJ504" s="6" t="s">
        <v>50</v>
      </c>
      <c r="AK504" s="6" t="s">
        <v>50</v>
      </c>
      <c r="AL504" s="6" t="s">
        <v>50</v>
      </c>
      <c r="AM504" s="6" t="s">
        <v>50</v>
      </c>
      <c r="AN504" s="6" t="s">
        <v>50</v>
      </c>
      <c r="AO504" s="6" t="s">
        <v>50</v>
      </c>
    </row>
    <row r="505" spans="2:41" ht="184.5" customHeight="1" x14ac:dyDescent="0.25">
      <c r="B505" s="207" t="s">
        <v>632</v>
      </c>
      <c r="C505" s="66" t="s">
        <v>462</v>
      </c>
      <c r="D505" s="4" t="s">
        <v>633</v>
      </c>
      <c r="E505" s="4" t="s">
        <v>1164</v>
      </c>
      <c r="F505" s="4" t="s">
        <v>448</v>
      </c>
      <c r="G505" s="4" t="s">
        <v>449</v>
      </c>
      <c r="H505" s="208">
        <v>1</v>
      </c>
      <c r="I505" s="4"/>
      <c r="J505" s="15" t="s">
        <v>634</v>
      </c>
      <c r="K505" s="4" t="s">
        <v>448</v>
      </c>
      <c r="L505" s="4" t="s">
        <v>451</v>
      </c>
      <c r="M505" s="4" t="s">
        <v>452</v>
      </c>
      <c r="N505" s="4">
        <v>201628860</v>
      </c>
      <c r="O505" s="4" t="s">
        <v>190</v>
      </c>
      <c r="P505" s="8">
        <v>1</v>
      </c>
      <c r="Q505" s="209">
        <f>Mon_ILR2[[#This Row],[Qty Required]]-Mon_ILR2[[#This Row],[QTY Transfer]]</f>
        <v>0</v>
      </c>
      <c r="R505" s="66" t="s">
        <v>905</v>
      </c>
      <c r="S505" s="66" t="s">
        <v>907</v>
      </c>
      <c r="T505" s="210">
        <f>_xlfn.IFNA(VLOOKUP(Mon_ILR2[[#This Row],[New Model]],PhilipsLibary[],4,FALSE),"0")</f>
        <v>4687.2</v>
      </c>
      <c r="U505" s="210">
        <f>_xlfn.IFNA(VLOOKUP(Mon_ILR2[[#This Row],[New Model]],PhilipsLibary[],5,FALSE),"0")</f>
        <v>0</v>
      </c>
      <c r="V505" s="210">
        <f>_xlfn.IFNA(VLOOKUP(Mon_ILR2[[#This Row],[New Model]],PhilipsLibary[],5,FALSE),"0")</f>
        <v>0</v>
      </c>
      <c r="W505" s="210">
        <v>943.28</v>
      </c>
      <c r="X505" s="8"/>
      <c r="Y505" s="289" t="s">
        <v>2217</v>
      </c>
      <c r="Z505" s="6" t="s">
        <v>453</v>
      </c>
      <c r="AA505" s="6" t="s">
        <v>50</v>
      </c>
      <c r="AB505" s="6" t="s">
        <v>47</v>
      </c>
      <c r="AC505" s="6" t="s">
        <v>48</v>
      </c>
      <c r="AD505" s="6" t="s">
        <v>49</v>
      </c>
      <c r="AE505" s="6" t="s">
        <v>50</v>
      </c>
      <c r="AF505" s="6" t="s">
        <v>50</v>
      </c>
      <c r="AG505" s="6" t="s">
        <v>50</v>
      </c>
      <c r="AH505" s="6" t="s">
        <v>50</v>
      </c>
      <c r="AI505" s="6" t="s">
        <v>50</v>
      </c>
      <c r="AJ505" s="6" t="s">
        <v>50</v>
      </c>
      <c r="AK505" s="6" t="s">
        <v>50</v>
      </c>
      <c r="AL505" s="6" t="s">
        <v>50</v>
      </c>
      <c r="AM505" s="6" t="s">
        <v>50</v>
      </c>
      <c r="AN505" s="6" t="s">
        <v>50</v>
      </c>
      <c r="AO505" s="6" t="s">
        <v>50</v>
      </c>
    </row>
    <row r="506" spans="2:41" ht="165" x14ac:dyDescent="0.25">
      <c r="B506" s="207" t="s">
        <v>632</v>
      </c>
      <c r="C506" s="66" t="s">
        <v>462</v>
      </c>
      <c r="D506" s="4" t="s">
        <v>633</v>
      </c>
      <c r="E506" s="4" t="s">
        <v>1164</v>
      </c>
      <c r="F506" s="4" t="s">
        <v>448</v>
      </c>
      <c r="G506" s="4" t="s">
        <v>449</v>
      </c>
      <c r="H506" s="208">
        <v>1</v>
      </c>
      <c r="I506" s="4"/>
      <c r="J506" s="15" t="s">
        <v>635</v>
      </c>
      <c r="K506" s="4" t="s">
        <v>448</v>
      </c>
      <c r="L506" s="4" t="s">
        <v>451</v>
      </c>
      <c r="M506" s="4" t="s">
        <v>452</v>
      </c>
      <c r="N506" s="4">
        <v>201628776</v>
      </c>
      <c r="O506" s="4" t="s">
        <v>190</v>
      </c>
      <c r="P506" s="8">
        <v>1</v>
      </c>
      <c r="Q506" s="209">
        <f>Mon_ILR2[[#This Row],[Qty Required]]-Mon_ILR2[[#This Row],[QTY Transfer]]</f>
        <v>0</v>
      </c>
      <c r="R506" s="66" t="s">
        <v>905</v>
      </c>
      <c r="S506" s="66" t="s">
        <v>907</v>
      </c>
      <c r="T506" s="210">
        <f>_xlfn.IFNA(VLOOKUP(Mon_ILR2[[#This Row],[New Model]],PhilipsLibary[],4,FALSE),"0")</f>
        <v>4687.2</v>
      </c>
      <c r="U506" s="210">
        <f>_xlfn.IFNA(VLOOKUP(Mon_ILR2[[#This Row],[New Model]],PhilipsLibary[],5,FALSE),"0")</f>
        <v>0</v>
      </c>
      <c r="V506" s="210">
        <f>_xlfn.IFNA(VLOOKUP(Mon_ILR2[[#This Row],[New Model]],PhilipsLibary[],5,FALSE),"0")</f>
        <v>0</v>
      </c>
      <c r="W506" s="210">
        <v>943.28</v>
      </c>
      <c r="X506" s="8"/>
      <c r="Y506" s="289" t="s">
        <v>2217</v>
      </c>
      <c r="Z506" s="6" t="s">
        <v>453</v>
      </c>
      <c r="AA506" s="6" t="s">
        <v>50</v>
      </c>
      <c r="AB506" s="6" t="s">
        <v>47</v>
      </c>
      <c r="AC506" s="6" t="s">
        <v>48</v>
      </c>
      <c r="AD506" s="6" t="s">
        <v>49</v>
      </c>
      <c r="AE506" s="6" t="s">
        <v>50</v>
      </c>
      <c r="AF506" s="6" t="s">
        <v>50</v>
      </c>
      <c r="AG506" s="6" t="s">
        <v>50</v>
      </c>
      <c r="AH506" s="6" t="s">
        <v>50</v>
      </c>
      <c r="AI506" s="6" t="s">
        <v>50</v>
      </c>
      <c r="AJ506" s="6" t="s">
        <v>50</v>
      </c>
      <c r="AK506" s="6" t="s">
        <v>50</v>
      </c>
      <c r="AL506" s="6" t="s">
        <v>50</v>
      </c>
      <c r="AM506" s="6" t="s">
        <v>50</v>
      </c>
      <c r="AN506" s="6" t="s">
        <v>50</v>
      </c>
      <c r="AO506" s="6" t="s">
        <v>50</v>
      </c>
    </row>
    <row r="507" spans="2:41" ht="165" x14ac:dyDescent="0.25">
      <c r="B507" s="207" t="s">
        <v>632</v>
      </c>
      <c r="C507" s="66" t="s">
        <v>462</v>
      </c>
      <c r="D507" s="4" t="s">
        <v>633</v>
      </c>
      <c r="E507" s="4" t="s">
        <v>1164</v>
      </c>
      <c r="F507" s="4" t="s">
        <v>448</v>
      </c>
      <c r="G507" s="4" t="s">
        <v>449</v>
      </c>
      <c r="H507" s="208">
        <v>1</v>
      </c>
      <c r="I507" s="4"/>
      <c r="J507" s="15" t="s">
        <v>636</v>
      </c>
      <c r="K507" s="4" t="s">
        <v>448</v>
      </c>
      <c r="L507" s="4" t="s">
        <v>451</v>
      </c>
      <c r="M507" s="4" t="s">
        <v>465</v>
      </c>
      <c r="N507" s="4">
        <v>100014182217</v>
      </c>
      <c r="O507" s="4" t="s">
        <v>171</v>
      </c>
      <c r="P507" s="8">
        <v>1</v>
      </c>
      <c r="Q507" s="209">
        <f>Mon_ILR2[[#This Row],[Qty Required]]-Mon_ILR2[[#This Row],[QTY Transfer]]</f>
        <v>0</v>
      </c>
      <c r="R507" s="66" t="s">
        <v>905</v>
      </c>
      <c r="S507" s="66" t="s">
        <v>907</v>
      </c>
      <c r="T507" s="210">
        <f>_xlfn.IFNA(VLOOKUP(Mon_ILR2[[#This Row],[New Model]],PhilipsLibary[],4,FALSE),"0")</f>
        <v>4687.2</v>
      </c>
      <c r="U507" s="210">
        <f>_xlfn.IFNA(VLOOKUP(Mon_ILR2[[#This Row],[New Model]],PhilipsLibary[],5,FALSE),"0")</f>
        <v>0</v>
      </c>
      <c r="V507" s="210">
        <f>_xlfn.IFNA(VLOOKUP(Mon_ILR2[[#This Row],[New Model]],PhilipsLibary[],5,FALSE),"0")</f>
        <v>0</v>
      </c>
      <c r="W507" s="210">
        <v>943.28</v>
      </c>
      <c r="X507" s="8"/>
      <c r="Y507" s="289" t="s">
        <v>2217</v>
      </c>
      <c r="Z507" s="6" t="s">
        <v>453</v>
      </c>
      <c r="AA507" s="6" t="s">
        <v>50</v>
      </c>
      <c r="AB507" s="6" t="s">
        <v>47</v>
      </c>
      <c r="AC507" s="6" t="s">
        <v>48</v>
      </c>
      <c r="AD507" s="6" t="s">
        <v>49</v>
      </c>
      <c r="AE507" s="6" t="s">
        <v>50</v>
      </c>
      <c r="AF507" s="6" t="s">
        <v>50</v>
      </c>
      <c r="AG507" s="6" t="s">
        <v>50</v>
      </c>
      <c r="AH507" s="6" t="s">
        <v>50</v>
      </c>
      <c r="AI507" s="6" t="s">
        <v>50</v>
      </c>
      <c r="AJ507" s="6" t="s">
        <v>50</v>
      </c>
      <c r="AK507" s="6" t="s">
        <v>50</v>
      </c>
      <c r="AL507" s="6" t="s">
        <v>50</v>
      </c>
      <c r="AM507" s="6" t="s">
        <v>50</v>
      </c>
      <c r="AN507" s="6" t="s">
        <v>50</v>
      </c>
      <c r="AO507" s="6" t="s">
        <v>50</v>
      </c>
    </row>
    <row r="508" spans="2:41" ht="165" x14ac:dyDescent="0.25">
      <c r="B508" s="207" t="s">
        <v>632</v>
      </c>
      <c r="C508" s="66" t="s">
        <v>462</v>
      </c>
      <c r="D508" s="4" t="s">
        <v>633</v>
      </c>
      <c r="E508" s="4" t="s">
        <v>1164</v>
      </c>
      <c r="F508" s="4" t="s">
        <v>448</v>
      </c>
      <c r="G508" s="4" t="s">
        <v>449</v>
      </c>
      <c r="H508" s="208">
        <v>1</v>
      </c>
      <c r="I508" s="4"/>
      <c r="J508" s="15" t="s">
        <v>637</v>
      </c>
      <c r="K508" s="4" t="s">
        <v>448</v>
      </c>
      <c r="L508" s="4" t="s">
        <v>451</v>
      </c>
      <c r="M508" s="4" t="s">
        <v>465</v>
      </c>
      <c r="N508" s="4">
        <v>100014142217</v>
      </c>
      <c r="O508" s="4" t="s">
        <v>171</v>
      </c>
      <c r="P508" s="8">
        <v>1</v>
      </c>
      <c r="Q508" s="209">
        <f>Mon_ILR2[[#This Row],[Qty Required]]-Mon_ILR2[[#This Row],[QTY Transfer]]</f>
        <v>0</v>
      </c>
      <c r="R508" s="66" t="s">
        <v>905</v>
      </c>
      <c r="S508" s="66" t="s">
        <v>907</v>
      </c>
      <c r="T508" s="210">
        <f>_xlfn.IFNA(VLOOKUP(Mon_ILR2[[#This Row],[New Model]],PhilipsLibary[],4,FALSE),"0")</f>
        <v>4687.2</v>
      </c>
      <c r="U508" s="210">
        <f>_xlfn.IFNA(VLOOKUP(Mon_ILR2[[#This Row],[New Model]],PhilipsLibary[],5,FALSE),"0")</f>
        <v>0</v>
      </c>
      <c r="V508" s="210">
        <f>_xlfn.IFNA(VLOOKUP(Mon_ILR2[[#This Row],[New Model]],PhilipsLibary[],5,FALSE),"0")</f>
        <v>0</v>
      </c>
      <c r="W508" s="210">
        <v>943.28</v>
      </c>
      <c r="X508" s="8"/>
      <c r="Y508" s="289" t="s">
        <v>2217</v>
      </c>
      <c r="Z508" s="6" t="s">
        <v>453</v>
      </c>
      <c r="AA508" s="6" t="s">
        <v>50</v>
      </c>
      <c r="AB508" s="6" t="s">
        <v>47</v>
      </c>
      <c r="AC508" s="6" t="s">
        <v>48</v>
      </c>
      <c r="AD508" s="6" t="s">
        <v>49</v>
      </c>
      <c r="AE508" s="6" t="s">
        <v>50</v>
      </c>
      <c r="AF508" s="6" t="s">
        <v>50</v>
      </c>
      <c r="AG508" s="6" t="s">
        <v>50</v>
      </c>
      <c r="AH508" s="6" t="s">
        <v>50</v>
      </c>
      <c r="AI508" s="6" t="s">
        <v>50</v>
      </c>
      <c r="AJ508" s="6" t="s">
        <v>50</v>
      </c>
      <c r="AK508" s="6" t="s">
        <v>50</v>
      </c>
      <c r="AL508" s="6" t="s">
        <v>50</v>
      </c>
      <c r="AM508" s="6" t="s">
        <v>50</v>
      </c>
      <c r="AN508" s="6" t="s">
        <v>50</v>
      </c>
      <c r="AO508" s="6" t="s">
        <v>50</v>
      </c>
    </row>
    <row r="509" spans="2:41" ht="60" customHeight="1" x14ac:dyDescent="0.25">
      <c r="B509" s="207" t="s">
        <v>299</v>
      </c>
      <c r="C509" s="66" t="s">
        <v>174</v>
      </c>
      <c r="D509" s="4" t="s">
        <v>300</v>
      </c>
      <c r="E509" s="4" t="s">
        <v>1166</v>
      </c>
      <c r="F509" s="4" t="s">
        <v>772</v>
      </c>
      <c r="G509" s="4" t="s">
        <v>123</v>
      </c>
      <c r="H509" s="208">
        <v>1</v>
      </c>
      <c r="I509" s="4"/>
      <c r="J509" s="15"/>
      <c r="K509" s="4" t="str">
        <f>_xlfn.IFNA(VLOOKUP($J509,WH_Data[],6,FALSE),"")</f>
        <v/>
      </c>
      <c r="L509" s="4" t="str">
        <f>_xlfn.IFNA(VLOOKUP($J509,WH_Data[],3,FALSE),"")</f>
        <v/>
      </c>
      <c r="M509" s="4" t="str">
        <f>_xlfn.IFNA(VLOOKUP($J509,WH_Data[],5,FALSE),"")</f>
        <v/>
      </c>
      <c r="N509" s="4" t="str">
        <f>_xlfn.IFNA(VLOOKUP($J509,WH_Data[],7,FALSE),"")</f>
        <v/>
      </c>
      <c r="O509" s="4" t="str">
        <f>_xlfn.IFNA(VLOOKUP($J509,WH_Data[],8,FALSE),"")</f>
        <v/>
      </c>
      <c r="P509" s="8"/>
      <c r="Q509" s="209">
        <f>Mon_ILR2[[#This Row],[Qty Required]]-Mon_ILR2[[#This Row],[QTY Transfer]]</f>
        <v>1</v>
      </c>
      <c r="R509" s="66" t="s">
        <v>1167</v>
      </c>
      <c r="S509" s="66" t="s">
        <v>1167</v>
      </c>
      <c r="T509" s="210" t="str">
        <f>_xlfn.IFNA(VLOOKUP(Mon_ILR2[[#This Row],[New Model]],PhilipsLibary[],4,FALSE),"0")</f>
        <v>0</v>
      </c>
      <c r="U509" s="210" t="str">
        <f>_xlfn.IFNA(VLOOKUP(Mon_ILR2[[#This Row],[New Model]],PhilipsLibary[],5,FALSE),"0")</f>
        <v>0</v>
      </c>
      <c r="V509" s="210" t="str">
        <f>_xlfn.IFNA(VLOOKUP(Mon_ILR2[[#This Row],[New Model]],PhilipsLibary[],5,FALSE),"0")</f>
        <v>0</v>
      </c>
      <c r="W509" s="210">
        <f>Mon_ILR2[[#This Row],[Accessory Rate]]+Mon_ILR2[[#This Row],[Mounting Rate]]+Mon_ILR2[[#This Row],[Unit Rate]]*Mon_ILR2[[#This Row],[New Quantity Required ]]</f>
        <v>0</v>
      </c>
      <c r="X509" s="8"/>
      <c r="Y509" s="246" t="s">
        <v>1168</v>
      </c>
      <c r="Z509" s="6" t="s">
        <v>128</v>
      </c>
      <c r="AA509" s="6" t="s">
        <v>46</v>
      </c>
      <c r="AB509" s="6" t="s">
        <v>47</v>
      </c>
      <c r="AC509" s="6" t="s">
        <v>48</v>
      </c>
      <c r="AD509" s="6" t="s">
        <v>49</v>
      </c>
      <c r="AE509" s="6" t="s">
        <v>54</v>
      </c>
      <c r="AF509" s="6" t="s">
        <v>129</v>
      </c>
      <c r="AG509" s="6" t="s">
        <v>130</v>
      </c>
      <c r="AH509" s="6" t="s">
        <v>50</v>
      </c>
      <c r="AI509" s="6" t="s">
        <v>132</v>
      </c>
      <c r="AJ509" s="6" t="s">
        <v>50</v>
      </c>
      <c r="AK509" s="6" t="s">
        <v>50</v>
      </c>
      <c r="AL509" s="6" t="s">
        <v>52</v>
      </c>
      <c r="AM509" s="6" t="s">
        <v>50</v>
      </c>
      <c r="AN509" s="6" t="s">
        <v>773</v>
      </c>
      <c r="AO509" s="6" t="s">
        <v>54</v>
      </c>
    </row>
    <row r="510" spans="2:41" ht="60" customHeight="1" x14ac:dyDescent="0.25">
      <c r="B510" s="207" t="s">
        <v>368</v>
      </c>
      <c r="C510" s="66" t="s">
        <v>779</v>
      </c>
      <c r="D510" s="4" t="s">
        <v>780</v>
      </c>
      <c r="E510" s="4" t="s">
        <v>1166</v>
      </c>
      <c r="F510" s="4" t="s">
        <v>772</v>
      </c>
      <c r="G510" s="4" t="s">
        <v>123</v>
      </c>
      <c r="H510" s="208">
        <v>1</v>
      </c>
      <c r="I510" s="4"/>
      <c r="J510" s="15"/>
      <c r="K510" s="4" t="str">
        <f>_xlfn.IFNA(VLOOKUP($J510,WH_Data[],6,FALSE),"")</f>
        <v/>
      </c>
      <c r="L510" s="4" t="str">
        <f>_xlfn.IFNA(VLOOKUP($J510,WH_Data[],3,FALSE),"")</f>
        <v/>
      </c>
      <c r="M510" s="4" t="str">
        <f>_xlfn.IFNA(VLOOKUP($J510,WH_Data[],5,FALSE),"")</f>
        <v/>
      </c>
      <c r="N510" s="4" t="str">
        <f>_xlfn.IFNA(VLOOKUP($J510,WH_Data[],7,FALSE),"")</f>
        <v/>
      </c>
      <c r="O510" s="4" t="str">
        <f>_xlfn.IFNA(VLOOKUP($J510,WH_Data[],8,FALSE),"")</f>
        <v/>
      </c>
      <c r="P510" s="8"/>
      <c r="Q510" s="209">
        <f>Mon_ILR2[[#This Row],[Qty Required]]-Mon_ILR2[[#This Row],[QTY Transfer]]</f>
        <v>1</v>
      </c>
      <c r="R510" s="66" t="s">
        <v>1167</v>
      </c>
      <c r="S510" s="66" t="s">
        <v>1167</v>
      </c>
      <c r="T510" s="210" t="str">
        <f>_xlfn.IFNA(VLOOKUP(Mon_ILR2[[#This Row],[New Model]],PhilipsLibary[],4,FALSE),"0")</f>
        <v>0</v>
      </c>
      <c r="U510" s="210" t="str">
        <f>_xlfn.IFNA(VLOOKUP(Mon_ILR2[[#This Row],[New Model]],PhilipsLibary[],5,FALSE),"0")</f>
        <v>0</v>
      </c>
      <c r="V510" s="210" t="str">
        <f>_xlfn.IFNA(VLOOKUP(Mon_ILR2[[#This Row],[New Model]],PhilipsLibary[],5,FALSE),"0")</f>
        <v>0</v>
      </c>
      <c r="W510" s="210">
        <f>Mon_ILR2[[#This Row],[Accessory Rate]]+Mon_ILR2[[#This Row],[Mounting Rate]]+Mon_ILR2[[#This Row],[Unit Rate]]*Mon_ILR2[[#This Row],[New Quantity Required ]]</f>
        <v>0</v>
      </c>
      <c r="X510" s="8"/>
      <c r="Y510" s="246" t="s">
        <v>1168</v>
      </c>
      <c r="Z510" s="6" t="s">
        <v>128</v>
      </c>
      <c r="AA510" s="6" t="s">
        <v>46</v>
      </c>
      <c r="AB510" s="6" t="s">
        <v>47</v>
      </c>
      <c r="AC510" s="6" t="s">
        <v>48</v>
      </c>
      <c r="AD510" s="6" t="s">
        <v>49</v>
      </c>
      <c r="AE510" s="6" t="s">
        <v>54</v>
      </c>
      <c r="AF510" s="6" t="s">
        <v>129</v>
      </c>
      <c r="AG510" s="6" t="s">
        <v>130</v>
      </c>
      <c r="AH510" s="6" t="s">
        <v>50</v>
      </c>
      <c r="AI510" s="6" t="s">
        <v>132</v>
      </c>
      <c r="AJ510" s="6" t="s">
        <v>50</v>
      </c>
      <c r="AK510" s="6" t="s">
        <v>50</v>
      </c>
      <c r="AL510" s="6" t="s">
        <v>52</v>
      </c>
      <c r="AM510" s="6" t="s">
        <v>50</v>
      </c>
      <c r="AN510" s="6" t="s">
        <v>773</v>
      </c>
      <c r="AO510" s="6" t="s">
        <v>54</v>
      </c>
    </row>
    <row r="511" spans="2:41" ht="60" customHeight="1" x14ac:dyDescent="0.25">
      <c r="B511" s="207" t="s">
        <v>368</v>
      </c>
      <c r="C511" s="66" t="s">
        <v>779</v>
      </c>
      <c r="D511" s="4" t="s">
        <v>781</v>
      </c>
      <c r="E511" s="4" t="s">
        <v>1166</v>
      </c>
      <c r="F511" s="4" t="s">
        <v>772</v>
      </c>
      <c r="G511" s="4" t="s">
        <v>123</v>
      </c>
      <c r="H511" s="208">
        <v>1</v>
      </c>
      <c r="I511" s="4"/>
      <c r="J511" s="15"/>
      <c r="K511" s="4" t="str">
        <f>_xlfn.IFNA(VLOOKUP($J511,WH_Data[],6,FALSE),"")</f>
        <v/>
      </c>
      <c r="L511" s="4" t="str">
        <f>_xlfn.IFNA(VLOOKUP($J511,WH_Data[],3,FALSE),"")</f>
        <v/>
      </c>
      <c r="M511" s="4" t="str">
        <f>_xlfn.IFNA(VLOOKUP($J511,WH_Data[],5,FALSE),"")</f>
        <v/>
      </c>
      <c r="N511" s="4" t="str">
        <f>_xlfn.IFNA(VLOOKUP($J511,WH_Data[],7,FALSE),"")</f>
        <v/>
      </c>
      <c r="O511" s="4" t="str">
        <f>_xlfn.IFNA(VLOOKUP($J511,WH_Data[],8,FALSE),"")</f>
        <v/>
      </c>
      <c r="P511" s="8"/>
      <c r="Q511" s="209">
        <f>Mon_ILR2[[#This Row],[Qty Required]]-Mon_ILR2[[#This Row],[QTY Transfer]]</f>
        <v>1</v>
      </c>
      <c r="R511" s="66" t="s">
        <v>1167</v>
      </c>
      <c r="S511" s="66" t="s">
        <v>1167</v>
      </c>
      <c r="T511" s="210" t="str">
        <f>_xlfn.IFNA(VLOOKUP(Mon_ILR2[[#This Row],[New Model]],PhilipsLibary[],4,FALSE),"0")</f>
        <v>0</v>
      </c>
      <c r="U511" s="210" t="str">
        <f>_xlfn.IFNA(VLOOKUP(Mon_ILR2[[#This Row],[New Model]],PhilipsLibary[],5,FALSE),"0")</f>
        <v>0</v>
      </c>
      <c r="V511" s="210" t="str">
        <f>_xlfn.IFNA(VLOOKUP(Mon_ILR2[[#This Row],[New Model]],PhilipsLibary[],5,FALSE),"0")</f>
        <v>0</v>
      </c>
      <c r="W511" s="210">
        <f>Mon_ILR2[[#This Row],[Accessory Rate]]+Mon_ILR2[[#This Row],[Mounting Rate]]+Mon_ILR2[[#This Row],[Unit Rate]]*Mon_ILR2[[#This Row],[New Quantity Required ]]</f>
        <v>0</v>
      </c>
      <c r="X511" s="8"/>
      <c r="Y511" s="246" t="s">
        <v>1168</v>
      </c>
      <c r="Z511" s="6" t="s">
        <v>128</v>
      </c>
      <c r="AA511" s="6" t="s">
        <v>46</v>
      </c>
      <c r="AB511" s="6" t="s">
        <v>47</v>
      </c>
      <c r="AC511" s="6" t="s">
        <v>48</v>
      </c>
      <c r="AD511" s="6" t="s">
        <v>49</v>
      </c>
      <c r="AE511" s="6" t="s">
        <v>54</v>
      </c>
      <c r="AF511" s="6" t="s">
        <v>129</v>
      </c>
      <c r="AG511" s="6" t="s">
        <v>130</v>
      </c>
      <c r="AH511" s="6" t="s">
        <v>50</v>
      </c>
      <c r="AI511" s="6" t="s">
        <v>132</v>
      </c>
      <c r="AJ511" s="6" t="s">
        <v>50</v>
      </c>
      <c r="AK511" s="6" t="s">
        <v>50</v>
      </c>
      <c r="AL511" s="6" t="s">
        <v>52</v>
      </c>
      <c r="AM511" s="6" t="s">
        <v>50</v>
      </c>
      <c r="AN511" s="6" t="s">
        <v>773</v>
      </c>
      <c r="AO511" s="6" t="s">
        <v>54</v>
      </c>
    </row>
    <row r="512" spans="2:41" ht="90" x14ac:dyDescent="0.25">
      <c r="B512" s="207" t="s">
        <v>368</v>
      </c>
      <c r="C512" s="66" t="s">
        <v>779</v>
      </c>
      <c r="D512" s="4" t="s">
        <v>782</v>
      </c>
      <c r="E512" s="4" t="s">
        <v>1166</v>
      </c>
      <c r="F512" s="4" t="s">
        <v>772</v>
      </c>
      <c r="G512" s="4" t="s">
        <v>123</v>
      </c>
      <c r="H512" s="208">
        <v>1</v>
      </c>
      <c r="I512" s="4"/>
      <c r="J512" s="15"/>
      <c r="K512" s="4" t="str">
        <f>_xlfn.IFNA(VLOOKUP($J512,WH_Data[],6,FALSE),"")</f>
        <v/>
      </c>
      <c r="L512" s="4" t="str">
        <f>_xlfn.IFNA(VLOOKUP($J512,WH_Data[],3,FALSE),"")</f>
        <v/>
      </c>
      <c r="M512" s="4" t="str">
        <f>_xlfn.IFNA(VLOOKUP($J512,WH_Data[],5,FALSE),"")</f>
        <v/>
      </c>
      <c r="N512" s="4" t="str">
        <f>_xlfn.IFNA(VLOOKUP($J512,WH_Data[],7,FALSE),"")</f>
        <v/>
      </c>
      <c r="O512" s="4" t="str">
        <f>_xlfn.IFNA(VLOOKUP($J512,WH_Data[],8,FALSE),"")</f>
        <v/>
      </c>
      <c r="P512" s="8"/>
      <c r="Q512" s="209">
        <f>Mon_ILR2[[#This Row],[Qty Required]]-Mon_ILR2[[#This Row],[QTY Transfer]]</f>
        <v>1</v>
      </c>
      <c r="R512" s="66" t="s">
        <v>1167</v>
      </c>
      <c r="S512" s="66" t="s">
        <v>1167</v>
      </c>
      <c r="T512" s="210" t="str">
        <f>_xlfn.IFNA(VLOOKUP(Mon_ILR2[[#This Row],[New Model]],PhilipsLibary[],4,FALSE),"0")</f>
        <v>0</v>
      </c>
      <c r="U512" s="210" t="str">
        <f>_xlfn.IFNA(VLOOKUP(Mon_ILR2[[#This Row],[New Model]],PhilipsLibary[],5,FALSE),"0")</f>
        <v>0</v>
      </c>
      <c r="V512" s="210" t="str">
        <f>_xlfn.IFNA(VLOOKUP(Mon_ILR2[[#This Row],[New Model]],PhilipsLibary[],5,FALSE),"0")</f>
        <v>0</v>
      </c>
      <c r="W512" s="210">
        <f>Mon_ILR2[[#This Row],[Accessory Rate]]+Mon_ILR2[[#This Row],[Mounting Rate]]+Mon_ILR2[[#This Row],[Unit Rate]]*Mon_ILR2[[#This Row],[New Quantity Required ]]</f>
        <v>0</v>
      </c>
      <c r="X512" s="8"/>
      <c r="Y512" s="246" t="s">
        <v>1168</v>
      </c>
      <c r="Z512" s="6" t="s">
        <v>128</v>
      </c>
      <c r="AA512" s="6" t="s">
        <v>46</v>
      </c>
      <c r="AB512" s="6" t="s">
        <v>47</v>
      </c>
      <c r="AC512" s="6" t="s">
        <v>48</v>
      </c>
      <c r="AD512" s="6" t="s">
        <v>49</v>
      </c>
      <c r="AE512" s="6" t="s">
        <v>54</v>
      </c>
      <c r="AF512" s="6" t="s">
        <v>129</v>
      </c>
      <c r="AG512" s="6" t="s">
        <v>130</v>
      </c>
      <c r="AH512" s="6" t="s">
        <v>50</v>
      </c>
      <c r="AI512" s="6" t="s">
        <v>132</v>
      </c>
      <c r="AJ512" s="6" t="s">
        <v>50</v>
      </c>
      <c r="AK512" s="6" t="s">
        <v>50</v>
      </c>
      <c r="AL512" s="6" t="s">
        <v>52</v>
      </c>
      <c r="AM512" s="6" t="s">
        <v>50</v>
      </c>
      <c r="AN512" s="6" t="s">
        <v>773</v>
      </c>
      <c r="AO512" s="6" t="s">
        <v>54</v>
      </c>
    </row>
    <row r="513" spans="2:41" ht="409.5" x14ac:dyDescent="0.25">
      <c r="B513" s="207" t="s">
        <v>35</v>
      </c>
      <c r="C513" s="66" t="s">
        <v>120</v>
      </c>
      <c r="D513" s="4" t="s">
        <v>121</v>
      </c>
      <c r="E513" s="4" t="s">
        <v>1072</v>
      </c>
      <c r="F513" s="4" t="s">
        <v>932</v>
      </c>
      <c r="G513" s="4" t="s">
        <v>123</v>
      </c>
      <c r="H513" s="208">
        <v>1</v>
      </c>
      <c r="I513" s="4"/>
      <c r="J513" s="15" t="s">
        <v>124</v>
      </c>
      <c r="K513" s="4" t="s">
        <v>125</v>
      </c>
      <c r="L513" s="4" t="s">
        <v>41</v>
      </c>
      <c r="M513" s="4" t="s">
        <v>126</v>
      </c>
      <c r="N513" s="4" t="s">
        <v>127</v>
      </c>
      <c r="O513" s="4" t="s">
        <v>66</v>
      </c>
      <c r="P513" s="8">
        <v>0</v>
      </c>
      <c r="Q513" s="209">
        <f>Mon_ILR2[[#This Row],[Qty Required]]-Mon_ILR2[[#This Row],[QTY Transfer]]</f>
        <v>1</v>
      </c>
      <c r="R513" s="66" t="s">
        <v>905</v>
      </c>
      <c r="S513" s="66" t="s">
        <v>2212</v>
      </c>
      <c r="T513" s="210">
        <v>13193</v>
      </c>
      <c r="U513" s="210">
        <v>0</v>
      </c>
      <c r="V513" s="210">
        <v>1675</v>
      </c>
      <c r="W513" s="210">
        <f>Mon_ILR2[[#This Row],[Accessory Rate]]+Mon_ILR2[[#This Row],[Mounting Rate]]+Mon_ILR2[[#This Row],[Unit Rate]]*Mon_ILR2[[#This Row],[New Quantity Required ]]</f>
        <v>14868</v>
      </c>
      <c r="X513" s="8"/>
      <c r="Y513" s="289" t="s">
        <v>2208</v>
      </c>
      <c r="Z513" s="289" t="s">
        <v>2208</v>
      </c>
      <c r="AA513" s="289" t="s">
        <v>2208</v>
      </c>
      <c r="AB513" s="289" t="s">
        <v>2208</v>
      </c>
      <c r="AC513" s="289" t="s">
        <v>2208</v>
      </c>
      <c r="AD513" s="289" t="s">
        <v>2208</v>
      </c>
      <c r="AE513" s="289" t="s">
        <v>2208</v>
      </c>
      <c r="AF513" s="289" t="s">
        <v>2208</v>
      </c>
      <c r="AG513" s="289" t="s">
        <v>2208</v>
      </c>
      <c r="AH513" s="289" t="s">
        <v>2208</v>
      </c>
      <c r="AI513" s="289" t="s">
        <v>2208</v>
      </c>
      <c r="AJ513" s="289" t="s">
        <v>2208</v>
      </c>
      <c r="AK513" s="289" t="s">
        <v>2208</v>
      </c>
      <c r="AL513" s="289" t="s">
        <v>2208</v>
      </c>
      <c r="AM513" s="289" t="s">
        <v>2208</v>
      </c>
      <c r="AN513" s="289" t="s">
        <v>2208</v>
      </c>
      <c r="AO513" s="289" t="s">
        <v>2208</v>
      </c>
    </row>
    <row r="514" spans="2:41" ht="165" x14ac:dyDescent="0.25">
      <c r="B514" s="207" t="s">
        <v>35</v>
      </c>
      <c r="C514" s="66" t="s">
        <v>120</v>
      </c>
      <c r="D514" s="4" t="s">
        <v>134</v>
      </c>
      <c r="E514" s="4" t="s">
        <v>1072</v>
      </c>
      <c r="F514" s="4" t="s">
        <v>932</v>
      </c>
      <c r="G514" s="4" t="s">
        <v>123</v>
      </c>
      <c r="H514" s="208">
        <v>1</v>
      </c>
      <c r="I514" s="4"/>
      <c r="J514" s="15" t="s">
        <v>135</v>
      </c>
      <c r="K514" s="4" t="s">
        <v>125</v>
      </c>
      <c r="L514" s="4" t="s">
        <v>41</v>
      </c>
      <c r="M514" s="4" t="s">
        <v>136</v>
      </c>
      <c r="N514" s="4" t="s">
        <v>137</v>
      </c>
      <c r="O514" s="4" t="s">
        <v>66</v>
      </c>
      <c r="P514" s="8">
        <v>0</v>
      </c>
      <c r="Q514" s="209">
        <f>Mon_ILR2[[#This Row],[Qty Required]]-Mon_ILR2[[#This Row],[QTY Transfer]]</f>
        <v>1</v>
      </c>
      <c r="R514" s="66" t="s">
        <v>905</v>
      </c>
      <c r="S514" s="66" t="s">
        <v>2212</v>
      </c>
      <c r="T514" s="210">
        <v>13193</v>
      </c>
      <c r="U514" s="210">
        <v>0</v>
      </c>
      <c r="V514" s="210">
        <v>1675</v>
      </c>
      <c r="W514" s="210">
        <f>Mon_ILR2[[#This Row],[Accessory Rate]]+Mon_ILR2[[#This Row],[Mounting Rate]]+Mon_ILR2[[#This Row],[Unit Rate]]*Mon_ILR2[[#This Row],[New Quantity Required ]]</f>
        <v>14868</v>
      </c>
      <c r="X514" s="8"/>
      <c r="Y514" s="289" t="s">
        <v>2208</v>
      </c>
      <c r="Z514" s="6" t="s">
        <v>128</v>
      </c>
      <c r="AA514" s="6" t="s">
        <v>46</v>
      </c>
      <c r="AB514" s="6" t="s">
        <v>47</v>
      </c>
      <c r="AC514" s="6" t="s">
        <v>48</v>
      </c>
      <c r="AD514" s="6" t="s">
        <v>49</v>
      </c>
      <c r="AE514" s="6" t="s">
        <v>54</v>
      </c>
      <c r="AF514" s="6" t="s">
        <v>129</v>
      </c>
      <c r="AG514" s="6" t="s">
        <v>130</v>
      </c>
      <c r="AH514" s="6" t="s">
        <v>131</v>
      </c>
      <c r="AI514" s="6" t="s">
        <v>132</v>
      </c>
      <c r="AJ514" s="6" t="s">
        <v>50</v>
      </c>
      <c r="AK514" s="6" t="s">
        <v>50</v>
      </c>
      <c r="AL514" s="6" t="s">
        <v>52</v>
      </c>
      <c r="AM514" s="6" t="s">
        <v>53</v>
      </c>
      <c r="AN514" s="6" t="s">
        <v>133</v>
      </c>
      <c r="AO514" s="6" t="s">
        <v>54</v>
      </c>
    </row>
    <row r="515" spans="2:41" ht="165" x14ac:dyDescent="0.25">
      <c r="B515" s="207" t="s">
        <v>35</v>
      </c>
      <c r="C515" s="66" t="s">
        <v>120</v>
      </c>
      <c r="D515" s="4" t="s">
        <v>138</v>
      </c>
      <c r="E515" s="4" t="s">
        <v>1072</v>
      </c>
      <c r="F515" s="4" t="s">
        <v>932</v>
      </c>
      <c r="G515" s="4" t="s">
        <v>123</v>
      </c>
      <c r="H515" s="208">
        <v>1</v>
      </c>
      <c r="I515" s="4"/>
      <c r="J515" s="15" t="s">
        <v>139</v>
      </c>
      <c r="K515" s="4" t="s">
        <v>125</v>
      </c>
      <c r="L515" s="4" t="s">
        <v>41</v>
      </c>
      <c r="M515" s="4" t="s">
        <v>136</v>
      </c>
      <c r="N515" s="4" t="s">
        <v>140</v>
      </c>
      <c r="O515" s="4" t="s">
        <v>66</v>
      </c>
      <c r="P515" s="8">
        <v>0</v>
      </c>
      <c r="Q515" s="209">
        <f>Mon_ILR2[[#This Row],[Qty Required]]-Mon_ILR2[[#This Row],[QTY Transfer]]</f>
        <v>1</v>
      </c>
      <c r="R515" s="66" t="s">
        <v>905</v>
      </c>
      <c r="S515" s="66" t="s">
        <v>2212</v>
      </c>
      <c r="T515" s="210">
        <v>13193</v>
      </c>
      <c r="U515" s="210">
        <v>0</v>
      </c>
      <c r="V515" s="210">
        <v>1675</v>
      </c>
      <c r="W515" s="210">
        <f>Mon_ILR2[[#This Row],[Accessory Rate]]+Mon_ILR2[[#This Row],[Mounting Rate]]+Mon_ILR2[[#This Row],[Unit Rate]]*Mon_ILR2[[#This Row],[New Quantity Required ]]</f>
        <v>14868</v>
      </c>
      <c r="X515" s="8"/>
      <c r="Y515" s="289" t="s">
        <v>2208</v>
      </c>
      <c r="Z515" s="6" t="s">
        <v>128</v>
      </c>
      <c r="AA515" s="6" t="s">
        <v>46</v>
      </c>
      <c r="AB515" s="6" t="s">
        <v>47</v>
      </c>
      <c r="AC515" s="6" t="s">
        <v>48</v>
      </c>
      <c r="AD515" s="6" t="s">
        <v>49</v>
      </c>
      <c r="AE515" s="6" t="s">
        <v>54</v>
      </c>
      <c r="AF515" s="6" t="s">
        <v>129</v>
      </c>
      <c r="AG515" s="6" t="s">
        <v>130</v>
      </c>
      <c r="AH515" s="6" t="s">
        <v>131</v>
      </c>
      <c r="AI515" s="6" t="s">
        <v>132</v>
      </c>
      <c r="AJ515" s="6" t="s">
        <v>50</v>
      </c>
      <c r="AK515" s="6" t="s">
        <v>50</v>
      </c>
      <c r="AL515" s="6" t="s">
        <v>52</v>
      </c>
      <c r="AM515" s="6" t="s">
        <v>53</v>
      </c>
      <c r="AN515" s="6" t="s">
        <v>133</v>
      </c>
      <c r="AO515" s="6" t="s">
        <v>54</v>
      </c>
    </row>
    <row r="516" spans="2:41" ht="165" x14ac:dyDescent="0.25">
      <c r="B516" s="207" t="s">
        <v>35</v>
      </c>
      <c r="C516" s="66" t="s">
        <v>141</v>
      </c>
      <c r="D516" s="4" t="s">
        <v>142</v>
      </c>
      <c r="E516" s="4" t="s">
        <v>1072</v>
      </c>
      <c r="F516" s="4" t="s">
        <v>932</v>
      </c>
      <c r="G516" s="4" t="s">
        <v>123</v>
      </c>
      <c r="H516" s="208">
        <v>1</v>
      </c>
      <c r="I516" s="4"/>
      <c r="J516" s="15" t="s">
        <v>143</v>
      </c>
      <c r="K516" s="4" t="s">
        <v>125</v>
      </c>
      <c r="L516" s="4" t="s">
        <v>41</v>
      </c>
      <c r="M516" s="4" t="s">
        <v>136</v>
      </c>
      <c r="N516" s="4" t="s">
        <v>144</v>
      </c>
      <c r="O516" s="4" t="s">
        <v>66</v>
      </c>
      <c r="P516" s="8">
        <v>0</v>
      </c>
      <c r="Q516" s="209">
        <f>Mon_ILR2[[#This Row],[Qty Required]]-Mon_ILR2[[#This Row],[QTY Transfer]]</f>
        <v>1</v>
      </c>
      <c r="R516" s="66" t="s">
        <v>905</v>
      </c>
      <c r="S516" s="66" t="s">
        <v>2212</v>
      </c>
      <c r="T516" s="210">
        <v>13193</v>
      </c>
      <c r="U516" s="210">
        <v>0</v>
      </c>
      <c r="V516" s="210">
        <v>1675</v>
      </c>
      <c r="W516" s="210">
        <f>Mon_ILR2[[#This Row],[Accessory Rate]]+Mon_ILR2[[#This Row],[Mounting Rate]]+Mon_ILR2[[#This Row],[Unit Rate]]*Mon_ILR2[[#This Row],[New Quantity Required ]]</f>
        <v>14868</v>
      </c>
      <c r="X516" s="8"/>
      <c r="Y516" s="289" t="s">
        <v>2208</v>
      </c>
      <c r="Z516" s="6" t="s">
        <v>128</v>
      </c>
      <c r="AA516" s="6" t="s">
        <v>46</v>
      </c>
      <c r="AB516" s="6" t="s">
        <v>47</v>
      </c>
      <c r="AC516" s="6" t="s">
        <v>48</v>
      </c>
      <c r="AD516" s="6" t="s">
        <v>49</v>
      </c>
      <c r="AE516" s="6" t="s">
        <v>54</v>
      </c>
      <c r="AF516" s="6" t="s">
        <v>129</v>
      </c>
      <c r="AG516" s="6" t="s">
        <v>130</v>
      </c>
      <c r="AH516" s="6" t="s">
        <v>131</v>
      </c>
      <c r="AI516" s="6" t="s">
        <v>132</v>
      </c>
      <c r="AJ516" s="6" t="s">
        <v>50</v>
      </c>
      <c r="AK516" s="6" t="s">
        <v>50</v>
      </c>
      <c r="AL516" s="6" t="s">
        <v>52</v>
      </c>
      <c r="AM516" s="6" t="s">
        <v>53</v>
      </c>
      <c r="AN516" s="6" t="s">
        <v>133</v>
      </c>
      <c r="AO516" s="6" t="s">
        <v>54</v>
      </c>
    </row>
    <row r="517" spans="2:41" ht="165" x14ac:dyDescent="0.25">
      <c r="B517" s="207" t="s">
        <v>35</v>
      </c>
      <c r="C517" s="66" t="s">
        <v>145</v>
      </c>
      <c r="D517" s="4" t="s">
        <v>146</v>
      </c>
      <c r="E517" s="4" t="s">
        <v>1072</v>
      </c>
      <c r="F517" s="4" t="s">
        <v>932</v>
      </c>
      <c r="G517" s="4" t="s">
        <v>123</v>
      </c>
      <c r="H517" s="208">
        <v>1</v>
      </c>
      <c r="I517" s="4"/>
      <c r="J517" s="15" t="s">
        <v>147</v>
      </c>
      <c r="K517" s="4" t="s">
        <v>125</v>
      </c>
      <c r="L517" s="4" t="s">
        <v>41</v>
      </c>
      <c r="M517" s="4" t="s">
        <v>136</v>
      </c>
      <c r="N517" s="4" t="s">
        <v>148</v>
      </c>
      <c r="O517" s="4" t="s">
        <v>66</v>
      </c>
      <c r="P517" s="8">
        <v>0</v>
      </c>
      <c r="Q517" s="209">
        <f>Mon_ILR2[[#This Row],[Qty Required]]-Mon_ILR2[[#This Row],[QTY Transfer]]</f>
        <v>1</v>
      </c>
      <c r="R517" s="66" t="s">
        <v>905</v>
      </c>
      <c r="S517" s="66" t="s">
        <v>2212</v>
      </c>
      <c r="T517" s="210">
        <v>13193</v>
      </c>
      <c r="U517" s="210">
        <v>0</v>
      </c>
      <c r="V517" s="210">
        <v>1675</v>
      </c>
      <c r="W517" s="210">
        <f>Mon_ILR2[[#This Row],[Accessory Rate]]+Mon_ILR2[[#This Row],[Mounting Rate]]+Mon_ILR2[[#This Row],[Unit Rate]]*Mon_ILR2[[#This Row],[New Quantity Required ]]</f>
        <v>14868</v>
      </c>
      <c r="X517" s="8"/>
      <c r="Y517" s="289" t="s">
        <v>2208</v>
      </c>
      <c r="Z517" s="6" t="s">
        <v>128</v>
      </c>
      <c r="AA517" s="6" t="s">
        <v>46</v>
      </c>
      <c r="AB517" s="6" t="s">
        <v>47</v>
      </c>
      <c r="AC517" s="6" t="s">
        <v>48</v>
      </c>
      <c r="AD517" s="6" t="s">
        <v>49</v>
      </c>
      <c r="AE517" s="6" t="s">
        <v>54</v>
      </c>
      <c r="AF517" s="6" t="s">
        <v>129</v>
      </c>
      <c r="AG517" s="6" t="s">
        <v>130</v>
      </c>
      <c r="AH517" s="6" t="s">
        <v>131</v>
      </c>
      <c r="AI517" s="6" t="s">
        <v>132</v>
      </c>
      <c r="AJ517" s="6" t="s">
        <v>50</v>
      </c>
      <c r="AK517" s="6" t="s">
        <v>50</v>
      </c>
      <c r="AL517" s="6" t="s">
        <v>52</v>
      </c>
      <c r="AM517" s="6" t="s">
        <v>53</v>
      </c>
      <c r="AN517" s="6" t="s">
        <v>133</v>
      </c>
      <c r="AO517" s="6" t="s">
        <v>54</v>
      </c>
    </row>
    <row r="518" spans="2:41" ht="165" x14ac:dyDescent="0.25">
      <c r="B518" s="207" t="s">
        <v>35</v>
      </c>
      <c r="C518" s="66" t="s">
        <v>149</v>
      </c>
      <c r="D518" s="4" t="s">
        <v>150</v>
      </c>
      <c r="E518" s="4" t="s">
        <v>1072</v>
      </c>
      <c r="F518" s="4" t="s">
        <v>932</v>
      </c>
      <c r="G518" s="4" t="s">
        <v>123</v>
      </c>
      <c r="H518" s="208">
        <v>1</v>
      </c>
      <c r="I518" s="4"/>
      <c r="J518" s="15" t="s">
        <v>151</v>
      </c>
      <c r="K518" s="4" t="s">
        <v>125</v>
      </c>
      <c r="L518" s="4" t="s">
        <v>41</v>
      </c>
      <c r="M518" s="4" t="s">
        <v>136</v>
      </c>
      <c r="N518" s="4" t="s">
        <v>152</v>
      </c>
      <c r="O518" s="4" t="s">
        <v>66</v>
      </c>
      <c r="P518" s="8">
        <v>0</v>
      </c>
      <c r="Q518" s="209">
        <f>Mon_ILR2[[#This Row],[Qty Required]]-Mon_ILR2[[#This Row],[QTY Transfer]]</f>
        <v>1</v>
      </c>
      <c r="R518" s="66" t="s">
        <v>905</v>
      </c>
      <c r="S518" s="66" t="s">
        <v>2212</v>
      </c>
      <c r="T518" s="210">
        <v>13193</v>
      </c>
      <c r="U518" s="210">
        <v>0</v>
      </c>
      <c r="V518" s="210">
        <v>1675</v>
      </c>
      <c r="W518" s="210">
        <f>Mon_ILR2[[#This Row],[Accessory Rate]]+Mon_ILR2[[#This Row],[Mounting Rate]]+Mon_ILR2[[#This Row],[Unit Rate]]*Mon_ILR2[[#This Row],[New Quantity Required ]]</f>
        <v>14868</v>
      </c>
      <c r="X518" s="8"/>
      <c r="Y518" s="289" t="s">
        <v>2208</v>
      </c>
      <c r="Z518" s="6" t="s">
        <v>128</v>
      </c>
      <c r="AA518" s="6" t="s">
        <v>46</v>
      </c>
      <c r="AB518" s="6" t="s">
        <v>47</v>
      </c>
      <c r="AC518" s="6" t="s">
        <v>48</v>
      </c>
      <c r="AD518" s="6" t="s">
        <v>49</v>
      </c>
      <c r="AE518" s="6" t="s">
        <v>54</v>
      </c>
      <c r="AF518" s="6" t="s">
        <v>129</v>
      </c>
      <c r="AG518" s="6" t="s">
        <v>130</v>
      </c>
      <c r="AH518" s="6" t="s">
        <v>131</v>
      </c>
      <c r="AI518" s="6" t="s">
        <v>132</v>
      </c>
      <c r="AJ518" s="6" t="s">
        <v>50</v>
      </c>
      <c r="AK518" s="6" t="s">
        <v>50</v>
      </c>
      <c r="AL518" s="6" t="s">
        <v>52</v>
      </c>
      <c r="AM518" s="6" t="s">
        <v>53</v>
      </c>
      <c r="AN518" s="6" t="s">
        <v>133</v>
      </c>
      <c r="AO518" s="6" t="s">
        <v>54</v>
      </c>
    </row>
    <row r="519" spans="2:41" ht="165" x14ac:dyDescent="0.25">
      <c r="B519" s="207" t="s">
        <v>35</v>
      </c>
      <c r="C519" s="66" t="s">
        <v>153</v>
      </c>
      <c r="D519" s="4" t="s">
        <v>154</v>
      </c>
      <c r="E519" s="4" t="s">
        <v>1072</v>
      </c>
      <c r="F519" s="4" t="s">
        <v>932</v>
      </c>
      <c r="G519" s="4" t="s">
        <v>123</v>
      </c>
      <c r="H519" s="208">
        <v>1</v>
      </c>
      <c r="I519" s="4"/>
      <c r="J519" s="15" t="s">
        <v>155</v>
      </c>
      <c r="K519" s="4" t="s">
        <v>125</v>
      </c>
      <c r="L519" s="4" t="s">
        <v>41</v>
      </c>
      <c r="M519" s="4" t="s">
        <v>136</v>
      </c>
      <c r="N519" s="4" t="s">
        <v>156</v>
      </c>
      <c r="O519" s="4" t="s">
        <v>66</v>
      </c>
      <c r="P519" s="8">
        <v>0</v>
      </c>
      <c r="Q519" s="209">
        <f>Mon_ILR2[[#This Row],[Qty Required]]-Mon_ILR2[[#This Row],[QTY Transfer]]</f>
        <v>1</v>
      </c>
      <c r="R519" s="66" t="s">
        <v>905</v>
      </c>
      <c r="S519" s="66" t="s">
        <v>938</v>
      </c>
      <c r="T519" s="210">
        <v>13193</v>
      </c>
      <c r="U519" s="210">
        <v>0</v>
      </c>
      <c r="V519" s="210">
        <v>1675</v>
      </c>
      <c r="W519" s="210">
        <f>Mon_ILR2[[#This Row],[Accessory Rate]]+Mon_ILR2[[#This Row],[Mounting Rate]]+Mon_ILR2[[#This Row],[Unit Rate]]*Mon_ILR2[[#This Row],[New Quantity Required ]]</f>
        <v>14868</v>
      </c>
      <c r="X519" s="8"/>
      <c r="Y519" s="289" t="s">
        <v>2208</v>
      </c>
      <c r="Z519" s="6" t="s">
        <v>128</v>
      </c>
      <c r="AA519" s="6" t="s">
        <v>46</v>
      </c>
      <c r="AB519" s="6" t="s">
        <v>47</v>
      </c>
      <c r="AC519" s="6" t="s">
        <v>48</v>
      </c>
      <c r="AD519" s="6" t="s">
        <v>49</v>
      </c>
      <c r="AE519" s="6" t="s">
        <v>54</v>
      </c>
      <c r="AF519" s="6" t="s">
        <v>129</v>
      </c>
      <c r="AG519" s="6" t="s">
        <v>130</v>
      </c>
      <c r="AH519" s="6" t="s">
        <v>131</v>
      </c>
      <c r="AI519" s="6" t="s">
        <v>132</v>
      </c>
      <c r="AJ519" s="6" t="s">
        <v>50</v>
      </c>
      <c r="AK519" s="6" t="s">
        <v>50</v>
      </c>
      <c r="AL519" s="6" t="s">
        <v>52</v>
      </c>
      <c r="AM519" s="6" t="s">
        <v>53</v>
      </c>
      <c r="AN519" s="6" t="s">
        <v>133</v>
      </c>
      <c r="AO519" s="6" t="s">
        <v>54</v>
      </c>
    </row>
    <row r="520" spans="2:41" ht="165" x14ac:dyDescent="0.25">
      <c r="B520" s="207" t="s">
        <v>35</v>
      </c>
      <c r="C520" s="66" t="s">
        <v>157</v>
      </c>
      <c r="D520" s="4" t="s">
        <v>158</v>
      </c>
      <c r="E520" s="4" t="s">
        <v>1072</v>
      </c>
      <c r="F520" s="4" t="s">
        <v>932</v>
      </c>
      <c r="G520" s="4" t="s">
        <v>123</v>
      </c>
      <c r="H520" s="208">
        <v>1</v>
      </c>
      <c r="I520" s="4"/>
      <c r="J520" s="15" t="s">
        <v>159</v>
      </c>
      <c r="K520" s="4" t="s">
        <v>125</v>
      </c>
      <c r="L520" s="4" t="s">
        <v>41</v>
      </c>
      <c r="M520" s="4" t="s">
        <v>136</v>
      </c>
      <c r="N520" s="4" t="s">
        <v>160</v>
      </c>
      <c r="O520" s="4" t="s">
        <v>66</v>
      </c>
      <c r="P520" s="8">
        <v>0</v>
      </c>
      <c r="Q520" s="209">
        <f>Mon_ILR2[[#This Row],[Qty Required]]-Mon_ILR2[[#This Row],[QTY Transfer]]</f>
        <v>1</v>
      </c>
      <c r="R520" s="66" t="s">
        <v>905</v>
      </c>
      <c r="S520" s="66" t="s">
        <v>2212</v>
      </c>
      <c r="T520" s="210">
        <v>13193</v>
      </c>
      <c r="U520" s="210">
        <v>0</v>
      </c>
      <c r="V520" s="210">
        <v>1675</v>
      </c>
      <c r="W520" s="210">
        <f>Mon_ILR2[[#This Row],[Accessory Rate]]+Mon_ILR2[[#This Row],[Mounting Rate]]+Mon_ILR2[[#This Row],[Unit Rate]]*Mon_ILR2[[#This Row],[New Quantity Required ]]</f>
        <v>14868</v>
      </c>
      <c r="X520" s="8"/>
      <c r="Y520" s="289" t="s">
        <v>2208</v>
      </c>
      <c r="Z520" s="6" t="s">
        <v>128</v>
      </c>
      <c r="AA520" s="6" t="s">
        <v>46</v>
      </c>
      <c r="AB520" s="6" t="s">
        <v>47</v>
      </c>
      <c r="AC520" s="6" t="s">
        <v>48</v>
      </c>
      <c r="AD520" s="6" t="s">
        <v>49</v>
      </c>
      <c r="AE520" s="6" t="s">
        <v>54</v>
      </c>
      <c r="AF520" s="6" t="s">
        <v>129</v>
      </c>
      <c r="AG520" s="6" t="s">
        <v>130</v>
      </c>
      <c r="AH520" s="6" t="s">
        <v>131</v>
      </c>
      <c r="AI520" s="6" t="s">
        <v>132</v>
      </c>
      <c r="AJ520" s="6" t="s">
        <v>50</v>
      </c>
      <c r="AK520" s="6" t="s">
        <v>50</v>
      </c>
      <c r="AL520" s="6" t="s">
        <v>52</v>
      </c>
      <c r="AM520" s="6" t="s">
        <v>53</v>
      </c>
      <c r="AN520" s="6" t="s">
        <v>133</v>
      </c>
      <c r="AO520" s="6" t="s">
        <v>54</v>
      </c>
    </row>
    <row r="521" spans="2:41" ht="165" x14ac:dyDescent="0.25">
      <c r="B521" s="207" t="s">
        <v>35</v>
      </c>
      <c r="C521" s="66" t="s">
        <v>866</v>
      </c>
      <c r="D521" s="4" t="s">
        <v>867</v>
      </c>
      <c r="E521" s="4" t="s">
        <v>1072</v>
      </c>
      <c r="F521" s="4" t="s">
        <v>932</v>
      </c>
      <c r="G521" s="4" t="s">
        <v>123</v>
      </c>
      <c r="H521" s="208">
        <v>1</v>
      </c>
      <c r="I521" s="4"/>
      <c r="J521" s="15"/>
      <c r="K521" s="4" t="str">
        <f>_xlfn.IFNA(VLOOKUP($J521,WH_Data[],6,FALSE),"")</f>
        <v/>
      </c>
      <c r="L521" s="4" t="str">
        <f>_xlfn.IFNA(VLOOKUP($J521,WH_Data[],3,FALSE),"")</f>
        <v/>
      </c>
      <c r="M521" s="4" t="str">
        <f>_xlfn.IFNA(VLOOKUP($J521,WH_Data[],5,FALSE),"")</f>
        <v/>
      </c>
      <c r="N521" s="4" t="str">
        <f>_xlfn.IFNA(VLOOKUP($J521,WH_Data[],7,FALSE),"")</f>
        <v/>
      </c>
      <c r="O521" s="4" t="str">
        <f>_xlfn.IFNA(VLOOKUP($J521,WH_Data[],8,FALSE),"")</f>
        <v/>
      </c>
      <c r="P521" s="8"/>
      <c r="Q521" s="209">
        <f>Mon_ILR2[[#This Row],[Qty Required]]-Mon_ILR2[[#This Row],[QTY Transfer]]</f>
        <v>1</v>
      </c>
      <c r="R521" s="66" t="s">
        <v>905</v>
      </c>
      <c r="S521" s="66" t="s">
        <v>2212</v>
      </c>
      <c r="T521" s="210">
        <v>13193</v>
      </c>
      <c r="U521" s="210">
        <v>0</v>
      </c>
      <c r="V521" s="210">
        <v>1675</v>
      </c>
      <c r="W521" s="210">
        <f>Mon_ILR2[[#This Row],[Accessory Rate]]+Mon_ILR2[[#This Row],[Mounting Rate]]+Mon_ILR2[[#This Row],[Unit Rate]]*Mon_ILR2[[#This Row],[New Quantity Required ]]</f>
        <v>14868</v>
      </c>
      <c r="X521" s="8"/>
      <c r="Y521" s="289" t="s">
        <v>2208</v>
      </c>
      <c r="Z521" s="6" t="s">
        <v>128</v>
      </c>
      <c r="AA521" s="6" t="s">
        <v>46</v>
      </c>
      <c r="AB521" s="6" t="s">
        <v>47</v>
      </c>
      <c r="AC521" s="6" t="s">
        <v>48</v>
      </c>
      <c r="AD521" s="6" t="s">
        <v>49</v>
      </c>
      <c r="AE521" s="6" t="s">
        <v>54</v>
      </c>
      <c r="AF521" s="6" t="s">
        <v>129</v>
      </c>
      <c r="AG521" s="6" t="s">
        <v>130</v>
      </c>
      <c r="AH521" s="6" t="s">
        <v>131</v>
      </c>
      <c r="AI521" s="6" t="s">
        <v>132</v>
      </c>
      <c r="AJ521" s="6" t="s">
        <v>50</v>
      </c>
      <c r="AK521" s="6" t="s">
        <v>50</v>
      </c>
      <c r="AL521" s="6" t="s">
        <v>52</v>
      </c>
      <c r="AM521" s="6" t="s">
        <v>53</v>
      </c>
      <c r="AN521" s="6" t="s">
        <v>133</v>
      </c>
      <c r="AO521" s="6" t="s">
        <v>54</v>
      </c>
    </row>
    <row r="522" spans="2:41" ht="165" x14ac:dyDescent="0.25">
      <c r="B522" s="207" t="s">
        <v>35</v>
      </c>
      <c r="C522" s="66" t="s">
        <v>868</v>
      </c>
      <c r="D522" s="4" t="s">
        <v>869</v>
      </c>
      <c r="E522" s="4" t="s">
        <v>1072</v>
      </c>
      <c r="F522" s="4" t="s">
        <v>932</v>
      </c>
      <c r="G522" s="4" t="s">
        <v>123</v>
      </c>
      <c r="H522" s="208">
        <v>1</v>
      </c>
      <c r="I522" s="4"/>
      <c r="J522" s="15"/>
      <c r="K522" s="4" t="str">
        <f>_xlfn.IFNA(VLOOKUP($J522,WH_Data[],6,FALSE),"")</f>
        <v/>
      </c>
      <c r="L522" s="4" t="str">
        <f>_xlfn.IFNA(VLOOKUP($J522,WH_Data[],3,FALSE),"")</f>
        <v/>
      </c>
      <c r="M522" s="4" t="str">
        <f>_xlfn.IFNA(VLOOKUP($J522,WH_Data[],5,FALSE),"")</f>
        <v/>
      </c>
      <c r="N522" s="4" t="str">
        <f>_xlfn.IFNA(VLOOKUP($J522,WH_Data[],7,FALSE),"")</f>
        <v/>
      </c>
      <c r="O522" s="4" t="str">
        <f>_xlfn.IFNA(VLOOKUP($J522,WH_Data[],8,FALSE),"")</f>
        <v/>
      </c>
      <c r="P522" s="8"/>
      <c r="Q522" s="209">
        <f>Mon_ILR2[[#This Row],[Qty Required]]-Mon_ILR2[[#This Row],[QTY Transfer]]</f>
        <v>1</v>
      </c>
      <c r="R522" s="66" t="s">
        <v>905</v>
      </c>
      <c r="S522" s="66" t="s">
        <v>2212</v>
      </c>
      <c r="T522" s="210">
        <v>13193</v>
      </c>
      <c r="U522" s="210">
        <v>0</v>
      </c>
      <c r="V522" s="210">
        <v>1675</v>
      </c>
      <c r="W522" s="210">
        <f>Mon_ILR2[[#This Row],[Accessory Rate]]+Mon_ILR2[[#This Row],[Mounting Rate]]+Mon_ILR2[[#This Row],[Unit Rate]]*Mon_ILR2[[#This Row],[New Quantity Required ]]</f>
        <v>14868</v>
      </c>
      <c r="X522" s="8"/>
      <c r="Y522" s="289" t="s">
        <v>2208</v>
      </c>
      <c r="Z522" s="6" t="s">
        <v>128</v>
      </c>
      <c r="AA522" s="6" t="s">
        <v>46</v>
      </c>
      <c r="AB522" s="6" t="s">
        <v>47</v>
      </c>
      <c r="AC522" s="6" t="s">
        <v>48</v>
      </c>
      <c r="AD522" s="6" t="s">
        <v>49</v>
      </c>
      <c r="AE522" s="6" t="s">
        <v>54</v>
      </c>
      <c r="AF522" s="6" t="s">
        <v>129</v>
      </c>
      <c r="AG522" s="6" t="s">
        <v>130</v>
      </c>
      <c r="AH522" s="6" t="s">
        <v>131</v>
      </c>
      <c r="AI522" s="6" t="s">
        <v>132</v>
      </c>
      <c r="AJ522" s="6" t="s">
        <v>50</v>
      </c>
      <c r="AK522" s="6" t="s">
        <v>50</v>
      </c>
      <c r="AL522" s="6" t="s">
        <v>52</v>
      </c>
      <c r="AM522" s="6" t="s">
        <v>53</v>
      </c>
      <c r="AN522" s="6" t="s">
        <v>133</v>
      </c>
      <c r="AO522" s="6" t="s">
        <v>54</v>
      </c>
    </row>
    <row r="523" spans="2:41" ht="165" x14ac:dyDescent="0.25">
      <c r="B523" s="207" t="s">
        <v>35</v>
      </c>
      <c r="C523" s="66" t="s">
        <v>872</v>
      </c>
      <c r="D523" s="4" t="s">
        <v>873</v>
      </c>
      <c r="E523" s="4" t="s">
        <v>1072</v>
      </c>
      <c r="F523" s="4" t="s">
        <v>932</v>
      </c>
      <c r="G523" s="4" t="s">
        <v>123</v>
      </c>
      <c r="H523" s="208">
        <v>1</v>
      </c>
      <c r="I523" s="4"/>
      <c r="J523" s="15"/>
      <c r="K523" s="4" t="str">
        <f>_xlfn.IFNA(VLOOKUP($J523,WH_Data[],6,FALSE),"")</f>
        <v/>
      </c>
      <c r="L523" s="4" t="str">
        <f>_xlfn.IFNA(VLOOKUP($J523,WH_Data[],3,FALSE),"")</f>
        <v/>
      </c>
      <c r="M523" s="4" t="str">
        <f>_xlfn.IFNA(VLOOKUP($J523,WH_Data[],5,FALSE),"")</f>
        <v/>
      </c>
      <c r="N523" s="4" t="str">
        <f>_xlfn.IFNA(VLOOKUP($J523,WH_Data[],7,FALSE),"")</f>
        <v/>
      </c>
      <c r="O523" s="4" t="str">
        <f>_xlfn.IFNA(VLOOKUP($J523,WH_Data[],8,FALSE),"")</f>
        <v/>
      </c>
      <c r="P523" s="8"/>
      <c r="Q523" s="209">
        <f>Mon_ILR2[[#This Row],[Qty Required]]-Mon_ILR2[[#This Row],[QTY Transfer]]</f>
        <v>1</v>
      </c>
      <c r="R523" s="66" t="s">
        <v>905</v>
      </c>
      <c r="S523" s="66" t="s">
        <v>2212</v>
      </c>
      <c r="T523" s="210">
        <v>13193</v>
      </c>
      <c r="U523" s="210">
        <v>0</v>
      </c>
      <c r="V523" s="210">
        <v>1675</v>
      </c>
      <c r="W523" s="210">
        <f>Mon_ILR2[[#This Row],[Accessory Rate]]+Mon_ILR2[[#This Row],[Mounting Rate]]+Mon_ILR2[[#This Row],[Unit Rate]]*Mon_ILR2[[#This Row],[New Quantity Required ]]</f>
        <v>14868</v>
      </c>
      <c r="X523" s="8"/>
      <c r="Y523" s="289" t="s">
        <v>2208</v>
      </c>
      <c r="Z523" s="6" t="s">
        <v>128</v>
      </c>
      <c r="AA523" s="6" t="s">
        <v>46</v>
      </c>
      <c r="AB523" s="6" t="s">
        <v>47</v>
      </c>
      <c r="AC523" s="6" t="s">
        <v>48</v>
      </c>
      <c r="AD523" s="6" t="s">
        <v>49</v>
      </c>
      <c r="AE523" s="6" t="s">
        <v>54</v>
      </c>
      <c r="AF523" s="6" t="s">
        <v>129</v>
      </c>
      <c r="AG523" s="6" t="s">
        <v>130</v>
      </c>
      <c r="AH523" s="6" t="s">
        <v>131</v>
      </c>
      <c r="AI523" s="6" t="s">
        <v>132</v>
      </c>
      <c r="AJ523" s="6" t="s">
        <v>50</v>
      </c>
      <c r="AK523" s="6" t="s">
        <v>50</v>
      </c>
      <c r="AL523" s="6" t="s">
        <v>52</v>
      </c>
      <c r="AM523" s="6" t="s">
        <v>53</v>
      </c>
      <c r="AN523" s="6" t="s">
        <v>133</v>
      </c>
      <c r="AO523" s="6" t="s">
        <v>54</v>
      </c>
    </row>
    <row r="524" spans="2:41" ht="165" x14ac:dyDescent="0.25">
      <c r="B524" s="207" t="s">
        <v>35</v>
      </c>
      <c r="C524" s="66" t="s">
        <v>868</v>
      </c>
      <c r="D524" s="4" t="s">
        <v>874</v>
      </c>
      <c r="E524" s="4" t="s">
        <v>1072</v>
      </c>
      <c r="F524" s="4" t="s">
        <v>932</v>
      </c>
      <c r="G524" s="4" t="s">
        <v>123</v>
      </c>
      <c r="H524" s="208">
        <v>1</v>
      </c>
      <c r="I524" s="4"/>
      <c r="J524" s="15"/>
      <c r="K524" s="4" t="str">
        <f>_xlfn.IFNA(VLOOKUP($J524,WH_Data[],6,FALSE),"")</f>
        <v/>
      </c>
      <c r="L524" s="4" t="str">
        <f>_xlfn.IFNA(VLOOKUP($J524,WH_Data[],3,FALSE),"")</f>
        <v/>
      </c>
      <c r="M524" s="4" t="str">
        <f>_xlfn.IFNA(VLOOKUP($J524,WH_Data[],5,FALSE),"")</f>
        <v/>
      </c>
      <c r="N524" s="4" t="str">
        <f>_xlfn.IFNA(VLOOKUP($J524,WH_Data[],7,FALSE),"")</f>
        <v/>
      </c>
      <c r="O524" s="4" t="str">
        <f>_xlfn.IFNA(VLOOKUP($J524,WH_Data[],8,FALSE),"")</f>
        <v/>
      </c>
      <c r="P524" s="8"/>
      <c r="Q524" s="209">
        <f>Mon_ILR2[[#This Row],[Qty Required]]-Mon_ILR2[[#This Row],[QTY Transfer]]</f>
        <v>1</v>
      </c>
      <c r="R524" s="66" t="s">
        <v>905</v>
      </c>
      <c r="S524" s="66" t="s">
        <v>2212</v>
      </c>
      <c r="T524" s="210">
        <v>13193</v>
      </c>
      <c r="U524" s="210">
        <v>0</v>
      </c>
      <c r="V524" s="210">
        <v>1675</v>
      </c>
      <c r="W524" s="210">
        <f>Mon_ILR2[[#This Row],[Accessory Rate]]+Mon_ILR2[[#This Row],[Mounting Rate]]+Mon_ILR2[[#This Row],[Unit Rate]]*Mon_ILR2[[#This Row],[New Quantity Required ]]</f>
        <v>14868</v>
      </c>
      <c r="X524" s="8"/>
      <c r="Y524" s="289" t="s">
        <v>2208</v>
      </c>
      <c r="Z524" s="6" t="s">
        <v>128</v>
      </c>
      <c r="AA524" s="6" t="s">
        <v>46</v>
      </c>
      <c r="AB524" s="6" t="s">
        <v>47</v>
      </c>
      <c r="AC524" s="6" t="s">
        <v>48</v>
      </c>
      <c r="AD524" s="6" t="s">
        <v>49</v>
      </c>
      <c r="AE524" s="6" t="s">
        <v>54</v>
      </c>
      <c r="AF524" s="6" t="s">
        <v>129</v>
      </c>
      <c r="AG524" s="6" t="s">
        <v>130</v>
      </c>
      <c r="AH524" s="6" t="s">
        <v>131</v>
      </c>
      <c r="AI524" s="6" t="s">
        <v>132</v>
      </c>
      <c r="AJ524" s="6" t="s">
        <v>50</v>
      </c>
      <c r="AK524" s="6" t="s">
        <v>50</v>
      </c>
      <c r="AL524" s="6" t="s">
        <v>52</v>
      </c>
      <c r="AM524" s="6" t="s">
        <v>53</v>
      </c>
      <c r="AN524" s="6" t="s">
        <v>133</v>
      </c>
      <c r="AO524" s="6" t="s">
        <v>54</v>
      </c>
    </row>
    <row r="525" spans="2:41" ht="165" x14ac:dyDescent="0.25">
      <c r="B525" s="207" t="s">
        <v>35</v>
      </c>
      <c r="C525" s="66" t="s">
        <v>872</v>
      </c>
      <c r="D525" s="4" t="s">
        <v>878</v>
      </c>
      <c r="E525" s="4" t="s">
        <v>1072</v>
      </c>
      <c r="F525" s="4" t="s">
        <v>932</v>
      </c>
      <c r="G525" s="4" t="s">
        <v>123</v>
      </c>
      <c r="H525" s="208">
        <v>1</v>
      </c>
      <c r="I525" s="4"/>
      <c r="J525" s="15"/>
      <c r="K525" s="4" t="str">
        <f>_xlfn.IFNA(VLOOKUP($J525,WH_Data[],6,FALSE),"")</f>
        <v/>
      </c>
      <c r="L525" s="4" t="str">
        <f>_xlfn.IFNA(VLOOKUP($J525,WH_Data[],3,FALSE),"")</f>
        <v/>
      </c>
      <c r="M525" s="4" t="str">
        <f>_xlfn.IFNA(VLOOKUP($J525,WH_Data[],5,FALSE),"")</f>
        <v/>
      </c>
      <c r="N525" s="4" t="str">
        <f>_xlfn.IFNA(VLOOKUP($J525,WH_Data[],7,FALSE),"")</f>
        <v/>
      </c>
      <c r="O525" s="4" t="str">
        <f>_xlfn.IFNA(VLOOKUP($J525,WH_Data[],8,FALSE),"")</f>
        <v/>
      </c>
      <c r="P525" s="8"/>
      <c r="Q525" s="209">
        <f>Mon_ILR2[[#This Row],[Qty Required]]-Mon_ILR2[[#This Row],[QTY Transfer]]</f>
        <v>1</v>
      </c>
      <c r="R525" s="66" t="s">
        <v>905</v>
      </c>
      <c r="S525" s="66" t="s">
        <v>2212</v>
      </c>
      <c r="T525" s="210">
        <v>13193</v>
      </c>
      <c r="U525" s="210">
        <v>0</v>
      </c>
      <c r="V525" s="210">
        <v>1675</v>
      </c>
      <c r="W525" s="210">
        <f>Mon_ILR2[[#This Row],[Accessory Rate]]+Mon_ILR2[[#This Row],[Mounting Rate]]+Mon_ILR2[[#This Row],[Unit Rate]]*Mon_ILR2[[#This Row],[New Quantity Required ]]</f>
        <v>14868</v>
      </c>
      <c r="X525" s="8"/>
      <c r="Y525" s="289" t="s">
        <v>2208</v>
      </c>
      <c r="Z525" s="6" t="s">
        <v>128</v>
      </c>
      <c r="AA525" s="6" t="s">
        <v>46</v>
      </c>
      <c r="AB525" s="6" t="s">
        <v>47</v>
      </c>
      <c r="AC525" s="6" t="s">
        <v>48</v>
      </c>
      <c r="AD525" s="6" t="s">
        <v>49</v>
      </c>
      <c r="AE525" s="6" t="s">
        <v>54</v>
      </c>
      <c r="AF525" s="6" t="s">
        <v>129</v>
      </c>
      <c r="AG525" s="6" t="s">
        <v>130</v>
      </c>
      <c r="AH525" s="6" t="s">
        <v>131</v>
      </c>
      <c r="AI525" s="6" t="s">
        <v>132</v>
      </c>
      <c r="AJ525" s="6" t="s">
        <v>50</v>
      </c>
      <c r="AK525" s="6" t="s">
        <v>50</v>
      </c>
      <c r="AL525" s="6" t="s">
        <v>52</v>
      </c>
      <c r="AM525" s="6" t="s">
        <v>53</v>
      </c>
      <c r="AN525" s="6" t="s">
        <v>133</v>
      </c>
      <c r="AO525" s="6" t="s">
        <v>54</v>
      </c>
    </row>
    <row r="526" spans="2:41" ht="165" x14ac:dyDescent="0.25">
      <c r="B526" s="207" t="s">
        <v>35</v>
      </c>
      <c r="C526" s="66" t="s">
        <v>872</v>
      </c>
      <c r="D526" s="4" t="s">
        <v>879</v>
      </c>
      <c r="E526" s="4" t="s">
        <v>1072</v>
      </c>
      <c r="F526" s="4" t="s">
        <v>932</v>
      </c>
      <c r="G526" s="4" t="s">
        <v>123</v>
      </c>
      <c r="H526" s="208">
        <v>1</v>
      </c>
      <c r="I526" s="4"/>
      <c r="J526" s="15"/>
      <c r="K526" s="4" t="str">
        <f>_xlfn.IFNA(VLOOKUP($J526,WH_Data[],6,FALSE),"")</f>
        <v/>
      </c>
      <c r="L526" s="4" t="str">
        <f>_xlfn.IFNA(VLOOKUP($J526,WH_Data[],3,FALSE),"")</f>
        <v/>
      </c>
      <c r="M526" s="4" t="str">
        <f>_xlfn.IFNA(VLOOKUP($J526,WH_Data[],5,FALSE),"")</f>
        <v/>
      </c>
      <c r="N526" s="4" t="str">
        <f>_xlfn.IFNA(VLOOKUP($J526,WH_Data[],7,FALSE),"")</f>
        <v/>
      </c>
      <c r="O526" s="4" t="str">
        <f>_xlfn.IFNA(VLOOKUP($J526,WH_Data[],8,FALSE),"")</f>
        <v/>
      </c>
      <c r="P526" s="8"/>
      <c r="Q526" s="209">
        <f>Mon_ILR2[[#This Row],[Qty Required]]-Mon_ILR2[[#This Row],[QTY Transfer]]</f>
        <v>1</v>
      </c>
      <c r="R526" s="66" t="s">
        <v>905</v>
      </c>
      <c r="S526" s="66" t="s">
        <v>2212</v>
      </c>
      <c r="T526" s="210">
        <v>13193</v>
      </c>
      <c r="U526" s="210">
        <v>0</v>
      </c>
      <c r="V526" s="210">
        <v>1675</v>
      </c>
      <c r="W526" s="210">
        <f>Mon_ILR2[[#This Row],[Accessory Rate]]+Mon_ILR2[[#This Row],[Mounting Rate]]+Mon_ILR2[[#This Row],[Unit Rate]]*Mon_ILR2[[#This Row],[New Quantity Required ]]</f>
        <v>14868</v>
      </c>
      <c r="X526" s="8"/>
      <c r="Y526" s="289" t="s">
        <v>2208</v>
      </c>
      <c r="Z526" s="6" t="s">
        <v>128</v>
      </c>
      <c r="AA526" s="6" t="s">
        <v>46</v>
      </c>
      <c r="AB526" s="6" t="s">
        <v>47</v>
      </c>
      <c r="AC526" s="6" t="s">
        <v>48</v>
      </c>
      <c r="AD526" s="6" t="s">
        <v>49</v>
      </c>
      <c r="AE526" s="6" t="s">
        <v>54</v>
      </c>
      <c r="AF526" s="6" t="s">
        <v>129</v>
      </c>
      <c r="AG526" s="6" t="s">
        <v>130</v>
      </c>
      <c r="AH526" s="6" t="s">
        <v>131</v>
      </c>
      <c r="AI526" s="6" t="s">
        <v>132</v>
      </c>
      <c r="AJ526" s="6" t="s">
        <v>50</v>
      </c>
      <c r="AK526" s="6" t="s">
        <v>50</v>
      </c>
      <c r="AL526" s="6" t="s">
        <v>52</v>
      </c>
      <c r="AM526" s="6" t="s">
        <v>53</v>
      </c>
      <c r="AN526" s="6" t="s">
        <v>133</v>
      </c>
      <c r="AO526" s="6" t="s">
        <v>54</v>
      </c>
    </row>
    <row r="527" spans="2:41" ht="165" x14ac:dyDescent="0.25">
      <c r="B527" s="207" t="s">
        <v>35</v>
      </c>
      <c r="C527" s="66" t="s">
        <v>872</v>
      </c>
      <c r="D527" s="4" t="s">
        <v>880</v>
      </c>
      <c r="E527" s="4" t="s">
        <v>1072</v>
      </c>
      <c r="F527" s="4" t="s">
        <v>932</v>
      </c>
      <c r="G527" s="4" t="s">
        <v>123</v>
      </c>
      <c r="H527" s="208">
        <v>1</v>
      </c>
      <c r="I527" s="4"/>
      <c r="J527" s="15"/>
      <c r="K527" s="4" t="str">
        <f>_xlfn.IFNA(VLOOKUP($J527,WH_Data[],6,FALSE),"")</f>
        <v/>
      </c>
      <c r="L527" s="4" t="str">
        <f>_xlfn.IFNA(VLOOKUP($J527,WH_Data[],3,FALSE),"")</f>
        <v/>
      </c>
      <c r="M527" s="4" t="str">
        <f>_xlfn.IFNA(VLOOKUP($J527,WH_Data[],5,FALSE),"")</f>
        <v/>
      </c>
      <c r="N527" s="4" t="str">
        <f>_xlfn.IFNA(VLOOKUP($J527,WH_Data[],7,FALSE),"")</f>
        <v/>
      </c>
      <c r="O527" s="4" t="str">
        <f>_xlfn.IFNA(VLOOKUP($J527,WH_Data[],8,FALSE),"")</f>
        <v/>
      </c>
      <c r="P527" s="8"/>
      <c r="Q527" s="209">
        <f>Mon_ILR2[[#This Row],[Qty Required]]-Mon_ILR2[[#This Row],[QTY Transfer]]</f>
        <v>1</v>
      </c>
      <c r="R527" s="66" t="s">
        <v>905</v>
      </c>
      <c r="S527" s="66" t="s">
        <v>2212</v>
      </c>
      <c r="T527" s="210">
        <v>13193</v>
      </c>
      <c r="U527" s="210">
        <v>0</v>
      </c>
      <c r="V527" s="210">
        <v>1675</v>
      </c>
      <c r="W527" s="210">
        <f>Mon_ILR2[[#This Row],[Accessory Rate]]+Mon_ILR2[[#This Row],[Mounting Rate]]+Mon_ILR2[[#This Row],[Unit Rate]]*Mon_ILR2[[#This Row],[New Quantity Required ]]</f>
        <v>14868</v>
      </c>
      <c r="X527" s="8"/>
      <c r="Y527" s="289" t="s">
        <v>2208</v>
      </c>
      <c r="Z527" s="6" t="s">
        <v>128</v>
      </c>
      <c r="AA527" s="6" t="s">
        <v>46</v>
      </c>
      <c r="AB527" s="6" t="s">
        <v>47</v>
      </c>
      <c r="AC527" s="6" t="s">
        <v>48</v>
      </c>
      <c r="AD527" s="6" t="s">
        <v>49</v>
      </c>
      <c r="AE527" s="6" t="s">
        <v>54</v>
      </c>
      <c r="AF527" s="6" t="s">
        <v>129</v>
      </c>
      <c r="AG527" s="6" t="s">
        <v>130</v>
      </c>
      <c r="AH527" s="6" t="s">
        <v>131</v>
      </c>
      <c r="AI527" s="6" t="s">
        <v>132</v>
      </c>
      <c r="AJ527" s="6" t="s">
        <v>50</v>
      </c>
      <c r="AK527" s="6" t="s">
        <v>50</v>
      </c>
      <c r="AL527" s="6" t="s">
        <v>52</v>
      </c>
      <c r="AM527" s="6" t="s">
        <v>53</v>
      </c>
      <c r="AN527" s="6" t="s">
        <v>133</v>
      </c>
      <c r="AO527" s="6" t="s">
        <v>54</v>
      </c>
    </row>
    <row r="528" spans="2:41" ht="165" x14ac:dyDescent="0.25">
      <c r="B528" s="207" t="s">
        <v>35</v>
      </c>
      <c r="C528" s="66" t="s">
        <v>872</v>
      </c>
      <c r="D528" s="4" t="s">
        <v>886</v>
      </c>
      <c r="E528" s="4" t="s">
        <v>1072</v>
      </c>
      <c r="F528" s="4" t="s">
        <v>932</v>
      </c>
      <c r="G528" s="4" t="s">
        <v>123</v>
      </c>
      <c r="H528" s="208">
        <v>1</v>
      </c>
      <c r="I528" s="4"/>
      <c r="J528" s="15"/>
      <c r="K528" s="4" t="str">
        <f>_xlfn.IFNA(VLOOKUP($J528,WH_Data[],6,FALSE),"")</f>
        <v/>
      </c>
      <c r="L528" s="4" t="str">
        <f>_xlfn.IFNA(VLOOKUP($J528,WH_Data[],3,FALSE),"")</f>
        <v/>
      </c>
      <c r="M528" s="4" t="str">
        <f>_xlfn.IFNA(VLOOKUP($J528,WH_Data[],5,FALSE),"")</f>
        <v/>
      </c>
      <c r="N528" s="4" t="str">
        <f>_xlfn.IFNA(VLOOKUP($J528,WH_Data[],7,FALSE),"")</f>
        <v/>
      </c>
      <c r="O528" s="4" t="str">
        <f>_xlfn.IFNA(VLOOKUP($J528,WH_Data[],8,FALSE),"")</f>
        <v/>
      </c>
      <c r="P528" s="8"/>
      <c r="Q528" s="209">
        <f>Mon_ILR2[[#This Row],[Qty Required]]-Mon_ILR2[[#This Row],[QTY Transfer]]</f>
        <v>1</v>
      </c>
      <c r="R528" s="66" t="s">
        <v>905</v>
      </c>
      <c r="S528" s="66" t="s">
        <v>2212</v>
      </c>
      <c r="T528" s="210">
        <v>13193</v>
      </c>
      <c r="U528" s="210">
        <v>0</v>
      </c>
      <c r="V528" s="210">
        <v>1675</v>
      </c>
      <c r="W528" s="210">
        <f>Mon_ILR2[[#This Row],[Accessory Rate]]+Mon_ILR2[[#This Row],[Mounting Rate]]+Mon_ILR2[[#This Row],[Unit Rate]]*Mon_ILR2[[#This Row],[New Quantity Required ]]</f>
        <v>14868</v>
      </c>
      <c r="X528" s="8"/>
      <c r="Y528" s="289" t="s">
        <v>2208</v>
      </c>
      <c r="Z528" s="6" t="s">
        <v>128</v>
      </c>
      <c r="AA528" s="6" t="s">
        <v>46</v>
      </c>
      <c r="AB528" s="6" t="s">
        <v>47</v>
      </c>
      <c r="AC528" s="6" t="s">
        <v>48</v>
      </c>
      <c r="AD528" s="6" t="s">
        <v>49</v>
      </c>
      <c r="AE528" s="6" t="s">
        <v>54</v>
      </c>
      <c r="AF528" s="6" t="s">
        <v>129</v>
      </c>
      <c r="AG528" s="6" t="s">
        <v>130</v>
      </c>
      <c r="AH528" s="6" t="s">
        <v>131</v>
      </c>
      <c r="AI528" s="6" t="s">
        <v>132</v>
      </c>
      <c r="AJ528" s="6" t="s">
        <v>50</v>
      </c>
      <c r="AK528" s="6" t="s">
        <v>50</v>
      </c>
      <c r="AL528" s="6" t="s">
        <v>52</v>
      </c>
      <c r="AM528" s="6" t="s">
        <v>53</v>
      </c>
      <c r="AN528" s="6" t="s">
        <v>133</v>
      </c>
      <c r="AO528" s="6" t="s">
        <v>54</v>
      </c>
    </row>
    <row r="529" spans="2:41" ht="60" customHeight="1" x14ac:dyDescent="0.25">
      <c r="B529" s="207" t="s">
        <v>161</v>
      </c>
      <c r="C529" s="66" t="s">
        <v>162</v>
      </c>
      <c r="D529" s="4" t="s">
        <v>163</v>
      </c>
      <c r="E529" s="4" t="s">
        <v>956</v>
      </c>
      <c r="F529" s="4" t="s">
        <v>164</v>
      </c>
      <c r="G529" s="4" t="s">
        <v>165</v>
      </c>
      <c r="H529" s="208">
        <v>1</v>
      </c>
      <c r="I529" s="4"/>
      <c r="J529" s="15" t="s">
        <v>166</v>
      </c>
      <c r="K529" s="4" t="s">
        <v>167</v>
      </c>
      <c r="L529" s="4" t="s">
        <v>168</v>
      </c>
      <c r="M529" s="4" t="s">
        <v>169</v>
      </c>
      <c r="N529" s="4" t="s">
        <v>170</v>
      </c>
      <c r="O529" s="4" t="s">
        <v>171</v>
      </c>
      <c r="P529" s="211">
        <v>0</v>
      </c>
      <c r="Q529" s="209">
        <f>Mon_ILR2[[#This Row],[Qty Required]]-Mon_ILR2[[#This Row],[QTY Transfer]]</f>
        <v>1</v>
      </c>
      <c r="R529" s="66" t="s">
        <v>905</v>
      </c>
      <c r="S529" s="66" t="s">
        <v>955</v>
      </c>
      <c r="T529" s="210">
        <f>_xlfn.IFNA(VLOOKUP(Mon_ILR2[[#This Row],[New Model]],PhilipsLibary[],4,FALSE),"0")</f>
        <v>4121</v>
      </c>
      <c r="U529" s="210">
        <f>_xlfn.IFNA(VLOOKUP(Mon_ILR2[[#This Row],[New Model]],PhilipsLibary[],5,FALSE),"0")</f>
        <v>0</v>
      </c>
      <c r="V529" s="210">
        <v>1171.5999999999999</v>
      </c>
      <c r="W529" s="210">
        <f>Mon_ILR2[[#This Row],[Accessory Rate]]+Mon_ILR2[[#This Row],[Mounting Rate]]+Mon_ILR2[[#This Row],[Unit Rate]]*Mon_ILR2[[#This Row],[New Quantity Required ]]</f>
        <v>5292.6</v>
      </c>
      <c r="X529" s="8"/>
      <c r="Y529" s="246" t="s">
        <v>1169</v>
      </c>
      <c r="Z529" s="6" t="s">
        <v>172</v>
      </c>
      <c r="AA529" s="6" t="s">
        <v>173</v>
      </c>
      <c r="AB529" s="6" t="s">
        <v>50</v>
      </c>
      <c r="AC529" s="6" t="s">
        <v>48</v>
      </c>
      <c r="AD529" s="6" t="s">
        <v>49</v>
      </c>
      <c r="AE529" s="6" t="s">
        <v>50</v>
      </c>
      <c r="AF529" s="6" t="s">
        <v>50</v>
      </c>
      <c r="AG529" s="6" t="s">
        <v>50</v>
      </c>
      <c r="AH529" s="6" t="s">
        <v>50</v>
      </c>
      <c r="AI529" s="6" t="s">
        <v>50</v>
      </c>
      <c r="AJ529" s="6" t="s">
        <v>50</v>
      </c>
      <c r="AK529" s="6" t="s">
        <v>50</v>
      </c>
      <c r="AL529" s="6" t="s">
        <v>50</v>
      </c>
      <c r="AM529" s="6" t="s">
        <v>50</v>
      </c>
      <c r="AN529" s="6" t="s">
        <v>50</v>
      </c>
      <c r="AO529" s="6" t="s">
        <v>54</v>
      </c>
    </row>
    <row r="530" spans="2:41" ht="60" customHeight="1" x14ac:dyDescent="0.25">
      <c r="B530" s="207" t="s">
        <v>161</v>
      </c>
      <c r="C530" s="66" t="s">
        <v>185</v>
      </c>
      <c r="D530" s="4" t="s">
        <v>186</v>
      </c>
      <c r="E530" s="4" t="s">
        <v>956</v>
      </c>
      <c r="F530" s="4" t="s">
        <v>164</v>
      </c>
      <c r="G530" s="4" t="s">
        <v>165</v>
      </c>
      <c r="H530" s="208">
        <v>1</v>
      </c>
      <c r="I530" s="4"/>
      <c r="J530" s="15" t="s">
        <v>416</v>
      </c>
      <c r="K530" s="4" t="s">
        <v>167</v>
      </c>
      <c r="L530" s="4" t="s">
        <v>168</v>
      </c>
      <c r="M530" s="4" t="s">
        <v>169</v>
      </c>
      <c r="N530" s="4" t="s">
        <v>417</v>
      </c>
      <c r="O530" s="4" t="s">
        <v>171</v>
      </c>
      <c r="P530" s="211">
        <v>0</v>
      </c>
      <c r="Q530" s="209">
        <f>Mon_ILR2[[#This Row],[Qty Required]]-Mon_ILR2[[#This Row],[QTY Transfer]]</f>
        <v>1</v>
      </c>
      <c r="R530" s="66" t="s">
        <v>905</v>
      </c>
      <c r="S530" s="66" t="s">
        <v>955</v>
      </c>
      <c r="T530" s="210">
        <f>_xlfn.IFNA(VLOOKUP(Mon_ILR2[[#This Row],[New Model]],PhilipsLibary[],4,FALSE),"0")</f>
        <v>4121</v>
      </c>
      <c r="U530" s="210">
        <f>_xlfn.IFNA(VLOOKUP(Mon_ILR2[[#This Row],[New Model]],PhilipsLibary[],5,FALSE),"0")</f>
        <v>0</v>
      </c>
      <c r="V530" s="210">
        <v>1171.5999999999999</v>
      </c>
      <c r="W530" s="210">
        <f>Mon_ILR2[[#This Row],[Accessory Rate]]+Mon_ILR2[[#This Row],[Mounting Rate]]+Mon_ILR2[[#This Row],[Unit Rate]]*Mon_ILR2[[#This Row],[New Quantity Required ]]</f>
        <v>5292.6</v>
      </c>
      <c r="X530" s="8"/>
      <c r="Y530" s="246" t="s">
        <v>1169</v>
      </c>
      <c r="Z530" s="6" t="s">
        <v>172</v>
      </c>
      <c r="AA530" s="6" t="s">
        <v>173</v>
      </c>
      <c r="AB530" s="6" t="s">
        <v>50</v>
      </c>
      <c r="AC530" s="6" t="s">
        <v>48</v>
      </c>
      <c r="AD530" s="6" t="s">
        <v>49</v>
      </c>
      <c r="AE530" s="6" t="s">
        <v>50</v>
      </c>
      <c r="AF530" s="6" t="s">
        <v>50</v>
      </c>
      <c r="AG530" s="6" t="s">
        <v>50</v>
      </c>
      <c r="AH530" s="6" t="s">
        <v>50</v>
      </c>
      <c r="AI530" s="6" t="s">
        <v>50</v>
      </c>
      <c r="AJ530" s="6" t="s">
        <v>50</v>
      </c>
      <c r="AK530" s="6" t="s">
        <v>50</v>
      </c>
      <c r="AL530" s="6" t="s">
        <v>50</v>
      </c>
      <c r="AM530" s="6" t="s">
        <v>50</v>
      </c>
      <c r="AN530" s="6" t="s">
        <v>50</v>
      </c>
      <c r="AO530" s="6" t="s">
        <v>54</v>
      </c>
    </row>
    <row r="531" spans="2:41" ht="60" customHeight="1" x14ac:dyDescent="0.25">
      <c r="B531" s="207" t="s">
        <v>161</v>
      </c>
      <c r="C531" s="66" t="s">
        <v>198</v>
      </c>
      <c r="D531" s="4" t="s">
        <v>199</v>
      </c>
      <c r="E531" s="4" t="s">
        <v>956</v>
      </c>
      <c r="F531" s="4" t="s">
        <v>164</v>
      </c>
      <c r="G531" s="4" t="s">
        <v>165</v>
      </c>
      <c r="H531" s="208">
        <v>1</v>
      </c>
      <c r="I531" s="4"/>
      <c r="J531" s="15" t="s">
        <v>418</v>
      </c>
      <c r="K531" s="4" t="s">
        <v>167</v>
      </c>
      <c r="L531" s="4" t="s">
        <v>168</v>
      </c>
      <c r="M531" s="4" t="s">
        <v>169</v>
      </c>
      <c r="N531" s="4" t="s">
        <v>419</v>
      </c>
      <c r="O531" s="4" t="s">
        <v>171</v>
      </c>
      <c r="P531" s="211">
        <v>0</v>
      </c>
      <c r="Q531" s="209">
        <f>Mon_ILR2[[#This Row],[Qty Required]]-Mon_ILR2[[#This Row],[QTY Transfer]]</f>
        <v>1</v>
      </c>
      <c r="R531" s="66" t="s">
        <v>905</v>
      </c>
      <c r="S531" s="66" t="s">
        <v>955</v>
      </c>
      <c r="T531" s="210">
        <f>_xlfn.IFNA(VLOOKUP(Mon_ILR2[[#This Row],[New Model]],PhilipsLibary[],4,FALSE),"0")</f>
        <v>4121</v>
      </c>
      <c r="U531" s="210">
        <f>_xlfn.IFNA(VLOOKUP(Mon_ILR2[[#This Row],[New Model]],PhilipsLibary[],5,FALSE),"0")</f>
        <v>0</v>
      </c>
      <c r="V531" s="210">
        <v>1171.5999999999999</v>
      </c>
      <c r="W531" s="210">
        <f>Mon_ILR2[[#This Row],[Accessory Rate]]+Mon_ILR2[[#This Row],[Mounting Rate]]+Mon_ILR2[[#This Row],[Unit Rate]]*Mon_ILR2[[#This Row],[New Quantity Required ]]</f>
        <v>5292.6</v>
      </c>
      <c r="X531" s="8"/>
      <c r="Y531" s="246" t="s">
        <v>1169</v>
      </c>
      <c r="Z531" s="6" t="s">
        <v>172</v>
      </c>
      <c r="AA531" s="6" t="s">
        <v>173</v>
      </c>
      <c r="AB531" s="6" t="s">
        <v>50</v>
      </c>
      <c r="AC531" s="6" t="s">
        <v>48</v>
      </c>
      <c r="AD531" s="6" t="s">
        <v>49</v>
      </c>
      <c r="AE531" s="6" t="s">
        <v>50</v>
      </c>
      <c r="AF531" s="6" t="s">
        <v>50</v>
      </c>
      <c r="AG531" s="6" t="s">
        <v>50</v>
      </c>
      <c r="AH531" s="6" t="s">
        <v>50</v>
      </c>
      <c r="AI531" s="6" t="s">
        <v>50</v>
      </c>
      <c r="AJ531" s="6" t="s">
        <v>50</v>
      </c>
      <c r="AK531" s="6" t="s">
        <v>50</v>
      </c>
      <c r="AL531" s="6" t="s">
        <v>50</v>
      </c>
      <c r="AM531" s="6" t="s">
        <v>50</v>
      </c>
      <c r="AN531" s="6" t="s">
        <v>50</v>
      </c>
      <c r="AO531" s="6" t="s">
        <v>54</v>
      </c>
    </row>
    <row r="532" spans="2:41" ht="60" customHeight="1" x14ac:dyDescent="0.25">
      <c r="B532" s="207" t="s">
        <v>161</v>
      </c>
      <c r="C532" s="66" t="s">
        <v>198</v>
      </c>
      <c r="D532" s="4" t="s">
        <v>200</v>
      </c>
      <c r="E532" s="4" t="s">
        <v>956</v>
      </c>
      <c r="F532" s="4" t="s">
        <v>164</v>
      </c>
      <c r="G532" s="4" t="s">
        <v>165</v>
      </c>
      <c r="H532" s="208">
        <v>1</v>
      </c>
      <c r="I532" s="4"/>
      <c r="J532" s="15" t="s">
        <v>420</v>
      </c>
      <c r="K532" s="4" t="s">
        <v>167</v>
      </c>
      <c r="L532" s="4" t="s">
        <v>168</v>
      </c>
      <c r="M532" s="4" t="s">
        <v>169</v>
      </c>
      <c r="N532" s="4" t="s">
        <v>421</v>
      </c>
      <c r="O532" s="4" t="s">
        <v>171</v>
      </c>
      <c r="P532" s="211">
        <v>0</v>
      </c>
      <c r="Q532" s="209">
        <f>Mon_ILR2[[#This Row],[Qty Required]]-Mon_ILR2[[#This Row],[QTY Transfer]]</f>
        <v>1</v>
      </c>
      <c r="R532" s="66" t="s">
        <v>905</v>
      </c>
      <c r="S532" s="66" t="s">
        <v>955</v>
      </c>
      <c r="T532" s="210">
        <f>_xlfn.IFNA(VLOOKUP(Mon_ILR2[[#This Row],[New Model]],PhilipsLibary[],4,FALSE),"0")</f>
        <v>4121</v>
      </c>
      <c r="U532" s="210">
        <f>_xlfn.IFNA(VLOOKUP(Mon_ILR2[[#This Row],[New Model]],PhilipsLibary[],5,FALSE),"0")</f>
        <v>0</v>
      </c>
      <c r="V532" s="210">
        <v>1171.5999999999999</v>
      </c>
      <c r="W532" s="210">
        <f>Mon_ILR2[[#This Row],[Accessory Rate]]+Mon_ILR2[[#This Row],[Mounting Rate]]+Mon_ILR2[[#This Row],[Unit Rate]]*Mon_ILR2[[#This Row],[New Quantity Required ]]</f>
        <v>5292.6</v>
      </c>
      <c r="X532" s="8"/>
      <c r="Y532" s="246" t="s">
        <v>1169</v>
      </c>
      <c r="Z532" s="6" t="s">
        <v>172</v>
      </c>
      <c r="AA532" s="6" t="s">
        <v>173</v>
      </c>
      <c r="AB532" s="6" t="s">
        <v>50</v>
      </c>
      <c r="AC532" s="6" t="s">
        <v>48</v>
      </c>
      <c r="AD532" s="6" t="s">
        <v>49</v>
      </c>
      <c r="AE532" s="6" t="s">
        <v>50</v>
      </c>
      <c r="AF532" s="6" t="s">
        <v>50</v>
      </c>
      <c r="AG532" s="6" t="s">
        <v>50</v>
      </c>
      <c r="AH532" s="6" t="s">
        <v>50</v>
      </c>
      <c r="AI532" s="6" t="s">
        <v>50</v>
      </c>
      <c r="AJ532" s="6" t="s">
        <v>50</v>
      </c>
      <c r="AK532" s="6" t="s">
        <v>50</v>
      </c>
      <c r="AL532" s="6" t="s">
        <v>50</v>
      </c>
      <c r="AM532" s="6" t="s">
        <v>50</v>
      </c>
      <c r="AN532" s="6" t="s">
        <v>50</v>
      </c>
      <c r="AO532" s="6" t="s">
        <v>54</v>
      </c>
    </row>
    <row r="533" spans="2:41" ht="60" customHeight="1" x14ac:dyDescent="0.25">
      <c r="B533" s="207" t="s">
        <v>161</v>
      </c>
      <c r="C533" s="66" t="s">
        <v>198</v>
      </c>
      <c r="D533" s="4" t="s">
        <v>212</v>
      </c>
      <c r="E533" s="4" t="s">
        <v>956</v>
      </c>
      <c r="F533" s="4" t="s">
        <v>164</v>
      </c>
      <c r="G533" s="4" t="s">
        <v>165</v>
      </c>
      <c r="H533" s="208">
        <v>1</v>
      </c>
      <c r="I533" s="4"/>
      <c r="J533" s="15" t="s">
        <v>422</v>
      </c>
      <c r="K533" s="4" t="s">
        <v>167</v>
      </c>
      <c r="L533" s="4" t="s">
        <v>168</v>
      </c>
      <c r="M533" s="4" t="s">
        <v>169</v>
      </c>
      <c r="N533" s="4" t="s">
        <v>423</v>
      </c>
      <c r="O533" s="4" t="s">
        <v>171</v>
      </c>
      <c r="P533" s="211">
        <v>0</v>
      </c>
      <c r="Q533" s="209">
        <f>Mon_ILR2[[#This Row],[Qty Required]]-Mon_ILR2[[#This Row],[QTY Transfer]]</f>
        <v>1</v>
      </c>
      <c r="R533" s="66" t="s">
        <v>905</v>
      </c>
      <c r="S533" s="66" t="s">
        <v>955</v>
      </c>
      <c r="T533" s="210">
        <f>_xlfn.IFNA(VLOOKUP(Mon_ILR2[[#This Row],[New Model]],PhilipsLibary[],4,FALSE),"0")</f>
        <v>4121</v>
      </c>
      <c r="U533" s="210">
        <f>_xlfn.IFNA(VLOOKUP(Mon_ILR2[[#This Row],[New Model]],PhilipsLibary[],5,FALSE),"0")</f>
        <v>0</v>
      </c>
      <c r="V533" s="210">
        <v>1171.5999999999999</v>
      </c>
      <c r="W533" s="210">
        <f>Mon_ILR2[[#This Row],[Accessory Rate]]+Mon_ILR2[[#This Row],[Mounting Rate]]+Mon_ILR2[[#This Row],[Unit Rate]]*Mon_ILR2[[#This Row],[New Quantity Required ]]</f>
        <v>5292.6</v>
      </c>
      <c r="X533" s="8"/>
      <c r="Y533" s="246" t="s">
        <v>1169</v>
      </c>
      <c r="Z533" s="6" t="s">
        <v>172</v>
      </c>
      <c r="AA533" s="6" t="s">
        <v>173</v>
      </c>
      <c r="AB533" s="6" t="s">
        <v>50</v>
      </c>
      <c r="AC533" s="6" t="s">
        <v>48</v>
      </c>
      <c r="AD533" s="6" t="s">
        <v>49</v>
      </c>
      <c r="AE533" s="6" t="s">
        <v>50</v>
      </c>
      <c r="AF533" s="6" t="s">
        <v>50</v>
      </c>
      <c r="AG533" s="6" t="s">
        <v>50</v>
      </c>
      <c r="AH533" s="6" t="s">
        <v>50</v>
      </c>
      <c r="AI533" s="6" t="s">
        <v>50</v>
      </c>
      <c r="AJ533" s="6" t="s">
        <v>50</v>
      </c>
      <c r="AK533" s="6" t="s">
        <v>50</v>
      </c>
      <c r="AL533" s="6" t="s">
        <v>50</v>
      </c>
      <c r="AM533" s="6" t="s">
        <v>50</v>
      </c>
      <c r="AN533" s="6" t="s">
        <v>50</v>
      </c>
      <c r="AO533" s="6" t="s">
        <v>54</v>
      </c>
    </row>
    <row r="534" spans="2:41" ht="60" customHeight="1" x14ac:dyDescent="0.25">
      <c r="B534" s="207" t="s">
        <v>161</v>
      </c>
      <c r="C534" s="66" t="s">
        <v>198</v>
      </c>
      <c r="D534" s="4" t="s">
        <v>213</v>
      </c>
      <c r="E534" s="4" t="s">
        <v>956</v>
      </c>
      <c r="F534" s="4" t="s">
        <v>164</v>
      </c>
      <c r="G534" s="4" t="s">
        <v>165</v>
      </c>
      <c r="H534" s="208">
        <v>1</v>
      </c>
      <c r="I534" s="4"/>
      <c r="J534" s="15" t="s">
        <v>424</v>
      </c>
      <c r="K534" s="4" t="s">
        <v>167</v>
      </c>
      <c r="L534" s="4" t="s">
        <v>168</v>
      </c>
      <c r="M534" s="4" t="s">
        <v>169</v>
      </c>
      <c r="N534" s="4" t="s">
        <v>425</v>
      </c>
      <c r="O534" s="4" t="s">
        <v>171</v>
      </c>
      <c r="P534" s="211">
        <v>0</v>
      </c>
      <c r="Q534" s="209">
        <f>Mon_ILR2[[#This Row],[Qty Required]]-Mon_ILR2[[#This Row],[QTY Transfer]]</f>
        <v>1</v>
      </c>
      <c r="R534" s="66" t="s">
        <v>905</v>
      </c>
      <c r="S534" s="66" t="s">
        <v>955</v>
      </c>
      <c r="T534" s="210">
        <f>_xlfn.IFNA(VLOOKUP(Mon_ILR2[[#This Row],[New Model]],PhilipsLibary[],4,FALSE),"0")</f>
        <v>4121</v>
      </c>
      <c r="U534" s="210">
        <f>_xlfn.IFNA(VLOOKUP(Mon_ILR2[[#This Row],[New Model]],PhilipsLibary[],5,FALSE),"0")</f>
        <v>0</v>
      </c>
      <c r="V534" s="210">
        <v>1171.5999999999999</v>
      </c>
      <c r="W534" s="210">
        <f>Mon_ILR2[[#This Row],[Accessory Rate]]+Mon_ILR2[[#This Row],[Mounting Rate]]+Mon_ILR2[[#This Row],[Unit Rate]]*Mon_ILR2[[#This Row],[New Quantity Required ]]</f>
        <v>5292.6</v>
      </c>
      <c r="X534" s="8"/>
      <c r="Y534" s="246" t="s">
        <v>1169</v>
      </c>
      <c r="Z534" s="6" t="s">
        <v>172</v>
      </c>
      <c r="AA534" s="6" t="s">
        <v>173</v>
      </c>
      <c r="AB534" s="6" t="s">
        <v>50</v>
      </c>
      <c r="AC534" s="6" t="s">
        <v>48</v>
      </c>
      <c r="AD534" s="6" t="s">
        <v>49</v>
      </c>
      <c r="AE534" s="6" t="s">
        <v>50</v>
      </c>
      <c r="AF534" s="6" t="s">
        <v>50</v>
      </c>
      <c r="AG534" s="6" t="s">
        <v>50</v>
      </c>
      <c r="AH534" s="6" t="s">
        <v>50</v>
      </c>
      <c r="AI534" s="6" t="s">
        <v>50</v>
      </c>
      <c r="AJ534" s="6" t="s">
        <v>50</v>
      </c>
      <c r="AK534" s="6" t="s">
        <v>50</v>
      </c>
      <c r="AL534" s="6" t="s">
        <v>50</v>
      </c>
      <c r="AM534" s="6" t="s">
        <v>50</v>
      </c>
      <c r="AN534" s="6" t="s">
        <v>50</v>
      </c>
      <c r="AO534" s="6" t="s">
        <v>54</v>
      </c>
    </row>
    <row r="535" spans="2:41" ht="60" customHeight="1" x14ac:dyDescent="0.25">
      <c r="B535" s="207" t="s">
        <v>161</v>
      </c>
      <c r="C535" s="66" t="s">
        <v>162</v>
      </c>
      <c r="D535" s="4" t="s">
        <v>182</v>
      </c>
      <c r="E535" s="4" t="s">
        <v>956</v>
      </c>
      <c r="F535" s="4" t="s">
        <v>164</v>
      </c>
      <c r="G535" s="4" t="s">
        <v>165</v>
      </c>
      <c r="H535" s="208">
        <v>1</v>
      </c>
      <c r="I535" s="4"/>
      <c r="J535" s="15" t="s">
        <v>426</v>
      </c>
      <c r="K535" s="4" t="s">
        <v>167</v>
      </c>
      <c r="L535" s="4" t="s">
        <v>168</v>
      </c>
      <c r="M535" s="4" t="s">
        <v>169</v>
      </c>
      <c r="N535" s="4" t="s">
        <v>427</v>
      </c>
      <c r="O535" s="4" t="s">
        <v>171</v>
      </c>
      <c r="P535" s="211">
        <v>0</v>
      </c>
      <c r="Q535" s="209">
        <f>Mon_ILR2[[#This Row],[Qty Required]]-Mon_ILR2[[#This Row],[QTY Transfer]]</f>
        <v>1</v>
      </c>
      <c r="R535" s="66" t="s">
        <v>905</v>
      </c>
      <c r="S535" s="66" t="s">
        <v>955</v>
      </c>
      <c r="T535" s="210">
        <f>_xlfn.IFNA(VLOOKUP(Mon_ILR2[[#This Row],[New Model]],PhilipsLibary[],4,FALSE),"0")</f>
        <v>4121</v>
      </c>
      <c r="U535" s="210">
        <f>_xlfn.IFNA(VLOOKUP(Mon_ILR2[[#This Row],[New Model]],PhilipsLibary[],5,FALSE),"0")</f>
        <v>0</v>
      </c>
      <c r="V535" s="210">
        <v>1171.5999999999999</v>
      </c>
      <c r="W535" s="210">
        <f>Mon_ILR2[[#This Row],[Accessory Rate]]+Mon_ILR2[[#This Row],[Mounting Rate]]+Mon_ILR2[[#This Row],[Unit Rate]]*Mon_ILR2[[#This Row],[New Quantity Required ]]</f>
        <v>5292.6</v>
      </c>
      <c r="X535" s="8"/>
      <c r="Y535" s="246" t="s">
        <v>1169</v>
      </c>
      <c r="Z535" s="6" t="s">
        <v>172</v>
      </c>
      <c r="AA535" s="6" t="s">
        <v>173</v>
      </c>
      <c r="AB535" s="6" t="s">
        <v>50</v>
      </c>
      <c r="AC535" s="6" t="s">
        <v>48</v>
      </c>
      <c r="AD535" s="6" t="s">
        <v>49</v>
      </c>
      <c r="AE535" s="6" t="s">
        <v>50</v>
      </c>
      <c r="AF535" s="6" t="s">
        <v>50</v>
      </c>
      <c r="AG535" s="6" t="s">
        <v>50</v>
      </c>
      <c r="AH535" s="6" t="s">
        <v>50</v>
      </c>
      <c r="AI535" s="6" t="s">
        <v>50</v>
      </c>
      <c r="AJ535" s="6" t="s">
        <v>50</v>
      </c>
      <c r="AK535" s="6" t="s">
        <v>50</v>
      </c>
      <c r="AL535" s="6" t="s">
        <v>50</v>
      </c>
      <c r="AM535" s="6" t="s">
        <v>50</v>
      </c>
      <c r="AN535" s="6" t="s">
        <v>50</v>
      </c>
      <c r="AO535" s="6" t="s">
        <v>54</v>
      </c>
    </row>
    <row r="536" spans="2:41" ht="60" customHeight="1" x14ac:dyDescent="0.25">
      <c r="B536" s="207" t="s">
        <v>161</v>
      </c>
      <c r="C536" s="66" t="s">
        <v>162</v>
      </c>
      <c r="D536" s="4" t="s">
        <v>220</v>
      </c>
      <c r="E536" s="4" t="s">
        <v>956</v>
      </c>
      <c r="F536" s="4" t="s">
        <v>164</v>
      </c>
      <c r="G536" s="4" t="s">
        <v>165</v>
      </c>
      <c r="H536" s="208">
        <v>1</v>
      </c>
      <c r="I536" s="4"/>
      <c r="J536" s="15" t="s">
        <v>428</v>
      </c>
      <c r="K536" s="4" t="s">
        <v>167</v>
      </c>
      <c r="L536" s="4" t="s">
        <v>168</v>
      </c>
      <c r="M536" s="4" t="s">
        <v>169</v>
      </c>
      <c r="N536" s="4" t="s">
        <v>429</v>
      </c>
      <c r="O536" s="4" t="s">
        <v>171</v>
      </c>
      <c r="P536" s="211">
        <v>0</v>
      </c>
      <c r="Q536" s="209">
        <f>Mon_ILR2[[#This Row],[Qty Required]]-Mon_ILR2[[#This Row],[QTY Transfer]]</f>
        <v>1</v>
      </c>
      <c r="R536" s="66" t="s">
        <v>905</v>
      </c>
      <c r="S536" s="66" t="s">
        <v>955</v>
      </c>
      <c r="T536" s="210">
        <f>_xlfn.IFNA(VLOOKUP(Mon_ILR2[[#This Row],[New Model]],PhilipsLibary[],4,FALSE),"0")</f>
        <v>4121</v>
      </c>
      <c r="U536" s="210">
        <f>_xlfn.IFNA(VLOOKUP(Mon_ILR2[[#This Row],[New Model]],PhilipsLibary[],5,FALSE),"0")</f>
        <v>0</v>
      </c>
      <c r="V536" s="210">
        <v>1171.5999999999999</v>
      </c>
      <c r="W536" s="210">
        <f>Mon_ILR2[[#This Row],[Accessory Rate]]+Mon_ILR2[[#This Row],[Mounting Rate]]+Mon_ILR2[[#This Row],[Unit Rate]]*Mon_ILR2[[#This Row],[New Quantity Required ]]</f>
        <v>5292.6</v>
      </c>
      <c r="X536" s="8"/>
      <c r="Y536" s="246" t="s">
        <v>1169</v>
      </c>
      <c r="Z536" s="6" t="s">
        <v>172</v>
      </c>
      <c r="AA536" s="6" t="s">
        <v>173</v>
      </c>
      <c r="AB536" s="6" t="s">
        <v>50</v>
      </c>
      <c r="AC536" s="6" t="s">
        <v>48</v>
      </c>
      <c r="AD536" s="6" t="s">
        <v>49</v>
      </c>
      <c r="AE536" s="6" t="s">
        <v>50</v>
      </c>
      <c r="AF536" s="6" t="s">
        <v>50</v>
      </c>
      <c r="AG536" s="6" t="s">
        <v>50</v>
      </c>
      <c r="AH536" s="6" t="s">
        <v>50</v>
      </c>
      <c r="AI536" s="6" t="s">
        <v>50</v>
      </c>
      <c r="AJ536" s="6" t="s">
        <v>50</v>
      </c>
      <c r="AK536" s="6" t="s">
        <v>50</v>
      </c>
      <c r="AL536" s="6" t="s">
        <v>50</v>
      </c>
      <c r="AM536" s="6" t="s">
        <v>50</v>
      </c>
      <c r="AN536" s="6" t="s">
        <v>50</v>
      </c>
      <c r="AO536" s="6" t="s">
        <v>54</v>
      </c>
    </row>
    <row r="537" spans="2:41" ht="60" customHeight="1" x14ac:dyDescent="0.25">
      <c r="B537" s="207" t="s">
        <v>161</v>
      </c>
      <c r="C537" s="66" t="s">
        <v>191</v>
      </c>
      <c r="D537" s="4" t="s">
        <v>192</v>
      </c>
      <c r="E537" s="4" t="s">
        <v>956</v>
      </c>
      <c r="F537" s="4" t="s">
        <v>164</v>
      </c>
      <c r="G537" s="4" t="s">
        <v>165</v>
      </c>
      <c r="H537" s="208">
        <v>1</v>
      </c>
      <c r="I537" s="4"/>
      <c r="J537" s="15" t="s">
        <v>430</v>
      </c>
      <c r="K537" s="4" t="s">
        <v>167</v>
      </c>
      <c r="L537" s="4" t="s">
        <v>168</v>
      </c>
      <c r="M537" s="4" t="s">
        <v>169</v>
      </c>
      <c r="N537" s="4" t="s">
        <v>431</v>
      </c>
      <c r="O537" s="4" t="s">
        <v>171</v>
      </c>
      <c r="P537" s="211">
        <v>0</v>
      </c>
      <c r="Q537" s="209">
        <f>Mon_ILR2[[#This Row],[Qty Required]]-Mon_ILR2[[#This Row],[QTY Transfer]]</f>
        <v>1</v>
      </c>
      <c r="R537" s="66" t="s">
        <v>905</v>
      </c>
      <c r="S537" s="66" t="s">
        <v>955</v>
      </c>
      <c r="T537" s="210">
        <f>_xlfn.IFNA(VLOOKUP(Mon_ILR2[[#This Row],[New Model]],PhilipsLibary[],4,FALSE),"0")</f>
        <v>4121</v>
      </c>
      <c r="U537" s="210">
        <f>_xlfn.IFNA(VLOOKUP(Mon_ILR2[[#This Row],[New Model]],PhilipsLibary[],5,FALSE),"0")</f>
        <v>0</v>
      </c>
      <c r="V537" s="210">
        <v>1171.5999999999999</v>
      </c>
      <c r="W537" s="210">
        <f>Mon_ILR2[[#This Row],[Accessory Rate]]+Mon_ILR2[[#This Row],[Mounting Rate]]+Mon_ILR2[[#This Row],[Unit Rate]]*Mon_ILR2[[#This Row],[New Quantity Required ]]</f>
        <v>5292.6</v>
      </c>
      <c r="X537" s="8"/>
      <c r="Y537" s="246" t="s">
        <v>1169</v>
      </c>
      <c r="Z537" s="6" t="s">
        <v>172</v>
      </c>
      <c r="AA537" s="6" t="s">
        <v>173</v>
      </c>
      <c r="AB537" s="6" t="s">
        <v>50</v>
      </c>
      <c r="AC537" s="6" t="s">
        <v>48</v>
      </c>
      <c r="AD537" s="6" t="s">
        <v>49</v>
      </c>
      <c r="AE537" s="6" t="s">
        <v>50</v>
      </c>
      <c r="AF537" s="6" t="s">
        <v>50</v>
      </c>
      <c r="AG537" s="6" t="s">
        <v>50</v>
      </c>
      <c r="AH537" s="6" t="s">
        <v>50</v>
      </c>
      <c r="AI537" s="6" t="s">
        <v>50</v>
      </c>
      <c r="AJ537" s="6" t="s">
        <v>50</v>
      </c>
      <c r="AK537" s="6" t="s">
        <v>50</v>
      </c>
      <c r="AL537" s="6" t="s">
        <v>50</v>
      </c>
      <c r="AM537" s="6" t="s">
        <v>50</v>
      </c>
      <c r="AN537" s="6" t="s">
        <v>50</v>
      </c>
      <c r="AO537" s="6" t="s">
        <v>54</v>
      </c>
    </row>
    <row r="538" spans="2:41" ht="60" customHeight="1" x14ac:dyDescent="0.25">
      <c r="B538" s="207" t="s">
        <v>161</v>
      </c>
      <c r="C538" s="66" t="s">
        <v>191</v>
      </c>
      <c r="D538" s="4" t="s">
        <v>192</v>
      </c>
      <c r="E538" s="4" t="s">
        <v>956</v>
      </c>
      <c r="F538" s="4" t="s">
        <v>164</v>
      </c>
      <c r="G538" s="4" t="s">
        <v>165</v>
      </c>
      <c r="H538" s="208">
        <v>1</v>
      </c>
      <c r="I538" s="4"/>
      <c r="J538" s="15" t="s">
        <v>432</v>
      </c>
      <c r="K538" s="4" t="s">
        <v>167</v>
      </c>
      <c r="L538" s="4" t="s">
        <v>168</v>
      </c>
      <c r="M538" s="4" t="s">
        <v>169</v>
      </c>
      <c r="N538" s="4" t="s">
        <v>433</v>
      </c>
      <c r="O538" s="4" t="s">
        <v>171</v>
      </c>
      <c r="P538" s="211">
        <v>0</v>
      </c>
      <c r="Q538" s="209">
        <f>Mon_ILR2[[#This Row],[Qty Required]]-Mon_ILR2[[#This Row],[QTY Transfer]]</f>
        <v>1</v>
      </c>
      <c r="R538" s="66" t="s">
        <v>905</v>
      </c>
      <c r="S538" s="66" t="s">
        <v>955</v>
      </c>
      <c r="T538" s="210">
        <f>_xlfn.IFNA(VLOOKUP(Mon_ILR2[[#This Row],[New Model]],PhilipsLibary[],4,FALSE),"0")</f>
        <v>4121</v>
      </c>
      <c r="U538" s="210">
        <f>_xlfn.IFNA(VLOOKUP(Mon_ILR2[[#This Row],[New Model]],PhilipsLibary[],5,FALSE),"0")</f>
        <v>0</v>
      </c>
      <c r="V538" s="210">
        <v>1171.5999999999999</v>
      </c>
      <c r="W538" s="210">
        <f>Mon_ILR2[[#This Row],[Accessory Rate]]+Mon_ILR2[[#This Row],[Mounting Rate]]+Mon_ILR2[[#This Row],[Unit Rate]]*Mon_ILR2[[#This Row],[New Quantity Required ]]</f>
        <v>5292.6</v>
      </c>
      <c r="X538" s="8"/>
      <c r="Y538" s="246" t="s">
        <v>1169</v>
      </c>
      <c r="Z538" s="6" t="s">
        <v>172</v>
      </c>
      <c r="AA538" s="6" t="s">
        <v>173</v>
      </c>
      <c r="AB538" s="6" t="s">
        <v>50</v>
      </c>
      <c r="AC538" s="6" t="s">
        <v>48</v>
      </c>
      <c r="AD538" s="6" t="s">
        <v>49</v>
      </c>
      <c r="AE538" s="6" t="s">
        <v>50</v>
      </c>
      <c r="AF538" s="6" t="s">
        <v>50</v>
      </c>
      <c r="AG538" s="6" t="s">
        <v>50</v>
      </c>
      <c r="AH538" s="6" t="s">
        <v>50</v>
      </c>
      <c r="AI538" s="6" t="s">
        <v>50</v>
      </c>
      <c r="AJ538" s="6" t="s">
        <v>50</v>
      </c>
      <c r="AK538" s="6" t="s">
        <v>50</v>
      </c>
      <c r="AL538" s="6" t="s">
        <v>50</v>
      </c>
      <c r="AM538" s="6" t="s">
        <v>50</v>
      </c>
      <c r="AN538" s="6" t="s">
        <v>50</v>
      </c>
      <c r="AO538" s="6" t="s">
        <v>54</v>
      </c>
    </row>
    <row r="539" spans="2:41" ht="60" customHeight="1" x14ac:dyDescent="0.25">
      <c r="B539" s="207" t="s">
        <v>161</v>
      </c>
      <c r="C539" s="66" t="s">
        <v>191</v>
      </c>
      <c r="D539" s="4" t="s">
        <v>201</v>
      </c>
      <c r="E539" s="4" t="s">
        <v>956</v>
      </c>
      <c r="F539" s="4" t="s">
        <v>164</v>
      </c>
      <c r="G539" s="4" t="s">
        <v>165</v>
      </c>
      <c r="H539" s="208">
        <v>1</v>
      </c>
      <c r="I539" s="4"/>
      <c r="J539" s="15" t="s">
        <v>434</v>
      </c>
      <c r="K539" s="4" t="s">
        <v>167</v>
      </c>
      <c r="L539" s="4" t="s">
        <v>168</v>
      </c>
      <c r="M539" s="4" t="s">
        <v>169</v>
      </c>
      <c r="N539" s="4" t="s">
        <v>435</v>
      </c>
      <c r="O539" s="4" t="s">
        <v>171</v>
      </c>
      <c r="P539" s="211">
        <v>0</v>
      </c>
      <c r="Q539" s="209">
        <f>Mon_ILR2[[#This Row],[Qty Required]]-Mon_ILR2[[#This Row],[QTY Transfer]]</f>
        <v>1</v>
      </c>
      <c r="R539" s="66" t="s">
        <v>905</v>
      </c>
      <c r="S539" s="66" t="s">
        <v>955</v>
      </c>
      <c r="T539" s="210">
        <f>_xlfn.IFNA(VLOOKUP(Mon_ILR2[[#This Row],[New Model]],PhilipsLibary[],4,FALSE),"0")</f>
        <v>4121</v>
      </c>
      <c r="U539" s="210">
        <f>_xlfn.IFNA(VLOOKUP(Mon_ILR2[[#This Row],[New Model]],PhilipsLibary[],5,FALSE),"0")</f>
        <v>0</v>
      </c>
      <c r="V539" s="210">
        <v>1171.5999999999999</v>
      </c>
      <c r="W539" s="210">
        <f>Mon_ILR2[[#This Row],[Accessory Rate]]+Mon_ILR2[[#This Row],[Mounting Rate]]+Mon_ILR2[[#This Row],[Unit Rate]]*Mon_ILR2[[#This Row],[New Quantity Required ]]</f>
        <v>5292.6</v>
      </c>
      <c r="X539" s="8"/>
      <c r="Y539" s="246" t="s">
        <v>1169</v>
      </c>
      <c r="Z539" s="6" t="s">
        <v>172</v>
      </c>
      <c r="AA539" s="6" t="s">
        <v>173</v>
      </c>
      <c r="AB539" s="6" t="s">
        <v>50</v>
      </c>
      <c r="AC539" s="6" t="s">
        <v>48</v>
      </c>
      <c r="AD539" s="6" t="s">
        <v>49</v>
      </c>
      <c r="AE539" s="6" t="s">
        <v>50</v>
      </c>
      <c r="AF539" s="6" t="s">
        <v>50</v>
      </c>
      <c r="AG539" s="6" t="s">
        <v>50</v>
      </c>
      <c r="AH539" s="6" t="s">
        <v>50</v>
      </c>
      <c r="AI539" s="6" t="s">
        <v>50</v>
      </c>
      <c r="AJ539" s="6" t="s">
        <v>50</v>
      </c>
      <c r="AK539" s="6" t="s">
        <v>50</v>
      </c>
      <c r="AL539" s="6" t="s">
        <v>50</v>
      </c>
      <c r="AM539" s="6" t="s">
        <v>50</v>
      </c>
      <c r="AN539" s="6" t="s">
        <v>50</v>
      </c>
      <c r="AO539" s="6" t="s">
        <v>54</v>
      </c>
    </row>
    <row r="540" spans="2:41" ht="60" customHeight="1" x14ac:dyDescent="0.25">
      <c r="B540" s="207" t="s">
        <v>161</v>
      </c>
      <c r="C540" s="66" t="s">
        <v>191</v>
      </c>
      <c r="D540" s="4" t="s">
        <v>201</v>
      </c>
      <c r="E540" s="4" t="s">
        <v>956</v>
      </c>
      <c r="F540" s="4" t="s">
        <v>164</v>
      </c>
      <c r="G540" s="4" t="s">
        <v>165</v>
      </c>
      <c r="H540" s="208">
        <v>1</v>
      </c>
      <c r="I540" s="4"/>
      <c r="J540" s="15" t="s">
        <v>436</v>
      </c>
      <c r="K540" s="4" t="s">
        <v>167</v>
      </c>
      <c r="L540" s="4" t="s">
        <v>168</v>
      </c>
      <c r="M540" s="4" t="s">
        <v>169</v>
      </c>
      <c r="N540" s="4" t="s">
        <v>437</v>
      </c>
      <c r="O540" s="4" t="s">
        <v>171</v>
      </c>
      <c r="P540" s="211">
        <v>0</v>
      </c>
      <c r="Q540" s="209">
        <f>Mon_ILR2[[#This Row],[Qty Required]]-Mon_ILR2[[#This Row],[QTY Transfer]]</f>
        <v>1</v>
      </c>
      <c r="R540" s="66" t="s">
        <v>905</v>
      </c>
      <c r="S540" s="66" t="s">
        <v>955</v>
      </c>
      <c r="T540" s="210">
        <f>_xlfn.IFNA(VLOOKUP(Mon_ILR2[[#This Row],[New Model]],PhilipsLibary[],4,FALSE),"0")</f>
        <v>4121</v>
      </c>
      <c r="U540" s="210">
        <f>_xlfn.IFNA(VLOOKUP(Mon_ILR2[[#This Row],[New Model]],PhilipsLibary[],5,FALSE),"0")</f>
        <v>0</v>
      </c>
      <c r="V540" s="210">
        <v>1171.5999999999999</v>
      </c>
      <c r="W540" s="210">
        <f>Mon_ILR2[[#This Row],[Accessory Rate]]+Mon_ILR2[[#This Row],[Mounting Rate]]+Mon_ILR2[[#This Row],[Unit Rate]]*Mon_ILR2[[#This Row],[New Quantity Required ]]</f>
        <v>5292.6</v>
      </c>
      <c r="X540" s="8"/>
      <c r="Y540" s="246" t="s">
        <v>1169</v>
      </c>
      <c r="Z540" s="6" t="s">
        <v>172</v>
      </c>
      <c r="AA540" s="6" t="s">
        <v>173</v>
      </c>
      <c r="AB540" s="6" t="s">
        <v>50</v>
      </c>
      <c r="AC540" s="6" t="s">
        <v>48</v>
      </c>
      <c r="AD540" s="6" t="s">
        <v>49</v>
      </c>
      <c r="AE540" s="6" t="s">
        <v>50</v>
      </c>
      <c r="AF540" s="6" t="s">
        <v>50</v>
      </c>
      <c r="AG540" s="6" t="s">
        <v>50</v>
      </c>
      <c r="AH540" s="6" t="s">
        <v>50</v>
      </c>
      <c r="AI540" s="6" t="s">
        <v>50</v>
      </c>
      <c r="AJ540" s="6" t="s">
        <v>50</v>
      </c>
      <c r="AK540" s="6" t="s">
        <v>50</v>
      </c>
      <c r="AL540" s="6" t="s">
        <v>50</v>
      </c>
      <c r="AM540" s="6" t="s">
        <v>50</v>
      </c>
      <c r="AN540" s="6" t="s">
        <v>50</v>
      </c>
      <c r="AO540" s="6" t="s">
        <v>54</v>
      </c>
    </row>
    <row r="541" spans="2:41" ht="60" customHeight="1" x14ac:dyDescent="0.25">
      <c r="B541" s="207" t="s">
        <v>161</v>
      </c>
      <c r="C541" s="66" t="s">
        <v>191</v>
      </c>
      <c r="D541" s="4" t="s">
        <v>207</v>
      </c>
      <c r="E541" s="4" t="s">
        <v>956</v>
      </c>
      <c r="F541" s="4" t="s">
        <v>164</v>
      </c>
      <c r="G541" s="4" t="s">
        <v>165</v>
      </c>
      <c r="H541" s="208">
        <v>1</v>
      </c>
      <c r="I541" s="4"/>
      <c r="J541" s="15" t="s">
        <v>438</v>
      </c>
      <c r="K541" s="4" t="s">
        <v>167</v>
      </c>
      <c r="L541" s="4" t="s">
        <v>168</v>
      </c>
      <c r="M541" s="4" t="s">
        <v>169</v>
      </c>
      <c r="N541" s="4" t="s">
        <v>439</v>
      </c>
      <c r="O541" s="4" t="s">
        <v>171</v>
      </c>
      <c r="P541" s="211">
        <v>0</v>
      </c>
      <c r="Q541" s="209">
        <f>Mon_ILR2[[#This Row],[Qty Required]]-Mon_ILR2[[#This Row],[QTY Transfer]]</f>
        <v>1</v>
      </c>
      <c r="R541" s="66" t="s">
        <v>905</v>
      </c>
      <c r="S541" s="66" t="s">
        <v>955</v>
      </c>
      <c r="T541" s="210">
        <f>_xlfn.IFNA(VLOOKUP(Mon_ILR2[[#This Row],[New Model]],PhilipsLibary[],4,FALSE),"0")</f>
        <v>4121</v>
      </c>
      <c r="U541" s="210">
        <f>_xlfn.IFNA(VLOOKUP(Mon_ILR2[[#This Row],[New Model]],PhilipsLibary[],5,FALSE),"0")</f>
        <v>0</v>
      </c>
      <c r="V541" s="210">
        <v>1171.5999999999999</v>
      </c>
      <c r="W541" s="210">
        <f>Mon_ILR2[[#This Row],[Accessory Rate]]+Mon_ILR2[[#This Row],[Mounting Rate]]+Mon_ILR2[[#This Row],[Unit Rate]]*Mon_ILR2[[#This Row],[New Quantity Required ]]</f>
        <v>5292.6</v>
      </c>
      <c r="X541" s="8"/>
      <c r="Y541" s="246" t="s">
        <v>1169</v>
      </c>
      <c r="Z541" s="6" t="s">
        <v>172</v>
      </c>
      <c r="AA541" s="6" t="s">
        <v>173</v>
      </c>
      <c r="AB541" s="6" t="s">
        <v>50</v>
      </c>
      <c r="AC541" s="6" t="s">
        <v>48</v>
      </c>
      <c r="AD541" s="6" t="s">
        <v>49</v>
      </c>
      <c r="AE541" s="6" t="s">
        <v>50</v>
      </c>
      <c r="AF541" s="6" t="s">
        <v>50</v>
      </c>
      <c r="AG541" s="6" t="s">
        <v>50</v>
      </c>
      <c r="AH541" s="6" t="s">
        <v>50</v>
      </c>
      <c r="AI541" s="6" t="s">
        <v>50</v>
      </c>
      <c r="AJ541" s="6" t="s">
        <v>50</v>
      </c>
      <c r="AK541" s="6" t="s">
        <v>50</v>
      </c>
      <c r="AL541" s="6" t="s">
        <v>50</v>
      </c>
      <c r="AM541" s="6" t="s">
        <v>50</v>
      </c>
      <c r="AN541" s="6" t="s">
        <v>50</v>
      </c>
      <c r="AO541" s="6" t="s">
        <v>54</v>
      </c>
    </row>
    <row r="542" spans="2:41" ht="60" customHeight="1" x14ac:dyDescent="0.25">
      <c r="B542" s="207" t="s">
        <v>161</v>
      </c>
      <c r="C542" s="66" t="s">
        <v>191</v>
      </c>
      <c r="D542" s="4" t="s">
        <v>207</v>
      </c>
      <c r="E542" s="4" t="s">
        <v>956</v>
      </c>
      <c r="F542" s="4" t="s">
        <v>164</v>
      </c>
      <c r="G542" s="4" t="s">
        <v>165</v>
      </c>
      <c r="H542" s="208">
        <v>1</v>
      </c>
      <c r="I542" s="4"/>
      <c r="J542" s="15" t="s">
        <v>440</v>
      </c>
      <c r="K542" s="4" t="s">
        <v>167</v>
      </c>
      <c r="L542" s="4" t="s">
        <v>168</v>
      </c>
      <c r="M542" s="4" t="s">
        <v>169</v>
      </c>
      <c r="N542" s="4" t="s">
        <v>441</v>
      </c>
      <c r="O542" s="4" t="s">
        <v>171</v>
      </c>
      <c r="P542" s="211">
        <v>0</v>
      </c>
      <c r="Q542" s="209">
        <f>Mon_ILR2[[#This Row],[Qty Required]]-Mon_ILR2[[#This Row],[QTY Transfer]]</f>
        <v>1</v>
      </c>
      <c r="R542" s="66" t="s">
        <v>905</v>
      </c>
      <c r="S542" s="66" t="s">
        <v>955</v>
      </c>
      <c r="T542" s="210">
        <f>_xlfn.IFNA(VLOOKUP(Mon_ILR2[[#This Row],[New Model]],PhilipsLibary[],4,FALSE),"0")</f>
        <v>4121</v>
      </c>
      <c r="U542" s="210">
        <f>_xlfn.IFNA(VLOOKUP(Mon_ILR2[[#This Row],[New Model]],PhilipsLibary[],5,FALSE),"0")</f>
        <v>0</v>
      </c>
      <c r="V542" s="210">
        <v>1171.5999999999999</v>
      </c>
      <c r="W542" s="210">
        <f>Mon_ILR2[[#This Row],[Accessory Rate]]+Mon_ILR2[[#This Row],[Mounting Rate]]+Mon_ILR2[[#This Row],[Unit Rate]]*Mon_ILR2[[#This Row],[New Quantity Required ]]</f>
        <v>5292.6</v>
      </c>
      <c r="X542" s="8"/>
      <c r="Y542" s="246" t="s">
        <v>1169</v>
      </c>
      <c r="Z542" s="6" t="s">
        <v>172</v>
      </c>
      <c r="AA542" s="6" t="s">
        <v>173</v>
      </c>
      <c r="AB542" s="6" t="s">
        <v>50</v>
      </c>
      <c r="AC542" s="6" t="s">
        <v>48</v>
      </c>
      <c r="AD542" s="6" t="s">
        <v>49</v>
      </c>
      <c r="AE542" s="6" t="s">
        <v>50</v>
      </c>
      <c r="AF542" s="6" t="s">
        <v>50</v>
      </c>
      <c r="AG542" s="6" t="s">
        <v>50</v>
      </c>
      <c r="AH542" s="6" t="s">
        <v>50</v>
      </c>
      <c r="AI542" s="6" t="s">
        <v>50</v>
      </c>
      <c r="AJ542" s="6" t="s">
        <v>50</v>
      </c>
      <c r="AK542" s="6" t="s">
        <v>50</v>
      </c>
      <c r="AL542" s="6" t="s">
        <v>50</v>
      </c>
      <c r="AM542" s="6" t="s">
        <v>50</v>
      </c>
      <c r="AN542" s="6" t="s">
        <v>50</v>
      </c>
      <c r="AO542" s="6" t="s">
        <v>54</v>
      </c>
    </row>
    <row r="543" spans="2:41" ht="60" customHeight="1" x14ac:dyDescent="0.25">
      <c r="B543" s="207" t="s">
        <v>161</v>
      </c>
      <c r="C543" s="66" t="s">
        <v>191</v>
      </c>
      <c r="D543" s="4" t="s">
        <v>214</v>
      </c>
      <c r="E543" s="4" t="s">
        <v>956</v>
      </c>
      <c r="F543" s="4" t="s">
        <v>164</v>
      </c>
      <c r="G543" s="4" t="s">
        <v>165</v>
      </c>
      <c r="H543" s="208">
        <v>1</v>
      </c>
      <c r="I543" s="4"/>
      <c r="J543" s="15" t="s">
        <v>442</v>
      </c>
      <c r="K543" s="4" t="s">
        <v>167</v>
      </c>
      <c r="L543" s="4" t="s">
        <v>168</v>
      </c>
      <c r="M543" s="4" t="s">
        <v>169</v>
      </c>
      <c r="N543" s="4" t="s">
        <v>443</v>
      </c>
      <c r="O543" s="4" t="s">
        <v>171</v>
      </c>
      <c r="P543" s="211">
        <v>0</v>
      </c>
      <c r="Q543" s="209">
        <f>Mon_ILR2[[#This Row],[Qty Required]]-Mon_ILR2[[#This Row],[QTY Transfer]]</f>
        <v>1</v>
      </c>
      <c r="R543" s="66" t="s">
        <v>905</v>
      </c>
      <c r="S543" s="66" t="s">
        <v>955</v>
      </c>
      <c r="T543" s="210">
        <f>_xlfn.IFNA(VLOOKUP(Mon_ILR2[[#This Row],[New Model]],PhilipsLibary[],4,FALSE),"0")</f>
        <v>4121</v>
      </c>
      <c r="U543" s="210">
        <f>_xlfn.IFNA(VLOOKUP(Mon_ILR2[[#This Row],[New Model]],PhilipsLibary[],5,FALSE),"0")</f>
        <v>0</v>
      </c>
      <c r="V543" s="210">
        <v>1171.5999999999999</v>
      </c>
      <c r="W543" s="210">
        <f>Mon_ILR2[[#This Row],[Accessory Rate]]+Mon_ILR2[[#This Row],[Mounting Rate]]+Mon_ILR2[[#This Row],[Unit Rate]]*Mon_ILR2[[#This Row],[New Quantity Required ]]</f>
        <v>5292.6</v>
      </c>
      <c r="X543" s="8"/>
      <c r="Y543" s="246" t="s">
        <v>1169</v>
      </c>
      <c r="Z543" s="6" t="s">
        <v>172</v>
      </c>
      <c r="AA543" s="6" t="s">
        <v>173</v>
      </c>
      <c r="AB543" s="6" t="s">
        <v>50</v>
      </c>
      <c r="AC543" s="6" t="s">
        <v>48</v>
      </c>
      <c r="AD543" s="6" t="s">
        <v>49</v>
      </c>
      <c r="AE543" s="6" t="s">
        <v>50</v>
      </c>
      <c r="AF543" s="6" t="s">
        <v>50</v>
      </c>
      <c r="AG543" s="6" t="s">
        <v>50</v>
      </c>
      <c r="AH543" s="6" t="s">
        <v>50</v>
      </c>
      <c r="AI543" s="6" t="s">
        <v>50</v>
      </c>
      <c r="AJ543" s="6" t="s">
        <v>50</v>
      </c>
      <c r="AK543" s="6" t="s">
        <v>50</v>
      </c>
      <c r="AL543" s="6" t="s">
        <v>50</v>
      </c>
      <c r="AM543" s="6" t="s">
        <v>50</v>
      </c>
      <c r="AN543" s="6" t="s">
        <v>50</v>
      </c>
      <c r="AO543" s="6" t="s">
        <v>54</v>
      </c>
    </row>
    <row r="544" spans="2:41" ht="60" customHeight="1" x14ac:dyDescent="0.25">
      <c r="B544" s="207" t="s">
        <v>161</v>
      </c>
      <c r="C544" s="66" t="s">
        <v>191</v>
      </c>
      <c r="D544" s="4" t="s">
        <v>214</v>
      </c>
      <c r="E544" s="4" t="s">
        <v>956</v>
      </c>
      <c r="F544" s="4" t="s">
        <v>164</v>
      </c>
      <c r="G544" s="4" t="s">
        <v>165</v>
      </c>
      <c r="H544" s="208">
        <v>1</v>
      </c>
      <c r="I544" s="4"/>
      <c r="J544" s="15" t="s">
        <v>444</v>
      </c>
      <c r="K544" s="4" t="s">
        <v>167</v>
      </c>
      <c r="L544" s="4" t="s">
        <v>168</v>
      </c>
      <c r="M544" s="4" t="s">
        <v>169</v>
      </c>
      <c r="N544" s="4" t="s">
        <v>445</v>
      </c>
      <c r="O544" s="4" t="s">
        <v>171</v>
      </c>
      <c r="P544" s="211">
        <v>0</v>
      </c>
      <c r="Q544" s="209">
        <f>Mon_ILR2[[#This Row],[Qty Required]]-Mon_ILR2[[#This Row],[QTY Transfer]]</f>
        <v>1</v>
      </c>
      <c r="R544" s="66" t="s">
        <v>905</v>
      </c>
      <c r="S544" s="66" t="s">
        <v>955</v>
      </c>
      <c r="T544" s="210">
        <f>_xlfn.IFNA(VLOOKUP(Mon_ILR2[[#This Row],[New Model]],PhilipsLibary[],4,FALSE),"0")</f>
        <v>4121</v>
      </c>
      <c r="U544" s="210">
        <f>_xlfn.IFNA(VLOOKUP(Mon_ILR2[[#This Row],[New Model]],PhilipsLibary[],5,FALSE),"0")</f>
        <v>0</v>
      </c>
      <c r="V544" s="210">
        <v>1171.5999999999999</v>
      </c>
      <c r="W544" s="210">
        <f>Mon_ILR2[[#This Row],[Accessory Rate]]+Mon_ILR2[[#This Row],[Mounting Rate]]+Mon_ILR2[[#This Row],[Unit Rate]]*Mon_ILR2[[#This Row],[New Quantity Required ]]</f>
        <v>5292.6</v>
      </c>
      <c r="X544" s="8"/>
      <c r="Y544" s="246" t="s">
        <v>1169</v>
      </c>
      <c r="Z544" s="6" t="s">
        <v>172</v>
      </c>
      <c r="AA544" s="6" t="s">
        <v>173</v>
      </c>
      <c r="AB544" s="6" t="s">
        <v>50</v>
      </c>
      <c r="AC544" s="6" t="s">
        <v>48</v>
      </c>
      <c r="AD544" s="6" t="s">
        <v>49</v>
      </c>
      <c r="AE544" s="6" t="s">
        <v>50</v>
      </c>
      <c r="AF544" s="6" t="s">
        <v>50</v>
      </c>
      <c r="AG544" s="6" t="s">
        <v>50</v>
      </c>
      <c r="AH544" s="6" t="s">
        <v>50</v>
      </c>
      <c r="AI544" s="6" t="s">
        <v>50</v>
      </c>
      <c r="AJ544" s="6" t="s">
        <v>50</v>
      </c>
      <c r="AK544" s="6" t="s">
        <v>50</v>
      </c>
      <c r="AL544" s="6" t="s">
        <v>50</v>
      </c>
      <c r="AM544" s="6" t="s">
        <v>50</v>
      </c>
      <c r="AN544" s="6" t="s">
        <v>50</v>
      </c>
      <c r="AO544" s="6" t="s">
        <v>54</v>
      </c>
    </row>
    <row r="545" spans="2:41" ht="60" customHeight="1" x14ac:dyDescent="0.25">
      <c r="B545" s="207" t="s">
        <v>161</v>
      </c>
      <c r="C545" s="66" t="s">
        <v>238</v>
      </c>
      <c r="D545" s="4" t="s">
        <v>239</v>
      </c>
      <c r="E545" s="4" t="s">
        <v>956</v>
      </c>
      <c r="F545" s="4" t="s">
        <v>164</v>
      </c>
      <c r="G545" s="4" t="s">
        <v>165</v>
      </c>
      <c r="H545" s="208">
        <v>1</v>
      </c>
      <c r="I545" s="4"/>
      <c r="J545" s="15"/>
      <c r="K545" s="4" t="str">
        <f>_xlfn.IFNA(VLOOKUP($J545,WH_Data[],6,FALSE),"")</f>
        <v/>
      </c>
      <c r="L545" s="4" t="str">
        <f>_xlfn.IFNA(VLOOKUP($J545,WH_Data[],3,FALSE),"")</f>
        <v/>
      </c>
      <c r="M545" s="4" t="str">
        <f>_xlfn.IFNA(VLOOKUP($J545,WH_Data[],5,FALSE),"")</f>
        <v/>
      </c>
      <c r="N545" s="4" t="str">
        <f>_xlfn.IFNA(VLOOKUP($J545,WH_Data[],7,FALSE),"")</f>
        <v/>
      </c>
      <c r="O545" s="4" t="str">
        <f>_xlfn.IFNA(VLOOKUP($J545,WH_Data[],8,FALSE),"")</f>
        <v/>
      </c>
      <c r="P545" s="8"/>
      <c r="Q545" s="209">
        <f>Mon_ILR2[[#This Row],[Qty Required]]-Mon_ILR2[[#This Row],[QTY Transfer]]</f>
        <v>1</v>
      </c>
      <c r="R545" s="66" t="s">
        <v>905</v>
      </c>
      <c r="S545" s="66" t="s">
        <v>955</v>
      </c>
      <c r="T545" s="210">
        <f>_xlfn.IFNA(VLOOKUP(Mon_ILR2[[#This Row],[New Model]],PhilipsLibary[],4,FALSE),"0")</f>
        <v>4121</v>
      </c>
      <c r="U545" s="210">
        <f>_xlfn.IFNA(VLOOKUP(Mon_ILR2[[#This Row],[New Model]],PhilipsLibary[],5,FALSE),"0")</f>
        <v>0</v>
      </c>
      <c r="V545" s="210">
        <v>1171.5999999999999</v>
      </c>
      <c r="W545" s="210">
        <f>Mon_ILR2[[#This Row],[Accessory Rate]]+Mon_ILR2[[#This Row],[Mounting Rate]]+Mon_ILR2[[#This Row],[Unit Rate]]*Mon_ILR2[[#This Row],[New Quantity Required ]]</f>
        <v>5292.6</v>
      </c>
      <c r="X545" s="8"/>
      <c r="Y545" s="246" t="s">
        <v>1169</v>
      </c>
      <c r="Z545" s="6" t="s">
        <v>172</v>
      </c>
      <c r="AA545" s="6" t="s">
        <v>173</v>
      </c>
      <c r="AB545" s="6" t="s">
        <v>50</v>
      </c>
      <c r="AC545" s="6" t="s">
        <v>48</v>
      </c>
      <c r="AD545" s="6" t="s">
        <v>49</v>
      </c>
      <c r="AE545" s="6" t="s">
        <v>50</v>
      </c>
      <c r="AF545" s="6" t="s">
        <v>50</v>
      </c>
      <c r="AG545" s="6" t="s">
        <v>50</v>
      </c>
      <c r="AH545" s="6" t="s">
        <v>50</v>
      </c>
      <c r="AI545" s="6" t="s">
        <v>50</v>
      </c>
      <c r="AJ545" s="6" t="s">
        <v>50</v>
      </c>
      <c r="AK545" s="6" t="s">
        <v>50</v>
      </c>
      <c r="AL545" s="6" t="s">
        <v>50</v>
      </c>
      <c r="AM545" s="6" t="s">
        <v>50</v>
      </c>
      <c r="AN545" s="6" t="s">
        <v>50</v>
      </c>
      <c r="AO545" s="6" t="s">
        <v>54</v>
      </c>
    </row>
    <row r="546" spans="2:41" ht="60" customHeight="1" x14ac:dyDescent="0.25">
      <c r="B546" s="207" t="s">
        <v>161</v>
      </c>
      <c r="C546" s="66" t="s">
        <v>238</v>
      </c>
      <c r="D546" s="4" t="s">
        <v>242</v>
      </c>
      <c r="E546" s="4" t="s">
        <v>956</v>
      </c>
      <c r="F546" s="4" t="s">
        <v>164</v>
      </c>
      <c r="G546" s="4" t="s">
        <v>165</v>
      </c>
      <c r="H546" s="208">
        <v>1</v>
      </c>
      <c r="I546" s="4"/>
      <c r="J546" s="15"/>
      <c r="K546" s="4" t="str">
        <f>_xlfn.IFNA(VLOOKUP($J546,WH_Data[],6,FALSE),"")</f>
        <v/>
      </c>
      <c r="L546" s="4" t="str">
        <f>_xlfn.IFNA(VLOOKUP($J546,WH_Data[],3,FALSE),"")</f>
        <v/>
      </c>
      <c r="M546" s="4" t="str">
        <f>_xlfn.IFNA(VLOOKUP($J546,WH_Data[],5,FALSE),"")</f>
        <v/>
      </c>
      <c r="N546" s="4" t="str">
        <f>_xlfn.IFNA(VLOOKUP($J546,WH_Data[],7,FALSE),"")</f>
        <v/>
      </c>
      <c r="O546" s="4" t="str">
        <f>_xlfn.IFNA(VLOOKUP($J546,WH_Data[],8,FALSE),"")</f>
        <v/>
      </c>
      <c r="P546" s="8"/>
      <c r="Q546" s="209">
        <f>Mon_ILR2[[#This Row],[Qty Required]]-Mon_ILR2[[#This Row],[QTY Transfer]]</f>
        <v>1</v>
      </c>
      <c r="R546" s="66" t="s">
        <v>905</v>
      </c>
      <c r="S546" s="66" t="s">
        <v>955</v>
      </c>
      <c r="T546" s="210">
        <f>_xlfn.IFNA(VLOOKUP(Mon_ILR2[[#This Row],[New Model]],PhilipsLibary[],4,FALSE),"0")</f>
        <v>4121</v>
      </c>
      <c r="U546" s="210">
        <f>_xlfn.IFNA(VLOOKUP(Mon_ILR2[[#This Row],[New Model]],PhilipsLibary[],5,FALSE),"0")</f>
        <v>0</v>
      </c>
      <c r="V546" s="210">
        <v>1171.5999999999999</v>
      </c>
      <c r="W546" s="210">
        <f>Mon_ILR2[[#This Row],[Accessory Rate]]+Mon_ILR2[[#This Row],[Mounting Rate]]+Mon_ILR2[[#This Row],[Unit Rate]]*Mon_ILR2[[#This Row],[New Quantity Required ]]</f>
        <v>5292.6</v>
      </c>
      <c r="X546" s="8"/>
      <c r="Y546" s="246" t="s">
        <v>1169</v>
      </c>
      <c r="Z546" s="6" t="s">
        <v>172</v>
      </c>
      <c r="AA546" s="6" t="s">
        <v>173</v>
      </c>
      <c r="AB546" s="6" t="s">
        <v>50</v>
      </c>
      <c r="AC546" s="6" t="s">
        <v>48</v>
      </c>
      <c r="AD546" s="6" t="s">
        <v>49</v>
      </c>
      <c r="AE546" s="6" t="s">
        <v>50</v>
      </c>
      <c r="AF546" s="6" t="s">
        <v>50</v>
      </c>
      <c r="AG546" s="6" t="s">
        <v>50</v>
      </c>
      <c r="AH546" s="6" t="s">
        <v>50</v>
      </c>
      <c r="AI546" s="6" t="s">
        <v>50</v>
      </c>
      <c r="AJ546" s="6" t="s">
        <v>50</v>
      </c>
      <c r="AK546" s="6" t="s">
        <v>50</v>
      </c>
      <c r="AL546" s="6" t="s">
        <v>50</v>
      </c>
      <c r="AM546" s="6" t="s">
        <v>50</v>
      </c>
      <c r="AN546" s="6" t="s">
        <v>50</v>
      </c>
      <c r="AO546" s="6" t="s">
        <v>54</v>
      </c>
    </row>
    <row r="547" spans="2:41" ht="60" customHeight="1" x14ac:dyDescent="0.25">
      <c r="B547" s="207" t="s">
        <v>161</v>
      </c>
      <c r="C547" s="66" t="s">
        <v>238</v>
      </c>
      <c r="D547" s="4" t="s">
        <v>245</v>
      </c>
      <c r="E547" s="4" t="s">
        <v>956</v>
      </c>
      <c r="F547" s="4" t="s">
        <v>164</v>
      </c>
      <c r="G547" s="4" t="s">
        <v>165</v>
      </c>
      <c r="H547" s="208">
        <v>1</v>
      </c>
      <c r="I547" s="4"/>
      <c r="J547" s="15"/>
      <c r="K547" s="4" t="str">
        <f>_xlfn.IFNA(VLOOKUP($J547,WH_Data[],6,FALSE),"")</f>
        <v/>
      </c>
      <c r="L547" s="4" t="str">
        <f>_xlfn.IFNA(VLOOKUP($J547,WH_Data[],3,FALSE),"")</f>
        <v/>
      </c>
      <c r="M547" s="4" t="str">
        <f>_xlfn.IFNA(VLOOKUP($J547,WH_Data[],5,FALSE),"")</f>
        <v/>
      </c>
      <c r="N547" s="4" t="str">
        <f>_xlfn.IFNA(VLOOKUP($J547,WH_Data[],7,FALSE),"")</f>
        <v/>
      </c>
      <c r="O547" s="4" t="str">
        <f>_xlfn.IFNA(VLOOKUP($J547,WH_Data[],8,FALSE),"")</f>
        <v/>
      </c>
      <c r="P547" s="8"/>
      <c r="Q547" s="209">
        <f>Mon_ILR2[[#This Row],[Qty Required]]-Mon_ILR2[[#This Row],[QTY Transfer]]</f>
        <v>1</v>
      </c>
      <c r="R547" s="66" t="s">
        <v>905</v>
      </c>
      <c r="S547" s="66" t="s">
        <v>955</v>
      </c>
      <c r="T547" s="210">
        <f>_xlfn.IFNA(VLOOKUP(Mon_ILR2[[#This Row],[New Model]],PhilipsLibary[],4,FALSE),"0")</f>
        <v>4121</v>
      </c>
      <c r="U547" s="210">
        <f>_xlfn.IFNA(VLOOKUP(Mon_ILR2[[#This Row],[New Model]],PhilipsLibary[],5,FALSE),"0")</f>
        <v>0</v>
      </c>
      <c r="V547" s="210">
        <v>1171.5999999999999</v>
      </c>
      <c r="W547" s="210">
        <f>Mon_ILR2[[#This Row],[Accessory Rate]]+Mon_ILR2[[#This Row],[Mounting Rate]]+Mon_ILR2[[#This Row],[Unit Rate]]*Mon_ILR2[[#This Row],[New Quantity Required ]]</f>
        <v>5292.6</v>
      </c>
      <c r="X547" s="8"/>
      <c r="Y547" s="246" t="s">
        <v>1169</v>
      </c>
      <c r="Z547" s="6" t="s">
        <v>172</v>
      </c>
      <c r="AA547" s="6" t="s">
        <v>173</v>
      </c>
      <c r="AB547" s="6" t="s">
        <v>50</v>
      </c>
      <c r="AC547" s="6" t="s">
        <v>48</v>
      </c>
      <c r="AD547" s="6" t="s">
        <v>49</v>
      </c>
      <c r="AE547" s="6" t="s">
        <v>50</v>
      </c>
      <c r="AF547" s="6" t="s">
        <v>50</v>
      </c>
      <c r="AG547" s="6" t="s">
        <v>50</v>
      </c>
      <c r="AH547" s="6" t="s">
        <v>50</v>
      </c>
      <c r="AI547" s="6" t="s">
        <v>50</v>
      </c>
      <c r="AJ547" s="6" t="s">
        <v>50</v>
      </c>
      <c r="AK547" s="6" t="s">
        <v>50</v>
      </c>
      <c r="AL547" s="6" t="s">
        <v>50</v>
      </c>
      <c r="AM547" s="6" t="s">
        <v>50</v>
      </c>
      <c r="AN547" s="6" t="s">
        <v>50</v>
      </c>
      <c r="AO547" s="6" t="s">
        <v>54</v>
      </c>
    </row>
    <row r="548" spans="2:41" ht="60" customHeight="1" x14ac:dyDescent="0.25">
      <c r="B548" s="207" t="s">
        <v>161</v>
      </c>
      <c r="C548" s="66" t="s">
        <v>238</v>
      </c>
      <c r="D548" s="4" t="s">
        <v>248</v>
      </c>
      <c r="E548" s="4" t="s">
        <v>956</v>
      </c>
      <c r="F548" s="4" t="s">
        <v>164</v>
      </c>
      <c r="G548" s="4" t="s">
        <v>165</v>
      </c>
      <c r="H548" s="208">
        <v>1</v>
      </c>
      <c r="I548" s="4"/>
      <c r="J548" s="15"/>
      <c r="K548" s="4" t="str">
        <f>_xlfn.IFNA(VLOOKUP($J548,WH_Data[],6,FALSE),"")</f>
        <v/>
      </c>
      <c r="L548" s="4" t="str">
        <f>_xlfn.IFNA(VLOOKUP($J548,WH_Data[],3,FALSE),"")</f>
        <v/>
      </c>
      <c r="M548" s="4" t="str">
        <f>_xlfn.IFNA(VLOOKUP($J548,WH_Data[],5,FALSE),"")</f>
        <v/>
      </c>
      <c r="N548" s="4" t="str">
        <f>_xlfn.IFNA(VLOOKUP($J548,WH_Data[],7,FALSE),"")</f>
        <v/>
      </c>
      <c r="O548" s="4" t="str">
        <f>_xlfn.IFNA(VLOOKUP($J548,WH_Data[],8,FALSE),"")</f>
        <v/>
      </c>
      <c r="P548" s="8"/>
      <c r="Q548" s="209">
        <f>Mon_ILR2[[#This Row],[Qty Required]]-Mon_ILR2[[#This Row],[QTY Transfer]]</f>
        <v>1</v>
      </c>
      <c r="R548" s="66" t="s">
        <v>905</v>
      </c>
      <c r="S548" s="66" t="s">
        <v>955</v>
      </c>
      <c r="T548" s="210">
        <f>_xlfn.IFNA(VLOOKUP(Mon_ILR2[[#This Row],[New Model]],PhilipsLibary[],4,FALSE),"0")</f>
        <v>4121</v>
      </c>
      <c r="U548" s="210">
        <f>_xlfn.IFNA(VLOOKUP(Mon_ILR2[[#This Row],[New Model]],PhilipsLibary[],5,FALSE),"0")</f>
        <v>0</v>
      </c>
      <c r="V548" s="210">
        <v>1171.5999999999999</v>
      </c>
      <c r="W548" s="210">
        <f>Mon_ILR2[[#This Row],[Accessory Rate]]+Mon_ILR2[[#This Row],[Mounting Rate]]+Mon_ILR2[[#This Row],[Unit Rate]]*Mon_ILR2[[#This Row],[New Quantity Required ]]</f>
        <v>5292.6</v>
      </c>
      <c r="X548" s="8"/>
      <c r="Y548" s="246" t="s">
        <v>1169</v>
      </c>
      <c r="Z548" s="6" t="s">
        <v>172</v>
      </c>
      <c r="AA548" s="6" t="s">
        <v>173</v>
      </c>
      <c r="AB548" s="6" t="s">
        <v>50</v>
      </c>
      <c r="AC548" s="6" t="s">
        <v>48</v>
      </c>
      <c r="AD548" s="6" t="s">
        <v>49</v>
      </c>
      <c r="AE548" s="6" t="s">
        <v>50</v>
      </c>
      <c r="AF548" s="6" t="s">
        <v>50</v>
      </c>
      <c r="AG548" s="6" t="s">
        <v>50</v>
      </c>
      <c r="AH548" s="6" t="s">
        <v>50</v>
      </c>
      <c r="AI548" s="6" t="s">
        <v>50</v>
      </c>
      <c r="AJ548" s="6" t="s">
        <v>50</v>
      </c>
      <c r="AK548" s="6" t="s">
        <v>50</v>
      </c>
      <c r="AL548" s="6" t="s">
        <v>50</v>
      </c>
      <c r="AM548" s="6" t="s">
        <v>50</v>
      </c>
      <c r="AN548" s="6" t="s">
        <v>50</v>
      </c>
      <c r="AO548" s="6" t="s">
        <v>54</v>
      </c>
    </row>
    <row r="549" spans="2:41" ht="60" customHeight="1" x14ac:dyDescent="0.25">
      <c r="B549" s="207" t="s">
        <v>161</v>
      </c>
      <c r="C549" s="66" t="s">
        <v>251</v>
      </c>
      <c r="D549" s="4" t="s">
        <v>252</v>
      </c>
      <c r="E549" s="4" t="s">
        <v>956</v>
      </c>
      <c r="F549" s="4" t="s">
        <v>164</v>
      </c>
      <c r="G549" s="4" t="s">
        <v>165</v>
      </c>
      <c r="H549" s="208">
        <v>1</v>
      </c>
      <c r="I549" s="4"/>
      <c r="J549" s="15"/>
      <c r="K549" s="4" t="str">
        <f>_xlfn.IFNA(VLOOKUP($J549,WH_Data[],6,FALSE),"")</f>
        <v/>
      </c>
      <c r="L549" s="4" t="str">
        <f>_xlfn.IFNA(VLOOKUP($J549,WH_Data[],3,FALSE),"")</f>
        <v/>
      </c>
      <c r="M549" s="4" t="str">
        <f>_xlfn.IFNA(VLOOKUP($J549,WH_Data[],5,FALSE),"")</f>
        <v/>
      </c>
      <c r="N549" s="4" t="str">
        <f>_xlfn.IFNA(VLOOKUP($J549,WH_Data[],7,FALSE),"")</f>
        <v/>
      </c>
      <c r="O549" s="4" t="str">
        <f>_xlfn.IFNA(VLOOKUP($J549,WH_Data[],8,FALSE),"")</f>
        <v/>
      </c>
      <c r="P549" s="8"/>
      <c r="Q549" s="209">
        <f>Mon_ILR2[[#This Row],[Qty Required]]-Mon_ILR2[[#This Row],[QTY Transfer]]</f>
        <v>1</v>
      </c>
      <c r="R549" s="66" t="s">
        <v>905</v>
      </c>
      <c r="S549" s="66" t="s">
        <v>955</v>
      </c>
      <c r="T549" s="210">
        <f>_xlfn.IFNA(VLOOKUP(Mon_ILR2[[#This Row],[New Model]],PhilipsLibary[],4,FALSE),"0")</f>
        <v>4121</v>
      </c>
      <c r="U549" s="210">
        <f>_xlfn.IFNA(VLOOKUP(Mon_ILR2[[#This Row],[New Model]],PhilipsLibary[],5,FALSE),"0")</f>
        <v>0</v>
      </c>
      <c r="V549" s="210">
        <v>1171.5999999999999</v>
      </c>
      <c r="W549" s="210">
        <f>Mon_ILR2[[#This Row],[Accessory Rate]]+Mon_ILR2[[#This Row],[Mounting Rate]]+Mon_ILR2[[#This Row],[Unit Rate]]*Mon_ILR2[[#This Row],[New Quantity Required ]]</f>
        <v>5292.6</v>
      </c>
      <c r="X549" s="8"/>
      <c r="Y549" s="246" t="s">
        <v>1169</v>
      </c>
      <c r="Z549" s="6" t="s">
        <v>172</v>
      </c>
      <c r="AA549" s="6" t="s">
        <v>173</v>
      </c>
      <c r="AB549" s="6" t="s">
        <v>50</v>
      </c>
      <c r="AC549" s="6" t="s">
        <v>48</v>
      </c>
      <c r="AD549" s="6" t="s">
        <v>49</v>
      </c>
      <c r="AE549" s="6" t="s">
        <v>50</v>
      </c>
      <c r="AF549" s="6" t="s">
        <v>50</v>
      </c>
      <c r="AG549" s="6" t="s">
        <v>50</v>
      </c>
      <c r="AH549" s="6" t="s">
        <v>50</v>
      </c>
      <c r="AI549" s="6" t="s">
        <v>50</v>
      </c>
      <c r="AJ549" s="6" t="s">
        <v>50</v>
      </c>
      <c r="AK549" s="6" t="s">
        <v>50</v>
      </c>
      <c r="AL549" s="6" t="s">
        <v>50</v>
      </c>
      <c r="AM549" s="6" t="s">
        <v>50</v>
      </c>
      <c r="AN549" s="6" t="s">
        <v>50</v>
      </c>
      <c r="AO549" s="6" t="s">
        <v>54</v>
      </c>
    </row>
    <row r="550" spans="2:41" ht="60" customHeight="1" x14ac:dyDescent="0.25">
      <c r="B550" s="207" t="s">
        <v>161</v>
      </c>
      <c r="C550" s="66" t="s">
        <v>251</v>
      </c>
      <c r="D550" s="4" t="s">
        <v>255</v>
      </c>
      <c r="E550" s="4" t="s">
        <v>956</v>
      </c>
      <c r="F550" s="4" t="s">
        <v>164</v>
      </c>
      <c r="G550" s="4" t="s">
        <v>165</v>
      </c>
      <c r="H550" s="208">
        <v>1</v>
      </c>
      <c r="I550" s="4"/>
      <c r="J550" s="15"/>
      <c r="K550" s="4" t="str">
        <f>_xlfn.IFNA(VLOOKUP($J550,WH_Data[],6,FALSE),"")</f>
        <v/>
      </c>
      <c r="L550" s="4" t="str">
        <f>_xlfn.IFNA(VLOOKUP($J550,WH_Data[],3,FALSE),"")</f>
        <v/>
      </c>
      <c r="M550" s="4" t="str">
        <f>_xlfn.IFNA(VLOOKUP($J550,WH_Data[],5,FALSE),"")</f>
        <v/>
      </c>
      <c r="N550" s="4" t="str">
        <f>_xlfn.IFNA(VLOOKUP($J550,WH_Data[],7,FALSE),"")</f>
        <v/>
      </c>
      <c r="O550" s="4" t="str">
        <f>_xlfn.IFNA(VLOOKUP($J550,WH_Data[],8,FALSE),"")</f>
        <v/>
      </c>
      <c r="P550" s="8"/>
      <c r="Q550" s="209">
        <f>Mon_ILR2[[#This Row],[Qty Required]]-Mon_ILR2[[#This Row],[QTY Transfer]]</f>
        <v>1</v>
      </c>
      <c r="R550" s="66" t="s">
        <v>905</v>
      </c>
      <c r="S550" s="66" t="s">
        <v>955</v>
      </c>
      <c r="T550" s="210">
        <f>_xlfn.IFNA(VLOOKUP(Mon_ILR2[[#This Row],[New Model]],PhilipsLibary[],4,FALSE),"0")</f>
        <v>4121</v>
      </c>
      <c r="U550" s="210">
        <f>_xlfn.IFNA(VLOOKUP(Mon_ILR2[[#This Row],[New Model]],PhilipsLibary[],5,FALSE),"0")</f>
        <v>0</v>
      </c>
      <c r="V550" s="210">
        <v>1171.5999999999999</v>
      </c>
      <c r="W550" s="210">
        <f>Mon_ILR2[[#This Row],[Accessory Rate]]+Mon_ILR2[[#This Row],[Mounting Rate]]+Mon_ILR2[[#This Row],[Unit Rate]]*Mon_ILR2[[#This Row],[New Quantity Required ]]</f>
        <v>5292.6</v>
      </c>
      <c r="X550" s="8"/>
      <c r="Y550" s="246" t="s">
        <v>1169</v>
      </c>
      <c r="Z550" s="6" t="s">
        <v>172</v>
      </c>
      <c r="AA550" s="6" t="s">
        <v>173</v>
      </c>
      <c r="AB550" s="6" t="s">
        <v>50</v>
      </c>
      <c r="AC550" s="6" t="s">
        <v>48</v>
      </c>
      <c r="AD550" s="6" t="s">
        <v>49</v>
      </c>
      <c r="AE550" s="6" t="s">
        <v>50</v>
      </c>
      <c r="AF550" s="6" t="s">
        <v>50</v>
      </c>
      <c r="AG550" s="6" t="s">
        <v>50</v>
      </c>
      <c r="AH550" s="6" t="s">
        <v>50</v>
      </c>
      <c r="AI550" s="6" t="s">
        <v>50</v>
      </c>
      <c r="AJ550" s="6" t="s">
        <v>50</v>
      </c>
      <c r="AK550" s="6" t="s">
        <v>50</v>
      </c>
      <c r="AL550" s="6" t="s">
        <v>50</v>
      </c>
      <c r="AM550" s="6" t="s">
        <v>50</v>
      </c>
      <c r="AN550" s="6" t="s">
        <v>50</v>
      </c>
      <c r="AO550" s="6" t="s">
        <v>54</v>
      </c>
    </row>
    <row r="551" spans="2:41" ht="60" customHeight="1" x14ac:dyDescent="0.25">
      <c r="B551" s="207" t="s">
        <v>161</v>
      </c>
      <c r="C551" s="66" t="s">
        <v>251</v>
      </c>
      <c r="D551" s="4" t="s">
        <v>258</v>
      </c>
      <c r="E551" s="4" t="s">
        <v>956</v>
      </c>
      <c r="F551" s="4" t="s">
        <v>164</v>
      </c>
      <c r="G551" s="4" t="s">
        <v>165</v>
      </c>
      <c r="H551" s="208">
        <v>1</v>
      </c>
      <c r="I551" s="4"/>
      <c r="J551" s="15"/>
      <c r="K551" s="4" t="str">
        <f>_xlfn.IFNA(VLOOKUP($J551,WH_Data[],6,FALSE),"")</f>
        <v/>
      </c>
      <c r="L551" s="4" t="str">
        <f>_xlfn.IFNA(VLOOKUP($J551,WH_Data[],3,FALSE),"")</f>
        <v/>
      </c>
      <c r="M551" s="4" t="str">
        <f>_xlfn.IFNA(VLOOKUP($J551,WH_Data[],5,FALSE),"")</f>
        <v/>
      </c>
      <c r="N551" s="4" t="str">
        <f>_xlfn.IFNA(VLOOKUP($J551,WH_Data[],7,FALSE),"")</f>
        <v/>
      </c>
      <c r="O551" s="4" t="str">
        <f>_xlfn.IFNA(VLOOKUP($J551,WH_Data[],8,FALSE),"")</f>
        <v/>
      </c>
      <c r="P551" s="8"/>
      <c r="Q551" s="209">
        <f>Mon_ILR2[[#This Row],[Qty Required]]-Mon_ILR2[[#This Row],[QTY Transfer]]</f>
        <v>1</v>
      </c>
      <c r="R551" s="66" t="s">
        <v>905</v>
      </c>
      <c r="S551" s="66" t="s">
        <v>955</v>
      </c>
      <c r="T551" s="210">
        <f>_xlfn.IFNA(VLOOKUP(Mon_ILR2[[#This Row],[New Model]],PhilipsLibary[],4,FALSE),"0")</f>
        <v>4121</v>
      </c>
      <c r="U551" s="210">
        <f>_xlfn.IFNA(VLOOKUP(Mon_ILR2[[#This Row],[New Model]],PhilipsLibary[],5,FALSE),"0")</f>
        <v>0</v>
      </c>
      <c r="V551" s="210">
        <v>1171.5999999999999</v>
      </c>
      <c r="W551" s="210">
        <f>Mon_ILR2[[#This Row],[Accessory Rate]]+Mon_ILR2[[#This Row],[Mounting Rate]]+Mon_ILR2[[#This Row],[Unit Rate]]*Mon_ILR2[[#This Row],[New Quantity Required ]]</f>
        <v>5292.6</v>
      </c>
      <c r="X551" s="8"/>
      <c r="Y551" s="246" t="s">
        <v>1169</v>
      </c>
      <c r="Z551" s="6" t="s">
        <v>172</v>
      </c>
      <c r="AA551" s="6" t="s">
        <v>173</v>
      </c>
      <c r="AB551" s="6" t="s">
        <v>50</v>
      </c>
      <c r="AC551" s="6" t="s">
        <v>48</v>
      </c>
      <c r="AD551" s="6" t="s">
        <v>49</v>
      </c>
      <c r="AE551" s="6" t="s">
        <v>50</v>
      </c>
      <c r="AF551" s="6" t="s">
        <v>50</v>
      </c>
      <c r="AG551" s="6" t="s">
        <v>50</v>
      </c>
      <c r="AH551" s="6" t="s">
        <v>50</v>
      </c>
      <c r="AI551" s="6" t="s">
        <v>50</v>
      </c>
      <c r="AJ551" s="6" t="s">
        <v>50</v>
      </c>
      <c r="AK551" s="6" t="s">
        <v>50</v>
      </c>
      <c r="AL551" s="6" t="s">
        <v>50</v>
      </c>
      <c r="AM551" s="6" t="s">
        <v>50</v>
      </c>
      <c r="AN551" s="6" t="s">
        <v>50</v>
      </c>
      <c r="AO551" s="6" t="s">
        <v>54</v>
      </c>
    </row>
    <row r="552" spans="2:41" ht="75" x14ac:dyDescent="0.25">
      <c r="B552" s="207" t="s">
        <v>161</v>
      </c>
      <c r="C552" s="66" t="s">
        <v>251</v>
      </c>
      <c r="D552" s="4" t="s">
        <v>261</v>
      </c>
      <c r="E552" s="4" t="s">
        <v>956</v>
      </c>
      <c r="F552" s="4" t="s">
        <v>164</v>
      </c>
      <c r="G552" s="4" t="s">
        <v>165</v>
      </c>
      <c r="H552" s="208">
        <v>1</v>
      </c>
      <c r="I552" s="4"/>
      <c r="J552" s="15"/>
      <c r="K552" s="4" t="str">
        <f>_xlfn.IFNA(VLOOKUP($J552,WH_Data[],6,FALSE),"")</f>
        <v/>
      </c>
      <c r="L552" s="4" t="str">
        <f>_xlfn.IFNA(VLOOKUP($J552,WH_Data[],3,FALSE),"")</f>
        <v/>
      </c>
      <c r="M552" s="4" t="str">
        <f>_xlfn.IFNA(VLOOKUP($J552,WH_Data[],5,FALSE),"")</f>
        <v/>
      </c>
      <c r="N552" s="4" t="str">
        <f>_xlfn.IFNA(VLOOKUP($J552,WH_Data[],7,FALSE),"")</f>
        <v/>
      </c>
      <c r="O552" s="4" t="str">
        <f>_xlfn.IFNA(VLOOKUP($J552,WH_Data[],8,FALSE),"")</f>
        <v/>
      </c>
      <c r="P552" s="8"/>
      <c r="Q552" s="209">
        <f>Mon_ILR2[[#This Row],[Qty Required]]-Mon_ILR2[[#This Row],[QTY Transfer]]</f>
        <v>1</v>
      </c>
      <c r="R552" s="66" t="s">
        <v>905</v>
      </c>
      <c r="S552" s="66" t="s">
        <v>955</v>
      </c>
      <c r="T552" s="210">
        <f>_xlfn.IFNA(VLOOKUP(Mon_ILR2[[#This Row],[New Model]],PhilipsLibary[],4,FALSE),"0")</f>
        <v>4121</v>
      </c>
      <c r="U552" s="210">
        <f>_xlfn.IFNA(VLOOKUP(Mon_ILR2[[#This Row],[New Model]],PhilipsLibary[],5,FALSE),"0")</f>
        <v>0</v>
      </c>
      <c r="V552" s="210">
        <v>1171.5999999999999</v>
      </c>
      <c r="W552" s="210">
        <f>Mon_ILR2[[#This Row],[Accessory Rate]]+Mon_ILR2[[#This Row],[Mounting Rate]]+Mon_ILR2[[#This Row],[Unit Rate]]*Mon_ILR2[[#This Row],[New Quantity Required ]]</f>
        <v>5292.6</v>
      </c>
      <c r="X552" s="8"/>
      <c r="Y552" s="246" t="s">
        <v>1169</v>
      </c>
      <c r="Z552" s="6" t="s">
        <v>172</v>
      </c>
      <c r="AA552" s="6" t="s">
        <v>173</v>
      </c>
      <c r="AB552" s="6" t="s">
        <v>50</v>
      </c>
      <c r="AC552" s="6" t="s">
        <v>48</v>
      </c>
      <c r="AD552" s="6" t="s">
        <v>49</v>
      </c>
      <c r="AE552" s="6" t="s">
        <v>50</v>
      </c>
      <c r="AF552" s="6" t="s">
        <v>50</v>
      </c>
      <c r="AG552" s="6" t="s">
        <v>50</v>
      </c>
      <c r="AH552" s="6" t="s">
        <v>50</v>
      </c>
      <c r="AI552" s="6" t="s">
        <v>50</v>
      </c>
      <c r="AJ552" s="6" t="s">
        <v>50</v>
      </c>
      <c r="AK552" s="6" t="s">
        <v>50</v>
      </c>
      <c r="AL552" s="6" t="s">
        <v>50</v>
      </c>
      <c r="AM552" s="6" t="s">
        <v>50</v>
      </c>
      <c r="AN552" s="6" t="s">
        <v>50</v>
      </c>
      <c r="AO552" s="6" t="s">
        <v>54</v>
      </c>
    </row>
    <row r="553" spans="2:41" ht="60" customHeight="1" x14ac:dyDescent="0.25">
      <c r="B553" s="207" t="s">
        <v>161</v>
      </c>
      <c r="C553" s="66" t="s">
        <v>191</v>
      </c>
      <c r="D553" s="4" t="s">
        <v>229</v>
      </c>
      <c r="E553" s="4" t="s">
        <v>956</v>
      </c>
      <c r="F553" s="4" t="s">
        <v>164</v>
      </c>
      <c r="G553" s="4" t="s">
        <v>165</v>
      </c>
      <c r="H553" s="208">
        <v>1</v>
      </c>
      <c r="I553" s="4"/>
      <c r="J553" s="15"/>
      <c r="K553" s="4" t="str">
        <f>_xlfn.IFNA(VLOOKUP($J553,WH_Data[],6,FALSE),"")</f>
        <v/>
      </c>
      <c r="L553" s="4" t="str">
        <f>_xlfn.IFNA(VLOOKUP($J553,WH_Data[],3,FALSE),"")</f>
        <v/>
      </c>
      <c r="M553" s="4" t="str">
        <f>_xlfn.IFNA(VLOOKUP($J553,WH_Data[],5,FALSE),"")</f>
        <v/>
      </c>
      <c r="N553" s="4" t="str">
        <f>_xlfn.IFNA(VLOOKUP($J553,WH_Data[],7,FALSE),"")</f>
        <v/>
      </c>
      <c r="O553" s="4" t="str">
        <f>_xlfn.IFNA(VLOOKUP($J553,WH_Data[],8,FALSE),"")</f>
        <v/>
      </c>
      <c r="P553" s="8"/>
      <c r="Q553" s="209">
        <f>Mon_ILR2[[#This Row],[Qty Required]]-Mon_ILR2[[#This Row],[QTY Transfer]]</f>
        <v>1</v>
      </c>
      <c r="R553" s="66" t="s">
        <v>905</v>
      </c>
      <c r="S553" s="66" t="s">
        <v>955</v>
      </c>
      <c r="T553" s="210">
        <f>_xlfn.IFNA(VLOOKUP(Mon_ILR2[[#This Row],[New Model]],PhilipsLibary[],4,FALSE),"0")</f>
        <v>4121</v>
      </c>
      <c r="U553" s="210">
        <f>_xlfn.IFNA(VLOOKUP(Mon_ILR2[[#This Row],[New Model]],PhilipsLibary[],5,FALSE),"0")</f>
        <v>0</v>
      </c>
      <c r="V553" s="210">
        <v>1171.5999999999999</v>
      </c>
      <c r="W553" s="210">
        <f>Mon_ILR2[[#This Row],[Accessory Rate]]+Mon_ILR2[[#This Row],[Mounting Rate]]+Mon_ILR2[[#This Row],[Unit Rate]]*Mon_ILR2[[#This Row],[New Quantity Required ]]</f>
        <v>5292.6</v>
      </c>
      <c r="X553" s="8"/>
      <c r="Y553" s="246" t="s">
        <v>1169</v>
      </c>
      <c r="Z553" s="6" t="s">
        <v>172</v>
      </c>
      <c r="AA553" s="6" t="s">
        <v>173</v>
      </c>
      <c r="AB553" s="6" t="s">
        <v>50</v>
      </c>
      <c r="AC553" s="6" t="s">
        <v>48</v>
      </c>
      <c r="AD553" s="6" t="s">
        <v>49</v>
      </c>
      <c r="AE553" s="6" t="s">
        <v>50</v>
      </c>
      <c r="AF553" s="6" t="s">
        <v>50</v>
      </c>
      <c r="AG553" s="6" t="s">
        <v>50</v>
      </c>
      <c r="AH553" s="6" t="s">
        <v>50</v>
      </c>
      <c r="AI553" s="6" t="s">
        <v>50</v>
      </c>
      <c r="AJ553" s="6" t="s">
        <v>50</v>
      </c>
      <c r="AK553" s="6" t="s">
        <v>50</v>
      </c>
      <c r="AL553" s="6" t="s">
        <v>50</v>
      </c>
      <c r="AM553" s="6" t="s">
        <v>50</v>
      </c>
      <c r="AN553" s="6" t="s">
        <v>50</v>
      </c>
      <c r="AO553" s="6" t="s">
        <v>54</v>
      </c>
    </row>
    <row r="554" spans="2:41" ht="75" x14ac:dyDescent="0.25">
      <c r="B554" s="207" t="s">
        <v>161</v>
      </c>
      <c r="C554" s="66" t="s">
        <v>191</v>
      </c>
      <c r="D554" s="4" t="s">
        <v>233</v>
      </c>
      <c r="E554" s="4" t="s">
        <v>956</v>
      </c>
      <c r="F554" s="4" t="s">
        <v>164</v>
      </c>
      <c r="G554" s="4" t="s">
        <v>165</v>
      </c>
      <c r="H554" s="208">
        <v>1</v>
      </c>
      <c r="I554" s="4"/>
      <c r="J554" s="15"/>
      <c r="K554" s="4" t="str">
        <f>_xlfn.IFNA(VLOOKUP($J554,WH_Data[],6,FALSE),"")</f>
        <v/>
      </c>
      <c r="L554" s="4" t="str">
        <f>_xlfn.IFNA(VLOOKUP($J554,WH_Data[],3,FALSE),"")</f>
        <v/>
      </c>
      <c r="M554" s="4" t="str">
        <f>_xlfn.IFNA(VLOOKUP($J554,WH_Data[],5,FALSE),"")</f>
        <v/>
      </c>
      <c r="N554" s="4" t="str">
        <f>_xlfn.IFNA(VLOOKUP($J554,WH_Data[],7,FALSE),"")</f>
        <v/>
      </c>
      <c r="O554" s="4" t="str">
        <f>_xlfn.IFNA(VLOOKUP($J554,WH_Data[],8,FALSE),"")</f>
        <v/>
      </c>
      <c r="P554" s="8"/>
      <c r="Q554" s="209">
        <f>Mon_ILR2[[#This Row],[Qty Required]]-Mon_ILR2[[#This Row],[QTY Transfer]]</f>
        <v>1</v>
      </c>
      <c r="R554" s="66" t="s">
        <v>905</v>
      </c>
      <c r="S554" s="66" t="s">
        <v>955</v>
      </c>
      <c r="T554" s="210">
        <f>_xlfn.IFNA(VLOOKUP(Mon_ILR2[[#This Row],[New Model]],PhilipsLibary[],4,FALSE),"0")</f>
        <v>4121</v>
      </c>
      <c r="U554" s="210">
        <f>_xlfn.IFNA(VLOOKUP(Mon_ILR2[[#This Row],[New Model]],PhilipsLibary[],5,FALSE),"0")</f>
        <v>0</v>
      </c>
      <c r="V554" s="210">
        <v>1171.5999999999999</v>
      </c>
      <c r="W554" s="210">
        <f>Mon_ILR2[[#This Row],[Accessory Rate]]+Mon_ILR2[[#This Row],[Mounting Rate]]+Mon_ILR2[[#This Row],[Unit Rate]]*Mon_ILR2[[#This Row],[New Quantity Required ]]</f>
        <v>5292.6</v>
      </c>
      <c r="X554" s="8"/>
      <c r="Y554" s="246" t="s">
        <v>1169</v>
      </c>
      <c r="Z554" s="6" t="s">
        <v>172</v>
      </c>
      <c r="AA554" s="6" t="s">
        <v>173</v>
      </c>
      <c r="AB554" s="6" t="s">
        <v>50</v>
      </c>
      <c r="AC554" s="6" t="s">
        <v>48</v>
      </c>
      <c r="AD554" s="6" t="s">
        <v>49</v>
      </c>
      <c r="AE554" s="6" t="s">
        <v>50</v>
      </c>
      <c r="AF554" s="6" t="s">
        <v>50</v>
      </c>
      <c r="AG554" s="6" t="s">
        <v>50</v>
      </c>
      <c r="AH554" s="6" t="s">
        <v>50</v>
      </c>
      <c r="AI554" s="6" t="s">
        <v>50</v>
      </c>
      <c r="AJ554" s="6" t="s">
        <v>50</v>
      </c>
      <c r="AK554" s="6" t="s">
        <v>50</v>
      </c>
      <c r="AL554" s="6" t="s">
        <v>50</v>
      </c>
      <c r="AM554" s="6" t="s">
        <v>50</v>
      </c>
      <c r="AN554" s="6" t="s">
        <v>50</v>
      </c>
      <c r="AO554" s="6" t="s">
        <v>54</v>
      </c>
    </row>
    <row r="555" spans="2:41" ht="75" x14ac:dyDescent="0.25">
      <c r="B555" s="207" t="s">
        <v>161</v>
      </c>
      <c r="C555" s="66" t="s">
        <v>191</v>
      </c>
      <c r="D555" s="4" t="s">
        <v>264</v>
      </c>
      <c r="E555" s="4" t="s">
        <v>956</v>
      </c>
      <c r="F555" s="4" t="s">
        <v>164</v>
      </c>
      <c r="G555" s="4" t="s">
        <v>165</v>
      </c>
      <c r="H555" s="208">
        <v>1</v>
      </c>
      <c r="I555" s="4"/>
      <c r="J555" s="15"/>
      <c r="K555" s="4" t="str">
        <f>_xlfn.IFNA(VLOOKUP($J555,WH_Data[],6,FALSE),"")</f>
        <v/>
      </c>
      <c r="L555" s="4" t="str">
        <f>_xlfn.IFNA(VLOOKUP($J555,WH_Data[],3,FALSE),"")</f>
        <v/>
      </c>
      <c r="M555" s="4" t="str">
        <f>_xlfn.IFNA(VLOOKUP($J555,WH_Data[],5,FALSE),"")</f>
        <v/>
      </c>
      <c r="N555" s="4" t="str">
        <f>_xlfn.IFNA(VLOOKUP($J555,WH_Data[],7,FALSE),"")</f>
        <v/>
      </c>
      <c r="O555" s="4" t="str">
        <f>_xlfn.IFNA(VLOOKUP($J555,WH_Data[],8,FALSE),"")</f>
        <v/>
      </c>
      <c r="P555" s="8"/>
      <c r="Q555" s="209">
        <f>Mon_ILR2[[#This Row],[Qty Required]]-Mon_ILR2[[#This Row],[QTY Transfer]]</f>
        <v>1</v>
      </c>
      <c r="R555" s="66" t="s">
        <v>905</v>
      </c>
      <c r="S555" s="66" t="s">
        <v>955</v>
      </c>
      <c r="T555" s="210">
        <f>_xlfn.IFNA(VLOOKUP(Mon_ILR2[[#This Row],[New Model]],PhilipsLibary[],4,FALSE),"0")</f>
        <v>4121</v>
      </c>
      <c r="U555" s="210">
        <f>_xlfn.IFNA(VLOOKUP(Mon_ILR2[[#This Row],[New Model]],PhilipsLibary[],5,FALSE),"0")</f>
        <v>0</v>
      </c>
      <c r="V555" s="210">
        <v>1171.5999999999999</v>
      </c>
      <c r="W555" s="210">
        <f>Mon_ILR2[[#This Row],[Accessory Rate]]+Mon_ILR2[[#This Row],[Mounting Rate]]+Mon_ILR2[[#This Row],[Unit Rate]]*Mon_ILR2[[#This Row],[New Quantity Required ]]</f>
        <v>5292.6</v>
      </c>
      <c r="X555" s="8"/>
      <c r="Y555" s="246" t="s">
        <v>1169</v>
      </c>
      <c r="Z555" s="6" t="s">
        <v>172</v>
      </c>
      <c r="AA555" s="6" t="s">
        <v>173</v>
      </c>
      <c r="AB555" s="6" t="s">
        <v>50</v>
      </c>
      <c r="AC555" s="6" t="s">
        <v>48</v>
      </c>
      <c r="AD555" s="6" t="s">
        <v>49</v>
      </c>
      <c r="AE555" s="6" t="s">
        <v>50</v>
      </c>
      <c r="AF555" s="6" t="s">
        <v>50</v>
      </c>
      <c r="AG555" s="6" t="s">
        <v>50</v>
      </c>
      <c r="AH555" s="6" t="s">
        <v>50</v>
      </c>
      <c r="AI555" s="6" t="s">
        <v>50</v>
      </c>
      <c r="AJ555" s="6" t="s">
        <v>50</v>
      </c>
      <c r="AK555" s="6" t="s">
        <v>50</v>
      </c>
      <c r="AL555" s="6" t="s">
        <v>50</v>
      </c>
      <c r="AM555" s="6" t="s">
        <v>50</v>
      </c>
      <c r="AN555" s="6" t="s">
        <v>50</v>
      </c>
      <c r="AO555" s="6" t="s">
        <v>54</v>
      </c>
    </row>
    <row r="556" spans="2:41" ht="75" x14ac:dyDescent="0.25">
      <c r="B556" s="207" t="s">
        <v>161</v>
      </c>
      <c r="C556" s="66" t="s">
        <v>191</v>
      </c>
      <c r="D556" s="4" t="s">
        <v>270</v>
      </c>
      <c r="E556" s="4" t="s">
        <v>956</v>
      </c>
      <c r="F556" s="4" t="s">
        <v>164</v>
      </c>
      <c r="G556" s="4" t="s">
        <v>165</v>
      </c>
      <c r="H556" s="208">
        <v>1</v>
      </c>
      <c r="I556" s="4"/>
      <c r="J556" s="15"/>
      <c r="K556" s="4" t="str">
        <f>_xlfn.IFNA(VLOOKUP($J556,WH_Data[],6,FALSE),"")</f>
        <v/>
      </c>
      <c r="L556" s="4" t="str">
        <f>_xlfn.IFNA(VLOOKUP($J556,WH_Data[],3,FALSE),"")</f>
        <v/>
      </c>
      <c r="M556" s="4" t="str">
        <f>_xlfn.IFNA(VLOOKUP($J556,WH_Data[],5,FALSE),"")</f>
        <v/>
      </c>
      <c r="N556" s="4" t="str">
        <f>_xlfn.IFNA(VLOOKUP($J556,WH_Data[],7,FALSE),"")</f>
        <v/>
      </c>
      <c r="O556" s="4" t="str">
        <f>_xlfn.IFNA(VLOOKUP($J556,WH_Data[],8,FALSE),"")</f>
        <v/>
      </c>
      <c r="P556" s="8"/>
      <c r="Q556" s="209">
        <f>Mon_ILR2[[#This Row],[Qty Required]]-Mon_ILR2[[#This Row],[QTY Transfer]]</f>
        <v>1</v>
      </c>
      <c r="R556" s="66" t="s">
        <v>905</v>
      </c>
      <c r="S556" s="66" t="s">
        <v>955</v>
      </c>
      <c r="T556" s="210">
        <f>_xlfn.IFNA(VLOOKUP(Mon_ILR2[[#This Row],[New Model]],PhilipsLibary[],4,FALSE),"0")</f>
        <v>4121</v>
      </c>
      <c r="U556" s="210">
        <f>_xlfn.IFNA(VLOOKUP(Mon_ILR2[[#This Row],[New Model]],PhilipsLibary[],5,FALSE),"0")</f>
        <v>0</v>
      </c>
      <c r="V556" s="210">
        <v>1171.5999999999999</v>
      </c>
      <c r="W556" s="210">
        <f>Mon_ILR2[[#This Row],[Accessory Rate]]+Mon_ILR2[[#This Row],[Mounting Rate]]+Mon_ILR2[[#This Row],[Unit Rate]]*Mon_ILR2[[#This Row],[New Quantity Required ]]</f>
        <v>5292.6</v>
      </c>
      <c r="X556" s="8"/>
      <c r="Y556" s="246" t="s">
        <v>1169</v>
      </c>
      <c r="Z556" s="6" t="s">
        <v>172</v>
      </c>
      <c r="AA556" s="6" t="s">
        <v>173</v>
      </c>
      <c r="AB556" s="6" t="s">
        <v>50</v>
      </c>
      <c r="AC556" s="6" t="s">
        <v>48</v>
      </c>
      <c r="AD556" s="6" t="s">
        <v>49</v>
      </c>
      <c r="AE556" s="6" t="s">
        <v>50</v>
      </c>
      <c r="AF556" s="6" t="s">
        <v>50</v>
      </c>
      <c r="AG556" s="6" t="s">
        <v>50</v>
      </c>
      <c r="AH556" s="6" t="s">
        <v>50</v>
      </c>
      <c r="AI556" s="6" t="s">
        <v>50</v>
      </c>
      <c r="AJ556" s="6" t="s">
        <v>50</v>
      </c>
      <c r="AK556" s="6" t="s">
        <v>50</v>
      </c>
      <c r="AL556" s="6" t="s">
        <v>50</v>
      </c>
      <c r="AM556" s="6" t="s">
        <v>50</v>
      </c>
      <c r="AN556" s="6" t="s">
        <v>50</v>
      </c>
      <c r="AO556" s="6" t="s">
        <v>54</v>
      </c>
    </row>
    <row r="557" spans="2:41" ht="75" x14ac:dyDescent="0.25">
      <c r="B557" s="207" t="s">
        <v>161</v>
      </c>
      <c r="C557" s="66" t="s">
        <v>174</v>
      </c>
      <c r="D557" s="4" t="s">
        <v>175</v>
      </c>
      <c r="E557" s="4" t="s">
        <v>956</v>
      </c>
      <c r="F557" s="4" t="s">
        <v>164</v>
      </c>
      <c r="G557" s="4" t="s">
        <v>165</v>
      </c>
      <c r="H557" s="208">
        <v>4</v>
      </c>
      <c r="I557" s="4"/>
      <c r="J557" s="15"/>
      <c r="K557" s="4" t="str">
        <f>_xlfn.IFNA(VLOOKUP($J557,WH_Data[],6,FALSE),"")</f>
        <v/>
      </c>
      <c r="L557" s="4" t="str">
        <f>_xlfn.IFNA(VLOOKUP($J557,WH_Data[],3,FALSE),"")</f>
        <v/>
      </c>
      <c r="M557" s="4" t="str">
        <f>_xlfn.IFNA(VLOOKUP($J557,WH_Data[],5,FALSE),"")</f>
        <v/>
      </c>
      <c r="N557" s="4" t="str">
        <f>_xlfn.IFNA(VLOOKUP($J557,WH_Data[],7,FALSE),"")</f>
        <v/>
      </c>
      <c r="O557" s="4" t="str">
        <f>_xlfn.IFNA(VLOOKUP($J557,WH_Data[],8,FALSE),"")</f>
        <v/>
      </c>
      <c r="P557" s="8"/>
      <c r="Q557" s="209">
        <f>Mon_ILR2[[#This Row],[Qty Required]]-Mon_ILR2[[#This Row],[QTY Transfer]]</f>
        <v>4</v>
      </c>
      <c r="R557" s="66" t="s">
        <v>905</v>
      </c>
      <c r="S557" s="66" t="s">
        <v>955</v>
      </c>
      <c r="T557" s="210">
        <f>_xlfn.IFNA(VLOOKUP(Mon_ILR2[[#This Row],[New Model]],PhilipsLibary[],4,FALSE),"0")</f>
        <v>4121</v>
      </c>
      <c r="U557" s="210">
        <f>_xlfn.IFNA(VLOOKUP(Mon_ILR2[[#This Row],[New Model]],PhilipsLibary[],5,FALSE),"0")</f>
        <v>0</v>
      </c>
      <c r="V557" s="210">
        <v>1171.5999999999999</v>
      </c>
      <c r="W557" s="210">
        <v>21874.400000000001</v>
      </c>
      <c r="X557" s="8"/>
      <c r="Y557" s="246" t="s">
        <v>1169</v>
      </c>
    </row>
    <row r="558" spans="2:41" ht="105" x14ac:dyDescent="0.25">
      <c r="B558" s="207" t="s">
        <v>161</v>
      </c>
      <c r="C558" s="66" t="s">
        <v>162</v>
      </c>
      <c r="D558" s="4" t="s">
        <v>182</v>
      </c>
      <c r="E558" s="4" t="s">
        <v>1072</v>
      </c>
      <c r="F558" s="4" t="s">
        <v>932</v>
      </c>
      <c r="G558" s="4" t="s">
        <v>183</v>
      </c>
      <c r="H558" s="208">
        <v>1</v>
      </c>
      <c r="I558" s="4"/>
      <c r="J558" s="15"/>
      <c r="K558" s="4" t="str">
        <f>_xlfn.IFNA(VLOOKUP($J558,WH_Data[],6,FALSE),"")</f>
        <v/>
      </c>
      <c r="L558" s="4" t="str">
        <f>_xlfn.IFNA(VLOOKUP($J558,WH_Data[],3,FALSE),"")</f>
        <v/>
      </c>
      <c r="M558" s="4" t="str">
        <f>_xlfn.IFNA(VLOOKUP($J558,WH_Data[],5,FALSE),"")</f>
        <v/>
      </c>
      <c r="N558" s="4" t="str">
        <f>_xlfn.IFNA(VLOOKUP($J558,WH_Data[],7,FALSE),"")</f>
        <v/>
      </c>
      <c r="O558" s="4" t="str">
        <f>_xlfn.IFNA(VLOOKUP($J558,WH_Data[],8,FALSE),"")</f>
        <v/>
      </c>
      <c r="P558" s="8"/>
      <c r="Q558" s="209">
        <f>Mon_ILR2[[#This Row],[Qty Required]]-Mon_ILR2[[#This Row],[QTY Transfer]]</f>
        <v>1</v>
      </c>
      <c r="R558" s="66" t="s">
        <v>905</v>
      </c>
      <c r="S558" s="66" t="s">
        <v>938</v>
      </c>
      <c r="T558" s="210">
        <f>_xlfn.IFNA(VLOOKUP(Mon_ILR2[[#This Row],[New Model]],PhilipsLibary[],4,FALSE),"0")</f>
        <v>12153</v>
      </c>
      <c r="U558" s="210">
        <f>_xlfn.IFNA(VLOOKUP(Mon_ILR2[[#This Row],[New Model]],PhilipsLibary[],5,FALSE),"0")</f>
        <v>915</v>
      </c>
      <c r="V558" s="210">
        <v>1879</v>
      </c>
      <c r="W558" s="210">
        <f>Mon_ILR2[[#This Row],[Accessory Rate]]+Mon_ILR2[[#This Row],[Mounting Rate]]+Mon_ILR2[[#This Row],[Unit Rate]]*Mon_ILR2[[#This Row],[New Quantity Required ]]</f>
        <v>14947</v>
      </c>
      <c r="X558" s="8"/>
      <c r="Y558" s="289" t="s">
        <v>2151</v>
      </c>
      <c r="Z558" s="6" t="s">
        <v>128</v>
      </c>
      <c r="AA558" s="6" t="s">
        <v>46</v>
      </c>
      <c r="AB558" s="6" t="s">
        <v>47</v>
      </c>
      <c r="AC558" s="6" t="s">
        <v>48</v>
      </c>
      <c r="AD558" s="6" t="s">
        <v>49</v>
      </c>
      <c r="AE558" s="6" t="s">
        <v>50</v>
      </c>
      <c r="AF558" s="6" t="s">
        <v>50</v>
      </c>
      <c r="AG558" s="6" t="s">
        <v>50</v>
      </c>
      <c r="AH558" s="6" t="s">
        <v>50</v>
      </c>
      <c r="AI558" s="6" t="s">
        <v>132</v>
      </c>
      <c r="AJ558" s="6" t="s">
        <v>50</v>
      </c>
      <c r="AK558" s="6" t="s">
        <v>50</v>
      </c>
      <c r="AL558" s="6" t="s">
        <v>52</v>
      </c>
      <c r="AM558" s="6" t="s">
        <v>53</v>
      </c>
      <c r="AN558" s="6" t="s">
        <v>133</v>
      </c>
      <c r="AO558" s="6" t="s">
        <v>54</v>
      </c>
    </row>
    <row r="559" spans="2:41" ht="105" x14ac:dyDescent="0.25">
      <c r="B559" s="207" t="s">
        <v>161</v>
      </c>
      <c r="C559" s="66" t="s">
        <v>198</v>
      </c>
      <c r="D559" s="4" t="s">
        <v>199</v>
      </c>
      <c r="E559" s="4" t="s">
        <v>1072</v>
      </c>
      <c r="F559" s="4" t="s">
        <v>932</v>
      </c>
      <c r="G559" s="4" t="s">
        <v>183</v>
      </c>
      <c r="H559" s="208">
        <v>1</v>
      </c>
      <c r="I559" s="4"/>
      <c r="J559" s="15"/>
      <c r="K559" s="4" t="str">
        <f>_xlfn.IFNA(VLOOKUP($J559,WH_Data[],6,FALSE),"")</f>
        <v/>
      </c>
      <c r="L559" s="4" t="str">
        <f>_xlfn.IFNA(VLOOKUP($J559,WH_Data[],3,FALSE),"")</f>
        <v/>
      </c>
      <c r="M559" s="4" t="str">
        <f>_xlfn.IFNA(VLOOKUP($J559,WH_Data[],5,FALSE),"")</f>
        <v/>
      </c>
      <c r="N559" s="4" t="str">
        <f>_xlfn.IFNA(VLOOKUP($J559,WH_Data[],7,FALSE),"")</f>
        <v/>
      </c>
      <c r="O559" s="4" t="str">
        <f>_xlfn.IFNA(VLOOKUP($J559,WH_Data[],8,FALSE),"")</f>
        <v/>
      </c>
      <c r="P559" s="8"/>
      <c r="Q559" s="209">
        <f>Mon_ILR2[[#This Row],[Qty Required]]-Mon_ILR2[[#This Row],[QTY Transfer]]</f>
        <v>1</v>
      </c>
      <c r="R559" s="66" t="s">
        <v>905</v>
      </c>
      <c r="S559" s="66" t="s">
        <v>938</v>
      </c>
      <c r="T559" s="210">
        <f>_xlfn.IFNA(VLOOKUP(Mon_ILR2[[#This Row],[New Model]],PhilipsLibary[],4,FALSE),"0")</f>
        <v>12153</v>
      </c>
      <c r="U559" s="210">
        <f>_xlfn.IFNA(VLOOKUP(Mon_ILR2[[#This Row],[New Model]],PhilipsLibary[],5,FALSE),"0")</f>
        <v>915</v>
      </c>
      <c r="V559" s="210">
        <v>1879</v>
      </c>
      <c r="W559" s="210">
        <f>Mon_ILR2[[#This Row],[Accessory Rate]]+Mon_ILR2[[#This Row],[Mounting Rate]]+Mon_ILR2[[#This Row],[Unit Rate]]*Mon_ILR2[[#This Row],[New Quantity Required ]]</f>
        <v>14947</v>
      </c>
      <c r="X559" s="8"/>
      <c r="Y559" s="289" t="s">
        <v>2151</v>
      </c>
      <c r="Z559" s="6" t="s">
        <v>128</v>
      </c>
      <c r="AA559" s="6" t="s">
        <v>46</v>
      </c>
      <c r="AB559" s="6" t="s">
        <v>47</v>
      </c>
      <c r="AC559" s="6" t="s">
        <v>48</v>
      </c>
      <c r="AD559" s="6" t="s">
        <v>49</v>
      </c>
      <c r="AE559" s="6" t="s">
        <v>50</v>
      </c>
      <c r="AF559" s="6" t="s">
        <v>50</v>
      </c>
      <c r="AG559" s="6" t="s">
        <v>50</v>
      </c>
      <c r="AH559" s="6" t="s">
        <v>50</v>
      </c>
      <c r="AI559" s="6" t="s">
        <v>132</v>
      </c>
      <c r="AJ559" s="6" t="s">
        <v>50</v>
      </c>
      <c r="AK559" s="6" t="s">
        <v>50</v>
      </c>
      <c r="AL559" s="6" t="s">
        <v>52</v>
      </c>
      <c r="AM559" s="6" t="s">
        <v>53</v>
      </c>
      <c r="AN559" s="6" t="s">
        <v>133</v>
      </c>
      <c r="AO559" s="6" t="s">
        <v>54</v>
      </c>
    </row>
    <row r="560" spans="2:41" ht="105" x14ac:dyDescent="0.25">
      <c r="B560" s="207" t="s">
        <v>161</v>
      </c>
      <c r="C560" s="66" t="s">
        <v>198</v>
      </c>
      <c r="D560" s="4" t="s">
        <v>200</v>
      </c>
      <c r="E560" s="4" t="s">
        <v>1072</v>
      </c>
      <c r="F560" s="4" t="s">
        <v>932</v>
      </c>
      <c r="G560" s="4" t="s">
        <v>183</v>
      </c>
      <c r="H560" s="208">
        <v>1</v>
      </c>
      <c r="I560" s="4"/>
      <c r="J560" s="46" t="s">
        <v>1170</v>
      </c>
      <c r="K560" s="4" t="str">
        <f>_xlfn.IFNA(VLOOKUP($J560,WH_Data[],6,FALSE),"")</f>
        <v>MONITORING SYSTEMS, PHYSIOLOGIC</v>
      </c>
      <c r="L560" s="4" t="str">
        <f>_xlfn.IFNA(VLOOKUP($J560,WH_Data[],3,FALSE),"")</f>
        <v>PHILIPS MEDICAL SYSTEMS AUSTRA</v>
      </c>
      <c r="M560" s="4" t="str">
        <f>_xlfn.IFNA(VLOOKUP($J560,WH_Data[],5,FALSE),"")</f>
        <v>IntelliVue MX500</v>
      </c>
      <c r="N560" s="4" t="str">
        <f>_xlfn.IFNA(VLOOKUP($J560,WH_Data[],7,FALSE),"")</f>
        <v>DE671F0903</v>
      </c>
      <c r="O560" s="4" t="str">
        <f>_xlfn.IFNA(VLOOKUP($J560,WH_Data[],8,FALSE),"")</f>
        <v>CCU FH</v>
      </c>
      <c r="P560" s="8">
        <v>0</v>
      </c>
      <c r="Q560" s="209">
        <f>Mon_ILR2[[#This Row],[Qty Required]]-Mon_ILR2[[#This Row],[QTY Transfer]]</f>
        <v>1</v>
      </c>
      <c r="R560" s="66" t="s">
        <v>905</v>
      </c>
      <c r="S560" s="66" t="s">
        <v>938</v>
      </c>
      <c r="T560" s="210">
        <f>_xlfn.IFNA(VLOOKUP(Mon_ILR2[[#This Row],[New Model]],PhilipsLibary[],4,FALSE),"0")</f>
        <v>12153</v>
      </c>
      <c r="U560" s="210">
        <f>_xlfn.IFNA(VLOOKUP(Mon_ILR2[[#This Row],[New Model]],PhilipsLibary[],5,FALSE),"0")</f>
        <v>915</v>
      </c>
      <c r="V560" s="210">
        <v>1879</v>
      </c>
      <c r="W560" s="210">
        <f>Mon_ILR2[[#This Row],[Accessory Rate]]+Mon_ILR2[[#This Row],[Mounting Rate]]+Mon_ILR2[[#This Row],[Unit Rate]]*Mon_ILR2[[#This Row],[New Quantity Required ]]</f>
        <v>14947</v>
      </c>
      <c r="X560" s="8"/>
      <c r="Y560" s="289" t="s">
        <v>2151</v>
      </c>
      <c r="Z560" s="6" t="s">
        <v>128</v>
      </c>
      <c r="AA560" s="6" t="s">
        <v>46</v>
      </c>
      <c r="AB560" s="6" t="s">
        <v>47</v>
      </c>
      <c r="AC560" s="6" t="s">
        <v>48</v>
      </c>
      <c r="AD560" s="6" t="s">
        <v>49</v>
      </c>
      <c r="AE560" s="6" t="s">
        <v>50</v>
      </c>
      <c r="AF560" s="6" t="s">
        <v>50</v>
      </c>
      <c r="AG560" s="6" t="s">
        <v>50</v>
      </c>
      <c r="AH560" s="6" t="s">
        <v>50</v>
      </c>
      <c r="AI560" s="6" t="s">
        <v>132</v>
      </c>
      <c r="AJ560" s="6" t="s">
        <v>50</v>
      </c>
      <c r="AK560" s="6" t="s">
        <v>50</v>
      </c>
      <c r="AL560" s="6" t="s">
        <v>52</v>
      </c>
      <c r="AM560" s="6" t="s">
        <v>53</v>
      </c>
      <c r="AN560" s="6" t="s">
        <v>133</v>
      </c>
      <c r="AO560" s="6" t="s">
        <v>54</v>
      </c>
    </row>
    <row r="561" spans="2:41" ht="105" x14ac:dyDescent="0.25">
      <c r="B561" s="207" t="s">
        <v>161</v>
      </c>
      <c r="C561" s="66" t="s">
        <v>198</v>
      </c>
      <c r="D561" s="4" t="s">
        <v>212</v>
      </c>
      <c r="E561" s="4" t="s">
        <v>1072</v>
      </c>
      <c r="F561" s="4" t="s">
        <v>932</v>
      </c>
      <c r="G561" s="4" t="s">
        <v>183</v>
      </c>
      <c r="H561" s="208">
        <v>1</v>
      </c>
      <c r="I561" s="4"/>
      <c r="J561" s="46" t="s">
        <v>202</v>
      </c>
      <c r="K561" s="4" t="str">
        <f>_xlfn.IFNA(VLOOKUP($J561,WH_Data[],6,FALSE),"")</f>
        <v>MONITORING SYSTEMS, PHYSIOLOGIC</v>
      </c>
      <c r="L561" s="4" t="str">
        <f>_xlfn.IFNA(VLOOKUP($J561,WH_Data[],3,FALSE),"")</f>
        <v>PHILIPS MEDICAL SYSTEMS AUSTRA</v>
      </c>
      <c r="M561" s="4" t="str">
        <f>_xlfn.IFNA(VLOOKUP($J561,WH_Data[],5,FALSE),"")</f>
        <v>IntelliVue MX500</v>
      </c>
      <c r="N561" s="4" t="str">
        <f>_xlfn.IFNA(VLOOKUP($J561,WH_Data[],7,FALSE),"")</f>
        <v>DE671F0908</v>
      </c>
      <c r="O561" s="4" t="str">
        <f>_xlfn.IFNA(VLOOKUP($J561,WH_Data[],8,FALSE),"")</f>
        <v>CCU FH</v>
      </c>
      <c r="P561" s="8">
        <v>0</v>
      </c>
      <c r="Q561" s="209">
        <f>Mon_ILR2[[#This Row],[Qty Required]]-Mon_ILR2[[#This Row],[QTY Transfer]]</f>
        <v>1</v>
      </c>
      <c r="R561" s="66" t="s">
        <v>905</v>
      </c>
      <c r="S561" s="66" t="s">
        <v>938</v>
      </c>
      <c r="T561" s="210">
        <f>_xlfn.IFNA(VLOOKUP(Mon_ILR2[[#This Row],[New Model]],PhilipsLibary[],4,FALSE),"0")</f>
        <v>12153</v>
      </c>
      <c r="U561" s="210">
        <f>_xlfn.IFNA(VLOOKUP(Mon_ILR2[[#This Row],[New Model]],PhilipsLibary[],5,FALSE),"0")</f>
        <v>915</v>
      </c>
      <c r="V561" s="210">
        <v>1879</v>
      </c>
      <c r="W561" s="210">
        <f>Mon_ILR2[[#This Row],[Accessory Rate]]+Mon_ILR2[[#This Row],[Mounting Rate]]+Mon_ILR2[[#This Row],[Unit Rate]]*Mon_ILR2[[#This Row],[New Quantity Required ]]</f>
        <v>14947</v>
      </c>
      <c r="X561" s="8"/>
      <c r="Y561" s="289" t="s">
        <v>2151</v>
      </c>
      <c r="Z561" s="6" t="s">
        <v>128</v>
      </c>
      <c r="AA561" s="6" t="s">
        <v>46</v>
      </c>
      <c r="AB561" s="6" t="s">
        <v>47</v>
      </c>
      <c r="AC561" s="6" t="s">
        <v>48</v>
      </c>
      <c r="AD561" s="6" t="s">
        <v>49</v>
      </c>
      <c r="AE561" s="6" t="s">
        <v>50</v>
      </c>
      <c r="AF561" s="6" t="s">
        <v>50</v>
      </c>
      <c r="AG561" s="6" t="s">
        <v>50</v>
      </c>
      <c r="AH561" s="6" t="s">
        <v>50</v>
      </c>
      <c r="AI561" s="6" t="s">
        <v>132</v>
      </c>
      <c r="AJ561" s="6" t="s">
        <v>50</v>
      </c>
      <c r="AK561" s="6" t="s">
        <v>50</v>
      </c>
      <c r="AL561" s="6" t="s">
        <v>52</v>
      </c>
      <c r="AM561" s="6" t="s">
        <v>53</v>
      </c>
      <c r="AN561" s="6" t="s">
        <v>133</v>
      </c>
      <c r="AO561" s="6" t="s">
        <v>54</v>
      </c>
    </row>
    <row r="562" spans="2:41" ht="105" x14ac:dyDescent="0.25">
      <c r="B562" s="207" t="s">
        <v>161</v>
      </c>
      <c r="C562" s="66" t="s">
        <v>198</v>
      </c>
      <c r="D562" s="4" t="s">
        <v>213</v>
      </c>
      <c r="E562" s="4" t="s">
        <v>1072</v>
      </c>
      <c r="F562" s="4" t="s">
        <v>932</v>
      </c>
      <c r="G562" s="4" t="s">
        <v>183</v>
      </c>
      <c r="H562" s="208">
        <v>1</v>
      </c>
      <c r="I562" s="4"/>
      <c r="J562" s="46" t="s">
        <v>1171</v>
      </c>
      <c r="K562" s="4" t="str">
        <f>_xlfn.IFNA(VLOOKUP($J562,WH_Data[],6,FALSE),"")</f>
        <v>MONITORING SYSTEMS, PHYSIOLOGIC</v>
      </c>
      <c r="L562" s="4" t="str">
        <f>_xlfn.IFNA(VLOOKUP($J562,WH_Data[],3,FALSE),"")</f>
        <v>PHILIPS MEDICAL SYSTEMS AUSTRA</v>
      </c>
      <c r="M562" s="4" t="str">
        <f>_xlfn.IFNA(VLOOKUP($J562,WH_Data[],5,FALSE),"")</f>
        <v>IntelliVue MX500</v>
      </c>
      <c r="N562" s="4" t="str">
        <f>_xlfn.IFNA(VLOOKUP($J562,WH_Data[],7,FALSE),"")</f>
        <v>DE671F0904</v>
      </c>
      <c r="O562" s="4" t="str">
        <f>_xlfn.IFNA(VLOOKUP($J562,WH_Data[],8,FALSE),"")</f>
        <v>CCU FH</v>
      </c>
      <c r="P562" s="8">
        <v>0</v>
      </c>
      <c r="Q562" s="209">
        <f>Mon_ILR2[[#This Row],[Qty Required]]-Mon_ILR2[[#This Row],[QTY Transfer]]</f>
        <v>1</v>
      </c>
      <c r="R562" s="66" t="s">
        <v>905</v>
      </c>
      <c r="S562" s="66" t="s">
        <v>938</v>
      </c>
      <c r="T562" s="210">
        <f>_xlfn.IFNA(VLOOKUP(Mon_ILR2[[#This Row],[New Model]],PhilipsLibary[],4,FALSE),"0")</f>
        <v>12153</v>
      </c>
      <c r="U562" s="210">
        <f>_xlfn.IFNA(VLOOKUP(Mon_ILR2[[#This Row],[New Model]],PhilipsLibary[],5,FALSE),"0")</f>
        <v>915</v>
      </c>
      <c r="V562" s="210">
        <v>1879</v>
      </c>
      <c r="W562" s="210">
        <f>Mon_ILR2[[#This Row],[Accessory Rate]]+Mon_ILR2[[#This Row],[Mounting Rate]]+Mon_ILR2[[#This Row],[Unit Rate]]*Mon_ILR2[[#This Row],[New Quantity Required ]]</f>
        <v>14947</v>
      </c>
      <c r="X562" s="8"/>
      <c r="Y562" s="289" t="s">
        <v>2151</v>
      </c>
      <c r="Z562" s="6" t="s">
        <v>128</v>
      </c>
      <c r="AA562" s="6" t="s">
        <v>46</v>
      </c>
      <c r="AB562" s="6" t="s">
        <v>47</v>
      </c>
      <c r="AC562" s="6" t="s">
        <v>48</v>
      </c>
      <c r="AD562" s="6" t="s">
        <v>49</v>
      </c>
      <c r="AE562" s="6" t="s">
        <v>50</v>
      </c>
      <c r="AF562" s="6" t="s">
        <v>50</v>
      </c>
      <c r="AG562" s="6" t="s">
        <v>50</v>
      </c>
      <c r="AH562" s="6" t="s">
        <v>50</v>
      </c>
      <c r="AI562" s="6" t="s">
        <v>132</v>
      </c>
      <c r="AJ562" s="6" t="s">
        <v>50</v>
      </c>
      <c r="AK562" s="6" t="s">
        <v>50</v>
      </c>
      <c r="AL562" s="6" t="s">
        <v>52</v>
      </c>
      <c r="AM562" s="6" t="s">
        <v>53</v>
      </c>
      <c r="AN562" s="6" t="s">
        <v>133</v>
      </c>
      <c r="AO562" s="6" t="s">
        <v>54</v>
      </c>
    </row>
    <row r="563" spans="2:41" ht="105" x14ac:dyDescent="0.25">
      <c r="B563" s="207" t="s">
        <v>161</v>
      </c>
      <c r="C563" s="66" t="s">
        <v>162</v>
      </c>
      <c r="D563" s="4" t="s">
        <v>220</v>
      </c>
      <c r="E563" s="4" t="s">
        <v>1072</v>
      </c>
      <c r="F563" s="4" t="s">
        <v>932</v>
      </c>
      <c r="G563" s="4" t="s">
        <v>183</v>
      </c>
      <c r="H563" s="208">
        <v>1</v>
      </c>
      <c r="I563" s="4"/>
      <c r="J563" s="15"/>
      <c r="K563" s="4" t="str">
        <f>_xlfn.IFNA(VLOOKUP($J563,WH_Data[],6,FALSE),"")</f>
        <v/>
      </c>
      <c r="L563" s="4" t="str">
        <f>_xlfn.IFNA(VLOOKUP($J563,WH_Data[],3,FALSE),"")</f>
        <v/>
      </c>
      <c r="M563" s="4" t="str">
        <f>_xlfn.IFNA(VLOOKUP($J563,WH_Data[],5,FALSE),"")</f>
        <v/>
      </c>
      <c r="N563" s="4" t="str">
        <f>_xlfn.IFNA(VLOOKUP($J563,WH_Data[],7,FALSE),"")</f>
        <v/>
      </c>
      <c r="O563" s="4" t="str">
        <f>_xlfn.IFNA(VLOOKUP($J563,WH_Data[],8,FALSE),"")</f>
        <v/>
      </c>
      <c r="P563" s="8"/>
      <c r="Q563" s="209">
        <f>Mon_ILR2[[#This Row],[Qty Required]]-Mon_ILR2[[#This Row],[QTY Transfer]]</f>
        <v>1</v>
      </c>
      <c r="R563" s="66" t="s">
        <v>905</v>
      </c>
      <c r="S563" s="66" t="s">
        <v>938</v>
      </c>
      <c r="T563" s="210">
        <f>_xlfn.IFNA(VLOOKUP(Mon_ILR2[[#This Row],[New Model]],PhilipsLibary[],4,FALSE),"0")</f>
        <v>12153</v>
      </c>
      <c r="U563" s="210">
        <f>_xlfn.IFNA(VLOOKUP(Mon_ILR2[[#This Row],[New Model]],PhilipsLibary[],5,FALSE),"0")</f>
        <v>915</v>
      </c>
      <c r="V563" s="210">
        <v>1879</v>
      </c>
      <c r="W563" s="210">
        <f>Mon_ILR2[[#This Row],[Accessory Rate]]+Mon_ILR2[[#This Row],[Mounting Rate]]+Mon_ILR2[[#This Row],[Unit Rate]]*Mon_ILR2[[#This Row],[New Quantity Required ]]</f>
        <v>14947</v>
      </c>
      <c r="X563" s="8"/>
      <c r="Y563" s="289" t="s">
        <v>2151</v>
      </c>
      <c r="Z563" s="6" t="s">
        <v>128</v>
      </c>
      <c r="AA563" s="6" t="s">
        <v>46</v>
      </c>
      <c r="AB563" s="6" t="s">
        <v>47</v>
      </c>
      <c r="AC563" s="6" t="s">
        <v>48</v>
      </c>
      <c r="AD563" s="6" t="s">
        <v>49</v>
      </c>
      <c r="AE563" s="6" t="s">
        <v>50</v>
      </c>
      <c r="AF563" s="6" t="s">
        <v>50</v>
      </c>
      <c r="AG563" s="6" t="s">
        <v>50</v>
      </c>
      <c r="AH563" s="6" t="s">
        <v>50</v>
      </c>
      <c r="AI563" s="6" t="s">
        <v>132</v>
      </c>
      <c r="AJ563" s="6" t="s">
        <v>50</v>
      </c>
      <c r="AK563" s="6" t="s">
        <v>50</v>
      </c>
      <c r="AL563" s="6" t="s">
        <v>52</v>
      </c>
      <c r="AM563" s="6" t="s">
        <v>53</v>
      </c>
      <c r="AN563" s="6" t="s">
        <v>133</v>
      </c>
      <c r="AO563" s="6" t="s">
        <v>54</v>
      </c>
    </row>
    <row r="564" spans="2:41" ht="105" x14ac:dyDescent="0.25">
      <c r="B564" s="207" t="s">
        <v>161</v>
      </c>
      <c r="C564" s="66" t="s">
        <v>162</v>
      </c>
      <c r="D564" s="4" t="s">
        <v>163</v>
      </c>
      <c r="E564" s="4" t="s">
        <v>1072</v>
      </c>
      <c r="F564" s="4" t="s">
        <v>932</v>
      </c>
      <c r="G564" s="4" t="s">
        <v>183</v>
      </c>
      <c r="H564" s="208">
        <v>1</v>
      </c>
      <c r="I564" s="4"/>
      <c r="J564" s="15"/>
      <c r="K564" s="4" t="str">
        <f>_xlfn.IFNA(VLOOKUP($J564,WH_Data[],6,FALSE),"")</f>
        <v/>
      </c>
      <c r="L564" s="4" t="str">
        <f>_xlfn.IFNA(VLOOKUP($J564,WH_Data[],3,FALSE),"")</f>
        <v/>
      </c>
      <c r="M564" s="4" t="str">
        <f>_xlfn.IFNA(VLOOKUP($J564,WH_Data[],5,FALSE),"")</f>
        <v/>
      </c>
      <c r="N564" s="4" t="str">
        <f>_xlfn.IFNA(VLOOKUP($J564,WH_Data[],7,FALSE),"")</f>
        <v/>
      </c>
      <c r="O564" s="4" t="str">
        <f>_xlfn.IFNA(VLOOKUP($J564,WH_Data[],8,FALSE),"")</f>
        <v/>
      </c>
      <c r="P564" s="8">
        <v>0</v>
      </c>
      <c r="Q564" s="209">
        <f>Mon_ILR2[[#This Row],[Qty Required]]-Mon_ILR2[[#This Row],[QTY Transfer]]</f>
        <v>1</v>
      </c>
      <c r="R564" s="66" t="s">
        <v>905</v>
      </c>
      <c r="S564" s="66" t="s">
        <v>938</v>
      </c>
      <c r="T564" s="210">
        <f>_xlfn.IFNA(VLOOKUP(Mon_ILR2[[#This Row],[New Model]],PhilipsLibary[],4,FALSE),"0")</f>
        <v>12153</v>
      </c>
      <c r="U564" s="210">
        <f>_xlfn.IFNA(VLOOKUP(Mon_ILR2[[#This Row],[New Model]],PhilipsLibary[],5,FALSE),"0")</f>
        <v>915</v>
      </c>
      <c r="V564" s="210">
        <v>1879</v>
      </c>
      <c r="W564" s="210">
        <f>Mon_ILR2[[#This Row],[Accessory Rate]]+Mon_ILR2[[#This Row],[Mounting Rate]]+Mon_ILR2[[#This Row],[Unit Rate]]*Mon_ILR2[[#This Row],[New Quantity Required ]]</f>
        <v>14947</v>
      </c>
      <c r="X564" s="8"/>
      <c r="Y564" s="289" t="s">
        <v>2151</v>
      </c>
      <c r="Z564" s="6" t="s">
        <v>128</v>
      </c>
      <c r="AA564" s="6" t="s">
        <v>46</v>
      </c>
      <c r="AB564" s="6" t="s">
        <v>47</v>
      </c>
      <c r="AC564" s="6" t="s">
        <v>48</v>
      </c>
      <c r="AD564" s="6" t="s">
        <v>49</v>
      </c>
      <c r="AE564" s="6" t="s">
        <v>50</v>
      </c>
      <c r="AF564" s="6" t="s">
        <v>50</v>
      </c>
      <c r="AG564" s="6" t="s">
        <v>50</v>
      </c>
      <c r="AH564" s="6" t="s">
        <v>50</v>
      </c>
      <c r="AI564" s="6" t="s">
        <v>132</v>
      </c>
      <c r="AJ564" s="6" t="s">
        <v>50</v>
      </c>
      <c r="AK564" s="6" t="s">
        <v>50</v>
      </c>
      <c r="AL564" s="6" t="s">
        <v>52</v>
      </c>
      <c r="AM564" s="6" t="s">
        <v>53</v>
      </c>
      <c r="AN564" s="6" t="s">
        <v>133</v>
      </c>
      <c r="AO564" s="6" t="s">
        <v>54</v>
      </c>
    </row>
    <row r="565" spans="2:41" ht="75" x14ac:dyDescent="0.25">
      <c r="B565" s="207" t="s">
        <v>501</v>
      </c>
      <c r="C565" s="66" t="s">
        <v>364</v>
      </c>
      <c r="D565" s="4" t="s">
        <v>760</v>
      </c>
      <c r="E565" s="4" t="s">
        <v>1027</v>
      </c>
      <c r="F565" s="4" t="s">
        <v>932</v>
      </c>
      <c r="G565" s="4" t="s">
        <v>183</v>
      </c>
      <c r="H565" s="208">
        <v>1</v>
      </c>
      <c r="I565" s="4"/>
      <c r="J565" s="15"/>
      <c r="K565" s="4" t="str">
        <f>_xlfn.IFNA(VLOOKUP($J565,WH_Data[],6,FALSE),"")</f>
        <v/>
      </c>
      <c r="L565" s="4" t="str">
        <f>_xlfn.IFNA(VLOOKUP($J565,WH_Data[],3,FALSE),"")</f>
        <v/>
      </c>
      <c r="M565" s="4" t="str">
        <f>_xlfn.IFNA(VLOOKUP($J565,WH_Data[],5,FALSE),"")</f>
        <v/>
      </c>
      <c r="N565" s="4" t="str">
        <f>_xlfn.IFNA(VLOOKUP($J565,WH_Data[],7,FALSE),"")</f>
        <v/>
      </c>
      <c r="O565" s="4" t="str">
        <f>_xlfn.IFNA(VLOOKUP($J565,WH_Data[],8,FALSE),"")</f>
        <v/>
      </c>
      <c r="P565" s="8"/>
      <c r="Q565" s="209">
        <f>Mon_ILR2[[#This Row],[Qty Required]]-Mon_ILR2[[#This Row],[QTY Transfer]]</f>
        <v>1</v>
      </c>
      <c r="R565" s="66" t="s">
        <v>905</v>
      </c>
      <c r="S565" s="66" t="s">
        <v>934</v>
      </c>
      <c r="T565" s="210">
        <f>_xlfn.IFNA(VLOOKUP(Mon_ILR2[[#This Row],[New Model]],PhilipsLibary[],4,FALSE),"0")</f>
        <v>7489</v>
      </c>
      <c r="U565" s="210">
        <f>_xlfn.IFNA(VLOOKUP(Mon_ILR2[[#This Row],[New Model]],PhilipsLibary[],5,FALSE),"0")</f>
        <v>1127</v>
      </c>
      <c r="V565" s="210">
        <v>1879</v>
      </c>
      <c r="W565" s="210">
        <f>Mon_ILR2[[#This Row],[Accessory Rate]]+Mon_ILR2[[#This Row],[Mounting Rate]]+Mon_ILR2[[#This Row],[Unit Rate]]*Mon_ILR2[[#This Row],[New Quantity Required ]]</f>
        <v>10495</v>
      </c>
      <c r="X565" s="8"/>
      <c r="Y565" s="246" t="s">
        <v>988</v>
      </c>
      <c r="Z565" s="6" t="s">
        <v>45</v>
      </c>
      <c r="AA565" s="6" t="s">
        <v>46</v>
      </c>
      <c r="AB565" s="6" t="s">
        <v>47</v>
      </c>
      <c r="AC565" s="6" t="s">
        <v>48</v>
      </c>
      <c r="AD565" s="6" t="s">
        <v>49</v>
      </c>
      <c r="AE565" s="6" t="s">
        <v>50</v>
      </c>
      <c r="AF565" s="6" t="s">
        <v>50</v>
      </c>
      <c r="AG565" s="6" t="s">
        <v>50</v>
      </c>
      <c r="AH565" s="6" t="s">
        <v>50</v>
      </c>
      <c r="AI565" s="6" t="s">
        <v>51</v>
      </c>
      <c r="AJ565" s="6" t="s">
        <v>50</v>
      </c>
      <c r="AK565" s="6" t="s">
        <v>50</v>
      </c>
      <c r="AL565" s="6" t="s">
        <v>52</v>
      </c>
      <c r="AM565" s="6" t="s">
        <v>53</v>
      </c>
      <c r="AN565" s="6" t="s">
        <v>50</v>
      </c>
      <c r="AO565" s="6" t="s">
        <v>54</v>
      </c>
    </row>
    <row r="566" spans="2:41" ht="90" x14ac:dyDescent="0.25">
      <c r="B566" s="207" t="s">
        <v>363</v>
      </c>
      <c r="C566" s="66" t="s">
        <v>364</v>
      </c>
      <c r="D566" s="4" t="s">
        <v>365</v>
      </c>
      <c r="E566" s="4" t="s">
        <v>1027</v>
      </c>
      <c r="F566" s="4" t="s">
        <v>932</v>
      </c>
      <c r="G566" s="4" t="s">
        <v>183</v>
      </c>
      <c r="H566" s="208">
        <v>1</v>
      </c>
      <c r="I566" s="4"/>
      <c r="J566" s="15" t="s">
        <v>366</v>
      </c>
      <c r="K566" s="4" t="s">
        <v>38</v>
      </c>
      <c r="L566" s="4" t="s">
        <v>168</v>
      </c>
      <c r="M566" s="4" t="s">
        <v>188</v>
      </c>
      <c r="N566" s="4" t="s">
        <v>367</v>
      </c>
      <c r="O566" s="4" t="s">
        <v>190</v>
      </c>
      <c r="P566" s="8">
        <v>1</v>
      </c>
      <c r="Q566" s="209">
        <f>Mon_ILR2[[#This Row],[Qty Required]]-Mon_ILR2[[#This Row],[QTY Transfer]]</f>
        <v>0</v>
      </c>
      <c r="R566" s="66" t="s">
        <v>905</v>
      </c>
      <c r="S566" s="66" t="s">
        <v>934</v>
      </c>
      <c r="T566" s="210">
        <f>_xlfn.IFNA(VLOOKUP(Mon_ILR2[[#This Row],[New Model]],PhilipsLibary[],4,FALSE),"0")</f>
        <v>7489</v>
      </c>
      <c r="U566" s="210">
        <f>_xlfn.IFNA(VLOOKUP(Mon_ILR2[[#This Row],[New Model]],PhilipsLibary[],5,FALSE),"0")</f>
        <v>1127</v>
      </c>
      <c r="V566" s="210">
        <v>1879</v>
      </c>
      <c r="W566" s="210">
        <v>10955</v>
      </c>
      <c r="X566" s="8"/>
      <c r="Y566" s="246" t="s">
        <v>1172</v>
      </c>
      <c r="Z566" s="6" t="s">
        <v>45</v>
      </c>
      <c r="AA566" s="6" t="s">
        <v>46</v>
      </c>
      <c r="AB566" s="6" t="s">
        <v>47</v>
      </c>
      <c r="AC566" s="6" t="s">
        <v>48</v>
      </c>
      <c r="AD566" s="6" t="s">
        <v>49</v>
      </c>
      <c r="AE566" s="6" t="s">
        <v>50</v>
      </c>
      <c r="AF566" s="6" t="s">
        <v>50</v>
      </c>
      <c r="AG566" s="6" t="s">
        <v>50</v>
      </c>
      <c r="AH566" s="6" t="s">
        <v>50</v>
      </c>
      <c r="AI566" s="6" t="s">
        <v>51</v>
      </c>
      <c r="AJ566" s="6" t="s">
        <v>50</v>
      </c>
      <c r="AK566" s="6" t="s">
        <v>50</v>
      </c>
      <c r="AL566" s="6" t="s">
        <v>52</v>
      </c>
      <c r="AM566" s="6" t="s">
        <v>53</v>
      </c>
      <c r="AN566" s="6" t="s">
        <v>50</v>
      </c>
      <c r="AO566" s="6" t="s">
        <v>54</v>
      </c>
    </row>
    <row r="567" spans="2:41" ht="150" x14ac:dyDescent="0.25">
      <c r="B567" s="207" t="s">
        <v>35</v>
      </c>
      <c r="C567" s="66" t="s">
        <v>410</v>
      </c>
      <c r="D567" s="4" t="s">
        <v>815</v>
      </c>
      <c r="E567" s="4" t="s">
        <v>1072</v>
      </c>
      <c r="F567" s="4" t="s">
        <v>816</v>
      </c>
      <c r="G567" s="4" t="s">
        <v>183</v>
      </c>
      <c r="H567" s="208">
        <v>1</v>
      </c>
      <c r="I567" s="4"/>
      <c r="J567" s="15"/>
      <c r="K567" s="4" t="str">
        <f>_xlfn.IFNA(VLOOKUP($J567,WH_Data[],6,FALSE),"")</f>
        <v/>
      </c>
      <c r="L567" s="4" t="str">
        <f>_xlfn.IFNA(VLOOKUP($J567,WH_Data[],3,FALSE),"")</f>
        <v/>
      </c>
      <c r="M567" s="4" t="str">
        <f>_xlfn.IFNA(VLOOKUP($J567,WH_Data[],5,FALSE),"")</f>
        <v/>
      </c>
      <c r="N567" s="4" t="str">
        <f>_xlfn.IFNA(VLOOKUP($J567,WH_Data[],7,FALSE),"")</f>
        <v/>
      </c>
      <c r="O567" s="4" t="str">
        <f>_xlfn.IFNA(VLOOKUP($J567,WH_Data[],8,FALSE),"")</f>
        <v/>
      </c>
      <c r="P567" s="8"/>
      <c r="Q567" s="209">
        <f>Mon_ILR2[[#This Row],[Qty Required]]-Mon_ILR2[[#This Row],[QTY Transfer]]</f>
        <v>1</v>
      </c>
      <c r="R567" s="66" t="s">
        <v>905</v>
      </c>
      <c r="S567" s="66" t="s">
        <v>2215</v>
      </c>
      <c r="T567" s="210">
        <f>_xlfn.IFNA(VLOOKUP(Mon_ILR2[[#This Row],[New Model]],PhilipsLibary[],4,FALSE),"0")</f>
        <v>0</v>
      </c>
      <c r="U567" s="210">
        <v>876</v>
      </c>
      <c r="V567" s="210">
        <v>500</v>
      </c>
      <c r="W567" s="210">
        <f>Mon_ILR2[[#This Row],[Accessory Rate]]+Mon_ILR2[[#This Row],[Mounting Rate]]+Mon_ILR2[[#This Row],[Unit Rate]]*Mon_ILR2[[#This Row],[New Quantity Required ]]</f>
        <v>1376</v>
      </c>
      <c r="X567" s="8"/>
      <c r="Y567" s="289" t="s">
        <v>2214</v>
      </c>
      <c r="Z567" s="6" t="s">
        <v>50</v>
      </c>
      <c r="AA567" s="6" t="s">
        <v>50</v>
      </c>
      <c r="AB567" s="6" t="s">
        <v>50</v>
      </c>
      <c r="AC567" s="6" t="s">
        <v>50</v>
      </c>
      <c r="AD567" s="6" t="s">
        <v>50</v>
      </c>
      <c r="AE567" s="6" t="s">
        <v>50</v>
      </c>
      <c r="AF567" s="6" t="s">
        <v>50</v>
      </c>
      <c r="AG567" s="6" t="s">
        <v>50</v>
      </c>
      <c r="AH567" s="6" t="s">
        <v>50</v>
      </c>
      <c r="AI567" s="6" t="s">
        <v>50</v>
      </c>
      <c r="AJ567" s="6" t="s">
        <v>50</v>
      </c>
      <c r="AK567" s="6" t="s">
        <v>50</v>
      </c>
      <c r="AL567" s="6" t="s">
        <v>50</v>
      </c>
      <c r="AM567" s="6" t="s">
        <v>50</v>
      </c>
      <c r="AN567" s="6" t="s">
        <v>50</v>
      </c>
      <c r="AO567" s="6" t="s">
        <v>50</v>
      </c>
    </row>
    <row r="568" spans="2:41" ht="90" customHeight="1" x14ac:dyDescent="0.25">
      <c r="B568" s="207" t="s">
        <v>35</v>
      </c>
      <c r="C568" s="66" t="s">
        <v>410</v>
      </c>
      <c r="D568" s="4" t="s">
        <v>817</v>
      </c>
      <c r="E568" s="4" t="s">
        <v>1072</v>
      </c>
      <c r="F568" s="4" t="s">
        <v>816</v>
      </c>
      <c r="G568" s="4" t="s">
        <v>183</v>
      </c>
      <c r="H568" s="208">
        <v>1</v>
      </c>
      <c r="I568" s="4"/>
      <c r="J568" s="15"/>
      <c r="K568" s="4" t="str">
        <f>_xlfn.IFNA(VLOOKUP($J568,WH_Data[],6,FALSE),"")</f>
        <v/>
      </c>
      <c r="L568" s="4" t="str">
        <f>_xlfn.IFNA(VLOOKUP($J568,WH_Data[],3,FALSE),"")</f>
        <v/>
      </c>
      <c r="M568" s="4" t="str">
        <f>_xlfn.IFNA(VLOOKUP($J568,WH_Data[],5,FALSE),"")</f>
        <v/>
      </c>
      <c r="N568" s="4" t="str">
        <f>_xlfn.IFNA(VLOOKUP($J568,WH_Data[],7,FALSE),"")</f>
        <v/>
      </c>
      <c r="O568" s="4" t="str">
        <f>_xlfn.IFNA(VLOOKUP($J568,WH_Data[],8,FALSE),"")</f>
        <v/>
      </c>
      <c r="P568" s="8"/>
      <c r="Q568" s="209">
        <f>Mon_ILR2[[#This Row],[Qty Required]]-Mon_ILR2[[#This Row],[QTY Transfer]]</f>
        <v>1</v>
      </c>
      <c r="R568" s="66" t="s">
        <v>905</v>
      </c>
      <c r="S568" s="66" t="s">
        <v>2215</v>
      </c>
      <c r="T568" s="210">
        <f>_xlfn.IFNA(VLOOKUP(Mon_ILR2[[#This Row],[New Model]],PhilipsLibary[],4,FALSE),"0")</f>
        <v>0</v>
      </c>
      <c r="U568" s="210">
        <v>876</v>
      </c>
      <c r="V568" s="210">
        <v>500</v>
      </c>
      <c r="W568" s="210">
        <f>Mon_ILR2[[#This Row],[Accessory Rate]]+Mon_ILR2[[#This Row],[Mounting Rate]]+Mon_ILR2[[#This Row],[Unit Rate]]*Mon_ILR2[[#This Row],[New Quantity Required ]]</f>
        <v>1376</v>
      </c>
      <c r="X568" s="8"/>
      <c r="Y568" s="289" t="s">
        <v>2214</v>
      </c>
      <c r="Z568" s="6" t="s">
        <v>50</v>
      </c>
      <c r="AA568" s="6" t="s">
        <v>50</v>
      </c>
      <c r="AB568" s="6" t="s">
        <v>50</v>
      </c>
      <c r="AC568" s="6" t="s">
        <v>50</v>
      </c>
      <c r="AD568" s="6" t="s">
        <v>50</v>
      </c>
      <c r="AE568" s="6" t="s">
        <v>50</v>
      </c>
      <c r="AF568" s="6" t="s">
        <v>50</v>
      </c>
      <c r="AG568" s="6" t="s">
        <v>50</v>
      </c>
      <c r="AH568" s="6" t="s">
        <v>50</v>
      </c>
      <c r="AI568" s="6" t="s">
        <v>50</v>
      </c>
      <c r="AJ568" s="6" t="s">
        <v>50</v>
      </c>
      <c r="AK568" s="6" t="s">
        <v>50</v>
      </c>
      <c r="AL568" s="6" t="s">
        <v>50</v>
      </c>
      <c r="AM568" s="6" t="s">
        <v>50</v>
      </c>
      <c r="AN568" s="6" t="s">
        <v>50</v>
      </c>
      <c r="AO568" s="6" t="s">
        <v>50</v>
      </c>
    </row>
    <row r="569" spans="2:41" ht="105" x14ac:dyDescent="0.25">
      <c r="B569" s="207" t="s">
        <v>35</v>
      </c>
      <c r="C569" s="66" t="s">
        <v>818</v>
      </c>
      <c r="D569" s="4" t="s">
        <v>819</v>
      </c>
      <c r="E569" s="4" t="s">
        <v>1072</v>
      </c>
      <c r="F569" s="4" t="s">
        <v>816</v>
      </c>
      <c r="G569" s="4" t="s">
        <v>183</v>
      </c>
      <c r="H569" s="208">
        <v>1</v>
      </c>
      <c r="I569" s="4"/>
      <c r="J569" s="15"/>
      <c r="K569" s="4" t="str">
        <f>_xlfn.IFNA(VLOOKUP($J569,WH_Data[],6,FALSE),"")</f>
        <v/>
      </c>
      <c r="L569" s="4" t="str">
        <f>_xlfn.IFNA(VLOOKUP($J569,WH_Data[],3,FALSE),"")</f>
        <v/>
      </c>
      <c r="M569" s="4" t="str">
        <f>_xlfn.IFNA(VLOOKUP($J569,WH_Data[],5,FALSE),"")</f>
        <v/>
      </c>
      <c r="N569" s="4" t="str">
        <f>_xlfn.IFNA(VLOOKUP($J569,WH_Data[],7,FALSE),"")</f>
        <v/>
      </c>
      <c r="O569" s="4" t="str">
        <f>_xlfn.IFNA(VLOOKUP($J569,WH_Data[],8,FALSE),"")</f>
        <v/>
      </c>
      <c r="P569" s="8"/>
      <c r="Q569" s="209">
        <f>Mon_ILR2[[#This Row],[Qty Required]]-Mon_ILR2[[#This Row],[QTY Transfer]]</f>
        <v>1</v>
      </c>
      <c r="R569" s="66" t="s">
        <v>905</v>
      </c>
      <c r="S569" s="264" t="s">
        <v>2211</v>
      </c>
      <c r="T569" s="303">
        <v>750</v>
      </c>
      <c r="U569" s="303">
        <v>199</v>
      </c>
      <c r="V569" s="210">
        <v>0</v>
      </c>
      <c r="W569" s="210">
        <v>949</v>
      </c>
      <c r="X569" s="8"/>
      <c r="Y569" s="247" t="s">
        <v>2192</v>
      </c>
      <c r="Z569" s="6" t="s">
        <v>50</v>
      </c>
      <c r="AA569" s="6" t="s">
        <v>50</v>
      </c>
      <c r="AB569" s="6" t="s">
        <v>50</v>
      </c>
      <c r="AC569" s="6" t="s">
        <v>50</v>
      </c>
      <c r="AD569" s="6" t="s">
        <v>50</v>
      </c>
      <c r="AE569" s="6" t="s">
        <v>50</v>
      </c>
      <c r="AF569" s="6" t="s">
        <v>50</v>
      </c>
      <c r="AG569" s="6" t="s">
        <v>50</v>
      </c>
      <c r="AH569" s="6" t="s">
        <v>50</v>
      </c>
      <c r="AI569" s="6" t="s">
        <v>50</v>
      </c>
      <c r="AJ569" s="6" t="s">
        <v>50</v>
      </c>
      <c r="AK569" s="6" t="s">
        <v>50</v>
      </c>
      <c r="AL569" s="6" t="s">
        <v>50</v>
      </c>
      <c r="AM569" s="6" t="s">
        <v>50</v>
      </c>
      <c r="AN569" s="6" t="s">
        <v>50</v>
      </c>
      <c r="AO569" s="6" t="s">
        <v>50</v>
      </c>
    </row>
    <row r="570" spans="2:41" ht="120" x14ac:dyDescent="0.25">
      <c r="B570" s="207" t="s">
        <v>35</v>
      </c>
      <c r="C570" s="66" t="s">
        <v>684</v>
      </c>
      <c r="D570" s="4" t="s">
        <v>837</v>
      </c>
      <c r="E570" s="4" t="s">
        <v>1027</v>
      </c>
      <c r="F570" s="4" t="s">
        <v>816</v>
      </c>
      <c r="G570" s="4" t="s">
        <v>183</v>
      </c>
      <c r="H570" s="208">
        <v>1</v>
      </c>
      <c r="I570" s="4"/>
      <c r="J570" s="15"/>
      <c r="K570" s="4" t="str">
        <f>_xlfn.IFNA(VLOOKUP($J570,WH_Data[],6,FALSE),"")</f>
        <v/>
      </c>
      <c r="L570" s="4" t="str">
        <f>_xlfn.IFNA(VLOOKUP($J570,WH_Data[],3,FALSE),"")</f>
        <v/>
      </c>
      <c r="M570" s="4" t="str">
        <f>_xlfn.IFNA(VLOOKUP($J570,WH_Data[],5,FALSE),"")</f>
        <v/>
      </c>
      <c r="N570" s="4" t="str">
        <f>_xlfn.IFNA(VLOOKUP($J570,WH_Data[],7,FALSE),"")</f>
        <v/>
      </c>
      <c r="O570" s="4" t="str">
        <f>_xlfn.IFNA(VLOOKUP($J570,WH_Data[],8,FALSE),"")</f>
        <v/>
      </c>
      <c r="P570" s="8"/>
      <c r="Q570" s="209">
        <f>Mon_ILR2[[#This Row],[Qty Required]]-Mon_ILR2[[#This Row],[QTY Transfer]]</f>
        <v>1</v>
      </c>
      <c r="R570" s="66" t="s">
        <v>905</v>
      </c>
      <c r="S570" s="264" t="s">
        <v>2211</v>
      </c>
      <c r="T570" s="210">
        <v>750</v>
      </c>
      <c r="U570" s="210">
        <v>199</v>
      </c>
      <c r="V570" s="210" t="str">
        <f>_xlfn.IFNA(VLOOKUP(Mon_ILR2[[#This Row],[New Model]],PhilipsLibary[],5,FALSE),"0")</f>
        <v>0</v>
      </c>
      <c r="W570" s="210">
        <f>Mon_ILR2[[#This Row],[Accessory Rate]]+Mon_ILR2[[#This Row],[Mounting Rate]]+Mon_ILR2[[#This Row],[Unit Rate]]*Mon_ILR2[[#This Row],[New Quantity Required ]]</f>
        <v>949</v>
      </c>
      <c r="X570" s="8"/>
      <c r="Y570" s="247" t="s">
        <v>2138</v>
      </c>
      <c r="Z570" s="6" t="s">
        <v>50</v>
      </c>
      <c r="AA570" s="6" t="s">
        <v>50</v>
      </c>
      <c r="AB570" s="6" t="s">
        <v>50</v>
      </c>
      <c r="AC570" s="6" t="s">
        <v>50</v>
      </c>
      <c r="AD570" s="6" t="s">
        <v>50</v>
      </c>
      <c r="AE570" s="6" t="s">
        <v>50</v>
      </c>
      <c r="AF570" s="6" t="s">
        <v>50</v>
      </c>
      <c r="AG570" s="6" t="s">
        <v>50</v>
      </c>
      <c r="AH570" s="6" t="s">
        <v>50</v>
      </c>
      <c r="AI570" s="6" t="s">
        <v>50</v>
      </c>
      <c r="AJ570" s="6" t="s">
        <v>50</v>
      </c>
      <c r="AK570" s="6" t="s">
        <v>50</v>
      </c>
      <c r="AL570" s="6" t="s">
        <v>50</v>
      </c>
      <c r="AM570" s="6" t="s">
        <v>50</v>
      </c>
      <c r="AN570" s="6" t="s">
        <v>50</v>
      </c>
      <c r="AO570" s="6" t="s">
        <v>50</v>
      </c>
    </row>
    <row r="571" spans="2:41" ht="120" x14ac:dyDescent="0.25">
      <c r="B571" s="207" t="s">
        <v>35</v>
      </c>
      <c r="C571" s="66" t="s">
        <v>684</v>
      </c>
      <c r="D571" s="4" t="s">
        <v>852</v>
      </c>
      <c r="E571" s="4" t="s">
        <v>1027</v>
      </c>
      <c r="F571" s="4" t="s">
        <v>816</v>
      </c>
      <c r="G571" s="4" t="s">
        <v>183</v>
      </c>
      <c r="H571" s="208">
        <v>1</v>
      </c>
      <c r="I571" s="4"/>
      <c r="J571" s="15"/>
      <c r="K571" s="4" t="str">
        <f>_xlfn.IFNA(VLOOKUP($J571,WH_Data[],6,FALSE),"")</f>
        <v/>
      </c>
      <c r="L571" s="4" t="str">
        <f>_xlfn.IFNA(VLOOKUP($J571,WH_Data[],3,FALSE),"")</f>
        <v/>
      </c>
      <c r="M571" s="4" t="str">
        <f>_xlfn.IFNA(VLOOKUP($J571,WH_Data[],5,FALSE),"")</f>
        <v/>
      </c>
      <c r="N571" s="4" t="str">
        <f>_xlfn.IFNA(VLOOKUP($J571,WH_Data[],7,FALSE),"")</f>
        <v/>
      </c>
      <c r="O571" s="4" t="str">
        <f>_xlfn.IFNA(VLOOKUP($J571,WH_Data[],8,FALSE),"")</f>
        <v/>
      </c>
      <c r="P571" s="8"/>
      <c r="Q571" s="209">
        <f>Mon_ILR2[[#This Row],[Qty Required]]-Mon_ILR2[[#This Row],[QTY Transfer]]</f>
        <v>1</v>
      </c>
      <c r="R571" s="66" t="s">
        <v>905</v>
      </c>
      <c r="S571" s="264" t="s">
        <v>2211</v>
      </c>
      <c r="T571" s="210">
        <v>750</v>
      </c>
      <c r="U571" s="210">
        <v>199</v>
      </c>
      <c r="V571" s="210" t="str">
        <f>_xlfn.IFNA(VLOOKUP(Mon_ILR2[[#This Row],[New Model]],PhilipsLibary[],5,FALSE),"0")</f>
        <v>0</v>
      </c>
      <c r="W571" s="210">
        <f>Mon_ILR2[[#This Row],[Accessory Rate]]+Mon_ILR2[[#This Row],[Mounting Rate]]+Mon_ILR2[[#This Row],[Unit Rate]]*Mon_ILR2[[#This Row],[New Quantity Required ]]</f>
        <v>949</v>
      </c>
      <c r="X571" s="8"/>
      <c r="Y571" s="247" t="s">
        <v>2139</v>
      </c>
      <c r="Z571" s="6" t="s">
        <v>50</v>
      </c>
      <c r="AA571" s="6" t="s">
        <v>50</v>
      </c>
      <c r="AB571" s="6" t="s">
        <v>50</v>
      </c>
      <c r="AC571" s="6" t="s">
        <v>50</v>
      </c>
      <c r="AD571" s="6" t="s">
        <v>50</v>
      </c>
      <c r="AE571" s="6" t="s">
        <v>50</v>
      </c>
      <c r="AF571" s="6" t="s">
        <v>50</v>
      </c>
      <c r="AG571" s="6" t="s">
        <v>50</v>
      </c>
      <c r="AH571" s="6" t="s">
        <v>50</v>
      </c>
      <c r="AI571" s="6" t="s">
        <v>50</v>
      </c>
      <c r="AJ571" s="6" t="s">
        <v>50</v>
      </c>
      <c r="AK571" s="6" t="s">
        <v>50</v>
      </c>
      <c r="AL571" s="6" t="s">
        <v>50</v>
      </c>
      <c r="AM571" s="6" t="s">
        <v>50</v>
      </c>
      <c r="AN571" s="6" t="s">
        <v>50</v>
      </c>
      <c r="AO571" s="6" t="s">
        <v>50</v>
      </c>
    </row>
    <row r="572" spans="2:41" ht="150" x14ac:dyDescent="0.25">
      <c r="B572" s="207" t="s">
        <v>35</v>
      </c>
      <c r="C572" s="66" t="s">
        <v>410</v>
      </c>
      <c r="D572" s="4" t="s">
        <v>854</v>
      </c>
      <c r="E572" s="4" t="s">
        <v>1072</v>
      </c>
      <c r="F572" s="4" t="s">
        <v>816</v>
      </c>
      <c r="G572" s="4" t="s">
        <v>183</v>
      </c>
      <c r="H572" s="208">
        <v>1</v>
      </c>
      <c r="I572" s="4"/>
      <c r="J572" s="15"/>
      <c r="K572" s="4" t="str">
        <f>_xlfn.IFNA(VLOOKUP($J572,WH_Data[],6,FALSE),"")</f>
        <v/>
      </c>
      <c r="L572" s="4" t="str">
        <f>_xlfn.IFNA(VLOOKUP($J572,WH_Data[],3,FALSE),"")</f>
        <v/>
      </c>
      <c r="M572" s="4" t="str">
        <f>_xlfn.IFNA(VLOOKUP($J572,WH_Data[],5,FALSE),"")</f>
        <v/>
      </c>
      <c r="N572" s="4" t="str">
        <f>_xlfn.IFNA(VLOOKUP($J572,WH_Data[],7,FALSE),"")</f>
        <v/>
      </c>
      <c r="O572" s="4" t="str">
        <f>_xlfn.IFNA(VLOOKUP($J572,WH_Data[],8,FALSE),"")</f>
        <v/>
      </c>
      <c r="P572" s="8"/>
      <c r="Q572" s="209">
        <f>Mon_ILR2[[#This Row],[Qty Required]]-Mon_ILR2[[#This Row],[QTY Transfer]]</f>
        <v>1</v>
      </c>
      <c r="R572" s="66" t="s">
        <v>905</v>
      </c>
      <c r="S572" s="66" t="s">
        <v>2215</v>
      </c>
      <c r="T572" s="210">
        <f>_xlfn.IFNA(VLOOKUP(Mon_ILR2[[#This Row],[New Model]],PhilipsLibary[],4,FALSE),"0")</f>
        <v>0</v>
      </c>
      <c r="U572" s="210">
        <v>876</v>
      </c>
      <c r="V572" s="210">
        <v>500</v>
      </c>
      <c r="W572" s="210">
        <f>Mon_ILR2[[#This Row],[Accessory Rate]]+Mon_ILR2[[#This Row],[Mounting Rate]]+Mon_ILR2[[#This Row],[Unit Rate]]*Mon_ILR2[[#This Row],[New Quantity Required ]]</f>
        <v>1376</v>
      </c>
      <c r="X572" s="8"/>
      <c r="Y572" s="289" t="s">
        <v>2214</v>
      </c>
      <c r="Z572" s="6" t="s">
        <v>50</v>
      </c>
      <c r="AA572" s="6" t="s">
        <v>50</v>
      </c>
      <c r="AB572" s="6" t="s">
        <v>50</v>
      </c>
      <c r="AC572" s="6" t="s">
        <v>50</v>
      </c>
      <c r="AD572" s="6" t="s">
        <v>50</v>
      </c>
      <c r="AE572" s="6" t="s">
        <v>50</v>
      </c>
      <c r="AF572" s="6" t="s">
        <v>50</v>
      </c>
      <c r="AG572" s="6" t="s">
        <v>50</v>
      </c>
      <c r="AH572" s="6" t="s">
        <v>50</v>
      </c>
      <c r="AI572" s="6" t="s">
        <v>50</v>
      </c>
      <c r="AJ572" s="6" t="s">
        <v>50</v>
      </c>
      <c r="AK572" s="6" t="s">
        <v>50</v>
      </c>
      <c r="AL572" s="6" t="s">
        <v>50</v>
      </c>
      <c r="AM572" s="6" t="s">
        <v>50</v>
      </c>
      <c r="AN572" s="6" t="s">
        <v>50</v>
      </c>
      <c r="AO572" s="6" t="s">
        <v>50</v>
      </c>
    </row>
    <row r="573" spans="2:41" ht="150" x14ac:dyDescent="0.25">
      <c r="B573" s="207" t="s">
        <v>35</v>
      </c>
      <c r="C573" s="66" t="s">
        <v>410</v>
      </c>
      <c r="D573" s="4" t="s">
        <v>855</v>
      </c>
      <c r="E573" s="4" t="s">
        <v>1072</v>
      </c>
      <c r="F573" s="4" t="s">
        <v>816</v>
      </c>
      <c r="G573" s="4" t="s">
        <v>183</v>
      </c>
      <c r="H573" s="208">
        <v>1</v>
      </c>
      <c r="I573" s="4"/>
      <c r="J573" s="15"/>
      <c r="K573" s="4" t="str">
        <f>_xlfn.IFNA(VLOOKUP($J573,WH_Data[],6,FALSE),"")</f>
        <v/>
      </c>
      <c r="L573" s="4" t="str">
        <f>_xlfn.IFNA(VLOOKUP($J573,WH_Data[],3,FALSE),"")</f>
        <v/>
      </c>
      <c r="M573" s="4" t="str">
        <f>_xlfn.IFNA(VLOOKUP($J573,WH_Data[],5,FALSE),"")</f>
        <v/>
      </c>
      <c r="N573" s="4" t="str">
        <f>_xlfn.IFNA(VLOOKUP($J573,WH_Data[],7,FALSE),"")</f>
        <v/>
      </c>
      <c r="O573" s="4" t="str">
        <f>_xlfn.IFNA(VLOOKUP($J573,WH_Data[],8,FALSE),"")</f>
        <v/>
      </c>
      <c r="P573" s="8"/>
      <c r="Q573" s="209">
        <f>Mon_ILR2[[#This Row],[Qty Required]]-Mon_ILR2[[#This Row],[QTY Transfer]]</f>
        <v>1</v>
      </c>
      <c r="R573" s="66" t="s">
        <v>905</v>
      </c>
      <c r="S573" s="66" t="s">
        <v>2215</v>
      </c>
      <c r="T573" s="210">
        <f>_xlfn.IFNA(VLOOKUP(Mon_ILR2[[#This Row],[New Model]],PhilipsLibary[],4,FALSE),"0")</f>
        <v>0</v>
      </c>
      <c r="U573" s="210">
        <v>876</v>
      </c>
      <c r="V573" s="210">
        <v>500</v>
      </c>
      <c r="W573" s="210">
        <f>Mon_ILR2[[#This Row],[Accessory Rate]]+Mon_ILR2[[#This Row],[Mounting Rate]]+Mon_ILR2[[#This Row],[Unit Rate]]*Mon_ILR2[[#This Row],[New Quantity Required ]]</f>
        <v>1376</v>
      </c>
      <c r="X573" s="8"/>
      <c r="Y573" s="289" t="s">
        <v>2214</v>
      </c>
      <c r="Z573" s="6" t="s">
        <v>50</v>
      </c>
      <c r="AA573" s="6" t="s">
        <v>50</v>
      </c>
      <c r="AB573" s="6" t="s">
        <v>50</v>
      </c>
      <c r="AC573" s="6" t="s">
        <v>50</v>
      </c>
      <c r="AD573" s="6" t="s">
        <v>50</v>
      </c>
      <c r="AE573" s="6" t="s">
        <v>50</v>
      </c>
      <c r="AF573" s="6" t="s">
        <v>50</v>
      </c>
      <c r="AG573" s="6" t="s">
        <v>50</v>
      </c>
      <c r="AH573" s="6" t="s">
        <v>50</v>
      </c>
      <c r="AI573" s="6" t="s">
        <v>50</v>
      </c>
      <c r="AJ573" s="6" t="s">
        <v>50</v>
      </c>
      <c r="AK573" s="6" t="s">
        <v>50</v>
      </c>
      <c r="AL573" s="6" t="s">
        <v>50</v>
      </c>
      <c r="AM573" s="6" t="s">
        <v>50</v>
      </c>
      <c r="AN573" s="6" t="s">
        <v>50</v>
      </c>
      <c r="AO573" s="6" t="s">
        <v>50</v>
      </c>
    </row>
    <row r="574" spans="2:41" ht="150" x14ac:dyDescent="0.25">
      <c r="B574" s="207" t="s">
        <v>35</v>
      </c>
      <c r="C574" s="66" t="s">
        <v>410</v>
      </c>
      <c r="D574" s="4" t="s">
        <v>856</v>
      </c>
      <c r="E574" s="4" t="s">
        <v>1072</v>
      </c>
      <c r="F574" s="4" t="s">
        <v>816</v>
      </c>
      <c r="G574" s="4" t="s">
        <v>183</v>
      </c>
      <c r="H574" s="208">
        <v>1</v>
      </c>
      <c r="I574" s="4"/>
      <c r="J574" s="15"/>
      <c r="K574" s="4" t="str">
        <f>_xlfn.IFNA(VLOOKUP($J574,WH_Data[],6,FALSE),"")</f>
        <v/>
      </c>
      <c r="L574" s="4" t="str">
        <f>_xlfn.IFNA(VLOOKUP($J574,WH_Data[],3,FALSE),"")</f>
        <v/>
      </c>
      <c r="M574" s="4" t="str">
        <f>_xlfn.IFNA(VLOOKUP($J574,WH_Data[],5,FALSE),"")</f>
        <v/>
      </c>
      <c r="N574" s="4" t="str">
        <f>_xlfn.IFNA(VLOOKUP($J574,WH_Data[],7,FALSE),"")</f>
        <v/>
      </c>
      <c r="O574" s="4" t="str">
        <f>_xlfn.IFNA(VLOOKUP($J574,WH_Data[],8,FALSE),"")</f>
        <v/>
      </c>
      <c r="P574" s="8"/>
      <c r="Q574" s="209">
        <f>Mon_ILR2[[#This Row],[Qty Required]]-Mon_ILR2[[#This Row],[QTY Transfer]]</f>
        <v>1</v>
      </c>
      <c r="R574" s="66" t="s">
        <v>905</v>
      </c>
      <c r="S574" s="66" t="s">
        <v>2215</v>
      </c>
      <c r="T574" s="210">
        <f>_xlfn.IFNA(VLOOKUP(Mon_ILR2[[#This Row],[New Model]],PhilipsLibary[],4,FALSE),"0")</f>
        <v>0</v>
      </c>
      <c r="U574" s="210">
        <v>876</v>
      </c>
      <c r="V574" s="210">
        <v>500</v>
      </c>
      <c r="W574" s="210">
        <f>Mon_ILR2[[#This Row],[Accessory Rate]]+Mon_ILR2[[#This Row],[Mounting Rate]]+Mon_ILR2[[#This Row],[Unit Rate]]*Mon_ILR2[[#This Row],[New Quantity Required ]]</f>
        <v>1376</v>
      </c>
      <c r="X574" s="8"/>
      <c r="Y574" s="289" t="s">
        <v>2214</v>
      </c>
      <c r="Z574" s="6" t="s">
        <v>50</v>
      </c>
      <c r="AA574" s="6" t="s">
        <v>50</v>
      </c>
      <c r="AB574" s="6" t="s">
        <v>50</v>
      </c>
      <c r="AC574" s="6" t="s">
        <v>50</v>
      </c>
      <c r="AD574" s="6" t="s">
        <v>50</v>
      </c>
      <c r="AE574" s="6" t="s">
        <v>50</v>
      </c>
      <c r="AF574" s="6" t="s">
        <v>50</v>
      </c>
      <c r="AG574" s="6" t="s">
        <v>50</v>
      </c>
      <c r="AH574" s="6" t="s">
        <v>50</v>
      </c>
      <c r="AI574" s="6" t="s">
        <v>50</v>
      </c>
      <c r="AJ574" s="6" t="s">
        <v>50</v>
      </c>
      <c r="AK574" s="6" t="s">
        <v>50</v>
      </c>
      <c r="AL574" s="6" t="s">
        <v>50</v>
      </c>
      <c r="AM574" s="6" t="s">
        <v>50</v>
      </c>
      <c r="AN574" s="6" t="s">
        <v>50</v>
      </c>
      <c r="AO574" s="6" t="s">
        <v>50</v>
      </c>
    </row>
    <row r="575" spans="2:41" ht="150" x14ac:dyDescent="0.25">
      <c r="B575" s="207" t="s">
        <v>35</v>
      </c>
      <c r="C575" s="66" t="s">
        <v>410</v>
      </c>
      <c r="D575" s="4" t="s">
        <v>857</v>
      </c>
      <c r="E575" s="4" t="s">
        <v>1072</v>
      </c>
      <c r="F575" s="4" t="s">
        <v>816</v>
      </c>
      <c r="G575" s="4" t="s">
        <v>183</v>
      </c>
      <c r="H575" s="208">
        <v>1</v>
      </c>
      <c r="I575" s="4"/>
      <c r="J575" s="15"/>
      <c r="K575" s="4" t="str">
        <f>_xlfn.IFNA(VLOOKUP($J575,WH_Data[],6,FALSE),"")</f>
        <v/>
      </c>
      <c r="L575" s="4" t="str">
        <f>_xlfn.IFNA(VLOOKUP($J575,WH_Data[],3,FALSE),"")</f>
        <v/>
      </c>
      <c r="M575" s="4" t="str">
        <f>_xlfn.IFNA(VLOOKUP($J575,WH_Data[],5,FALSE),"")</f>
        <v/>
      </c>
      <c r="N575" s="4" t="str">
        <f>_xlfn.IFNA(VLOOKUP($J575,WH_Data[],7,FALSE),"")</f>
        <v/>
      </c>
      <c r="O575" s="4" t="str">
        <f>_xlfn.IFNA(VLOOKUP($J575,WH_Data[],8,FALSE),"")</f>
        <v/>
      </c>
      <c r="P575" s="8"/>
      <c r="Q575" s="209">
        <f>Mon_ILR2[[#This Row],[Qty Required]]-Mon_ILR2[[#This Row],[QTY Transfer]]</f>
        <v>1</v>
      </c>
      <c r="R575" s="66" t="s">
        <v>905</v>
      </c>
      <c r="S575" s="66" t="s">
        <v>2215</v>
      </c>
      <c r="T575" s="210">
        <f>_xlfn.IFNA(VLOOKUP(Mon_ILR2[[#This Row],[New Model]],PhilipsLibary[],4,FALSE),"0")</f>
        <v>0</v>
      </c>
      <c r="U575" s="210">
        <v>876</v>
      </c>
      <c r="V575" s="210">
        <v>500</v>
      </c>
      <c r="W575" s="210">
        <f>Mon_ILR2[[#This Row],[Accessory Rate]]+Mon_ILR2[[#This Row],[Mounting Rate]]+Mon_ILR2[[#This Row],[Unit Rate]]*Mon_ILR2[[#This Row],[New Quantity Required ]]</f>
        <v>1376</v>
      </c>
      <c r="X575" s="8"/>
      <c r="Y575" s="289" t="s">
        <v>2214</v>
      </c>
      <c r="Z575" s="6" t="s">
        <v>50</v>
      </c>
      <c r="AA575" s="6" t="s">
        <v>50</v>
      </c>
      <c r="AB575" s="6" t="s">
        <v>50</v>
      </c>
      <c r="AC575" s="6" t="s">
        <v>50</v>
      </c>
      <c r="AD575" s="6" t="s">
        <v>50</v>
      </c>
      <c r="AE575" s="6" t="s">
        <v>50</v>
      </c>
      <c r="AF575" s="6" t="s">
        <v>50</v>
      </c>
      <c r="AG575" s="6" t="s">
        <v>50</v>
      </c>
      <c r="AH575" s="6" t="s">
        <v>50</v>
      </c>
      <c r="AI575" s="6" t="s">
        <v>50</v>
      </c>
      <c r="AJ575" s="6" t="s">
        <v>50</v>
      </c>
      <c r="AK575" s="6" t="s">
        <v>50</v>
      </c>
      <c r="AL575" s="6" t="s">
        <v>50</v>
      </c>
      <c r="AM575" s="6" t="s">
        <v>50</v>
      </c>
      <c r="AN575" s="6" t="s">
        <v>50</v>
      </c>
      <c r="AO575" s="6" t="s">
        <v>50</v>
      </c>
    </row>
    <row r="576" spans="2:41" ht="105" x14ac:dyDescent="0.25">
      <c r="B576" s="207" t="s">
        <v>35</v>
      </c>
      <c r="C576" s="66" t="s">
        <v>818</v>
      </c>
      <c r="D576" s="4" t="s">
        <v>858</v>
      </c>
      <c r="E576" s="4" t="s">
        <v>1072</v>
      </c>
      <c r="F576" s="4" t="s">
        <v>816</v>
      </c>
      <c r="G576" s="4" t="s">
        <v>183</v>
      </c>
      <c r="H576" s="208">
        <v>1</v>
      </c>
      <c r="I576" s="4"/>
      <c r="J576" s="15"/>
      <c r="K576" s="4" t="str">
        <f>_xlfn.IFNA(VLOOKUP($J576,WH_Data[],6,FALSE),"")</f>
        <v/>
      </c>
      <c r="L576" s="4" t="str">
        <f>_xlfn.IFNA(VLOOKUP($J576,WH_Data[],3,FALSE),"")</f>
        <v/>
      </c>
      <c r="M576" s="4" t="str">
        <f>_xlfn.IFNA(VLOOKUP($J576,WH_Data[],5,FALSE),"")</f>
        <v/>
      </c>
      <c r="N576" s="4" t="str">
        <f>_xlfn.IFNA(VLOOKUP($J576,WH_Data[],7,FALSE),"")</f>
        <v/>
      </c>
      <c r="O576" s="4" t="str">
        <f>_xlfn.IFNA(VLOOKUP($J576,WH_Data[],8,FALSE),"")</f>
        <v/>
      </c>
      <c r="P576" s="8"/>
      <c r="Q576" s="209">
        <f>Mon_ILR2[[#This Row],[Qty Required]]-Mon_ILR2[[#This Row],[QTY Transfer]]</f>
        <v>1</v>
      </c>
      <c r="R576" s="66" t="s">
        <v>905</v>
      </c>
      <c r="S576" s="264" t="s">
        <v>2211</v>
      </c>
      <c r="T576" s="303">
        <v>750</v>
      </c>
      <c r="U576" s="303">
        <v>199</v>
      </c>
      <c r="V576" s="210">
        <v>0</v>
      </c>
      <c r="W576" s="210">
        <f>Mon_ILR2[[#This Row],[Accessory Rate]]+Mon_ILR2[[#This Row],[Mounting Rate]]+Mon_ILR2[[#This Row],[Unit Rate]]*Mon_ILR2[[#This Row],[New Quantity Required ]]</f>
        <v>949</v>
      </c>
      <c r="X576" s="8"/>
      <c r="Y576" s="247" t="s">
        <v>2194</v>
      </c>
      <c r="Z576" s="6" t="s">
        <v>50</v>
      </c>
      <c r="AA576" s="6" t="s">
        <v>50</v>
      </c>
      <c r="AB576" s="6" t="s">
        <v>50</v>
      </c>
      <c r="AC576" s="6" t="s">
        <v>50</v>
      </c>
      <c r="AD576" s="6" t="s">
        <v>50</v>
      </c>
      <c r="AE576" s="6" t="s">
        <v>50</v>
      </c>
      <c r="AF576" s="6" t="s">
        <v>50</v>
      </c>
      <c r="AG576" s="6" t="s">
        <v>50</v>
      </c>
      <c r="AH576" s="6" t="s">
        <v>50</v>
      </c>
      <c r="AI576" s="6" t="s">
        <v>50</v>
      </c>
      <c r="AJ576" s="6" t="s">
        <v>50</v>
      </c>
      <c r="AK576" s="6" t="s">
        <v>50</v>
      </c>
      <c r="AL576" s="6" t="s">
        <v>50</v>
      </c>
      <c r="AM576" s="6" t="s">
        <v>50</v>
      </c>
      <c r="AN576" s="6" t="s">
        <v>50</v>
      </c>
      <c r="AO576" s="6" t="s">
        <v>50</v>
      </c>
    </row>
    <row r="577" spans="2:41" ht="105" x14ac:dyDescent="0.25">
      <c r="B577" s="207" t="s">
        <v>35</v>
      </c>
      <c r="C577" s="66" t="s">
        <v>818</v>
      </c>
      <c r="D577" s="4" t="s">
        <v>859</v>
      </c>
      <c r="E577" s="4" t="s">
        <v>1072</v>
      </c>
      <c r="F577" s="4" t="s">
        <v>816</v>
      </c>
      <c r="G577" s="4" t="s">
        <v>183</v>
      </c>
      <c r="H577" s="208">
        <v>1</v>
      </c>
      <c r="I577" s="4"/>
      <c r="J577" s="15"/>
      <c r="K577" s="4" t="str">
        <f>_xlfn.IFNA(VLOOKUP($J577,WH_Data[],6,FALSE),"")</f>
        <v/>
      </c>
      <c r="L577" s="4" t="str">
        <f>_xlfn.IFNA(VLOOKUP($J577,WH_Data[],3,FALSE),"")</f>
        <v/>
      </c>
      <c r="M577" s="4" t="str">
        <f>_xlfn.IFNA(VLOOKUP($J577,WH_Data[],5,FALSE),"")</f>
        <v/>
      </c>
      <c r="N577" s="4" t="str">
        <f>_xlfn.IFNA(VLOOKUP($J577,WH_Data[],7,FALSE),"")</f>
        <v/>
      </c>
      <c r="O577" s="4" t="str">
        <f>_xlfn.IFNA(VLOOKUP($J577,WH_Data[],8,FALSE),"")</f>
        <v/>
      </c>
      <c r="P577" s="8"/>
      <c r="Q577" s="209">
        <f>Mon_ILR2[[#This Row],[Qty Required]]-Mon_ILR2[[#This Row],[QTY Transfer]]</f>
        <v>1</v>
      </c>
      <c r="R577" s="66" t="s">
        <v>905</v>
      </c>
      <c r="S577" s="264" t="s">
        <v>2211</v>
      </c>
      <c r="T577" s="303">
        <v>750</v>
      </c>
      <c r="U577" s="303">
        <v>199</v>
      </c>
      <c r="V577" s="210">
        <v>0</v>
      </c>
      <c r="W577" s="210">
        <v>949</v>
      </c>
      <c r="X577" s="8"/>
      <c r="Y577" s="247" t="s">
        <v>2195</v>
      </c>
      <c r="Z577" s="6" t="s">
        <v>50</v>
      </c>
      <c r="AA577" s="6" t="s">
        <v>50</v>
      </c>
      <c r="AB577" s="6" t="s">
        <v>50</v>
      </c>
      <c r="AC577" s="6" t="s">
        <v>50</v>
      </c>
      <c r="AD577" s="6" t="s">
        <v>50</v>
      </c>
      <c r="AE577" s="6" t="s">
        <v>50</v>
      </c>
      <c r="AF577" s="6" t="s">
        <v>50</v>
      </c>
      <c r="AG577" s="6" t="s">
        <v>50</v>
      </c>
      <c r="AH577" s="6" t="s">
        <v>50</v>
      </c>
      <c r="AI577" s="6" t="s">
        <v>50</v>
      </c>
      <c r="AJ577" s="6" t="s">
        <v>50</v>
      </c>
      <c r="AK577" s="6" t="s">
        <v>50</v>
      </c>
      <c r="AL577" s="6" t="s">
        <v>50</v>
      </c>
      <c r="AM577" s="6" t="s">
        <v>50</v>
      </c>
      <c r="AN577" s="6" t="s">
        <v>50</v>
      </c>
      <c r="AO577" s="6" t="s">
        <v>50</v>
      </c>
    </row>
    <row r="578" spans="2:41" ht="105" x14ac:dyDescent="0.25">
      <c r="B578" s="207" t="s">
        <v>35</v>
      </c>
      <c r="C578" s="66" t="s">
        <v>818</v>
      </c>
      <c r="D578" s="4" t="s">
        <v>860</v>
      </c>
      <c r="E578" s="4" t="s">
        <v>1072</v>
      </c>
      <c r="F578" s="4" t="s">
        <v>816</v>
      </c>
      <c r="G578" s="4" t="s">
        <v>183</v>
      </c>
      <c r="H578" s="208">
        <v>1</v>
      </c>
      <c r="I578" s="4"/>
      <c r="J578" s="15"/>
      <c r="K578" s="4" t="str">
        <f>_xlfn.IFNA(VLOOKUP($J578,WH_Data[],6,FALSE),"")</f>
        <v/>
      </c>
      <c r="L578" s="4" t="str">
        <f>_xlfn.IFNA(VLOOKUP($J578,WH_Data[],3,FALSE),"")</f>
        <v/>
      </c>
      <c r="M578" s="4" t="str">
        <f>_xlfn.IFNA(VLOOKUP($J578,WH_Data[],5,FALSE),"")</f>
        <v/>
      </c>
      <c r="N578" s="4" t="str">
        <f>_xlfn.IFNA(VLOOKUP($J578,WH_Data[],7,FALSE),"")</f>
        <v/>
      </c>
      <c r="O578" s="4" t="str">
        <f>_xlfn.IFNA(VLOOKUP($J578,WH_Data[],8,FALSE),"")</f>
        <v/>
      </c>
      <c r="P578" s="8"/>
      <c r="Q578" s="209">
        <f>Mon_ILR2[[#This Row],[Qty Required]]-Mon_ILR2[[#This Row],[QTY Transfer]]</f>
        <v>1</v>
      </c>
      <c r="R578" s="66" t="s">
        <v>905</v>
      </c>
      <c r="S578" s="264" t="s">
        <v>2211</v>
      </c>
      <c r="T578" s="303">
        <v>750</v>
      </c>
      <c r="U578" s="303">
        <v>199</v>
      </c>
      <c r="V578" s="210">
        <v>0</v>
      </c>
      <c r="W578" s="210">
        <f>Mon_ILR2[[#This Row],[Accessory Rate]]+Mon_ILR2[[#This Row],[Mounting Rate]]+Mon_ILR2[[#This Row],[Unit Rate]]*Mon_ILR2[[#This Row],[New Quantity Required ]]</f>
        <v>949</v>
      </c>
      <c r="X578" s="8"/>
      <c r="Y578" s="247" t="s">
        <v>2196</v>
      </c>
      <c r="Z578" s="6" t="s">
        <v>50</v>
      </c>
      <c r="AA578" s="6" t="s">
        <v>50</v>
      </c>
      <c r="AB578" s="6" t="s">
        <v>50</v>
      </c>
      <c r="AC578" s="6" t="s">
        <v>50</v>
      </c>
      <c r="AD578" s="6" t="s">
        <v>50</v>
      </c>
      <c r="AE578" s="6" t="s">
        <v>50</v>
      </c>
      <c r="AF578" s="6" t="s">
        <v>50</v>
      </c>
      <c r="AG578" s="6" t="s">
        <v>50</v>
      </c>
      <c r="AH578" s="6" t="s">
        <v>50</v>
      </c>
      <c r="AI578" s="6" t="s">
        <v>50</v>
      </c>
      <c r="AJ578" s="6" t="s">
        <v>50</v>
      </c>
      <c r="AK578" s="6" t="s">
        <v>50</v>
      </c>
      <c r="AL578" s="6" t="s">
        <v>50</v>
      </c>
      <c r="AM578" s="6" t="s">
        <v>50</v>
      </c>
      <c r="AN578" s="6" t="s">
        <v>50</v>
      </c>
      <c r="AO578" s="6" t="s">
        <v>50</v>
      </c>
    </row>
    <row r="579" spans="2:41" ht="150" x14ac:dyDescent="0.25">
      <c r="B579" s="207" t="s">
        <v>35</v>
      </c>
      <c r="C579" s="66" t="s">
        <v>410</v>
      </c>
      <c r="D579" s="4" t="s">
        <v>861</v>
      </c>
      <c r="E579" s="4" t="s">
        <v>1072</v>
      </c>
      <c r="F579" s="4" t="s">
        <v>816</v>
      </c>
      <c r="G579" s="4" t="s">
        <v>183</v>
      </c>
      <c r="H579" s="208">
        <v>1</v>
      </c>
      <c r="I579" s="4"/>
      <c r="J579" s="15"/>
      <c r="K579" s="4" t="str">
        <f>_xlfn.IFNA(VLOOKUP($J579,WH_Data[],6,FALSE),"")</f>
        <v/>
      </c>
      <c r="L579" s="4" t="str">
        <f>_xlfn.IFNA(VLOOKUP($J579,WH_Data[],3,FALSE),"")</f>
        <v/>
      </c>
      <c r="M579" s="4" t="str">
        <f>_xlfn.IFNA(VLOOKUP($J579,WH_Data[],5,FALSE),"")</f>
        <v/>
      </c>
      <c r="N579" s="4" t="str">
        <f>_xlfn.IFNA(VLOOKUP($J579,WH_Data[],7,FALSE),"")</f>
        <v/>
      </c>
      <c r="O579" s="4" t="str">
        <f>_xlfn.IFNA(VLOOKUP($J579,WH_Data[],8,FALSE),"")</f>
        <v/>
      </c>
      <c r="P579" s="8"/>
      <c r="Q579" s="209">
        <f>Mon_ILR2[[#This Row],[Qty Required]]-Mon_ILR2[[#This Row],[QTY Transfer]]</f>
        <v>1</v>
      </c>
      <c r="R579" s="66" t="s">
        <v>905</v>
      </c>
      <c r="S579" s="66" t="s">
        <v>2215</v>
      </c>
      <c r="T579" s="210">
        <f>_xlfn.IFNA(VLOOKUP(Mon_ILR2[[#This Row],[New Model]],PhilipsLibary[],4,FALSE),"0")</f>
        <v>0</v>
      </c>
      <c r="U579" s="210">
        <v>876</v>
      </c>
      <c r="V579" s="210">
        <v>500</v>
      </c>
      <c r="W579" s="210">
        <f>Mon_ILR2[[#This Row],[Accessory Rate]]+Mon_ILR2[[#This Row],[Mounting Rate]]+Mon_ILR2[[#This Row],[Unit Rate]]*Mon_ILR2[[#This Row],[New Quantity Required ]]</f>
        <v>1376</v>
      </c>
      <c r="X579" s="8"/>
      <c r="Y579" s="289" t="s">
        <v>2214</v>
      </c>
      <c r="Z579" s="6" t="s">
        <v>50</v>
      </c>
      <c r="AA579" s="6" t="s">
        <v>50</v>
      </c>
      <c r="AB579" s="6" t="s">
        <v>50</v>
      </c>
      <c r="AC579" s="6" t="s">
        <v>50</v>
      </c>
      <c r="AD579" s="6" t="s">
        <v>50</v>
      </c>
      <c r="AE579" s="6" t="s">
        <v>50</v>
      </c>
      <c r="AF579" s="6" t="s">
        <v>50</v>
      </c>
      <c r="AG579" s="6" t="s">
        <v>50</v>
      </c>
      <c r="AH579" s="6" t="s">
        <v>50</v>
      </c>
      <c r="AI579" s="6" t="s">
        <v>50</v>
      </c>
      <c r="AJ579" s="6" t="s">
        <v>50</v>
      </c>
      <c r="AK579" s="6" t="s">
        <v>50</v>
      </c>
      <c r="AL579" s="6" t="s">
        <v>50</v>
      </c>
      <c r="AM579" s="6" t="s">
        <v>50</v>
      </c>
      <c r="AN579" s="6" t="s">
        <v>50</v>
      </c>
      <c r="AO579" s="6" t="s">
        <v>50</v>
      </c>
    </row>
    <row r="580" spans="2:41" ht="150" x14ac:dyDescent="0.25">
      <c r="B580" s="207" t="s">
        <v>35</v>
      </c>
      <c r="C580" s="66" t="s">
        <v>410</v>
      </c>
      <c r="D580" s="4" t="s">
        <v>870</v>
      </c>
      <c r="E580" s="4" t="s">
        <v>1072</v>
      </c>
      <c r="F580" s="4" t="s">
        <v>816</v>
      </c>
      <c r="G580" s="4" t="s">
        <v>183</v>
      </c>
      <c r="H580" s="208">
        <v>1</v>
      </c>
      <c r="I580" s="4"/>
      <c r="J580" s="15"/>
      <c r="K580" s="4" t="str">
        <f>_xlfn.IFNA(VLOOKUP($J580,WH_Data[],6,FALSE),"")</f>
        <v/>
      </c>
      <c r="L580" s="4" t="str">
        <f>_xlfn.IFNA(VLOOKUP($J580,WH_Data[],3,FALSE),"")</f>
        <v/>
      </c>
      <c r="M580" s="4" t="str">
        <f>_xlfn.IFNA(VLOOKUP($J580,WH_Data[],5,FALSE),"")</f>
        <v/>
      </c>
      <c r="N580" s="4" t="str">
        <f>_xlfn.IFNA(VLOOKUP($J580,WH_Data[],7,FALSE),"")</f>
        <v/>
      </c>
      <c r="O580" s="4" t="str">
        <f>_xlfn.IFNA(VLOOKUP($J580,WH_Data[],8,FALSE),"")</f>
        <v/>
      </c>
      <c r="P580" s="8"/>
      <c r="Q580" s="209">
        <f>Mon_ILR2[[#This Row],[Qty Required]]-Mon_ILR2[[#This Row],[QTY Transfer]]</f>
        <v>1</v>
      </c>
      <c r="R580" s="66" t="s">
        <v>905</v>
      </c>
      <c r="S580" s="66" t="s">
        <v>2215</v>
      </c>
      <c r="T580" s="210">
        <f>_xlfn.IFNA(VLOOKUP(Mon_ILR2[[#This Row],[New Model]],PhilipsLibary[],4,FALSE),"0")</f>
        <v>0</v>
      </c>
      <c r="U580" s="210">
        <v>876</v>
      </c>
      <c r="V580" s="210">
        <v>500</v>
      </c>
      <c r="W580" s="210">
        <f>Mon_ILR2[[#This Row],[Accessory Rate]]+Mon_ILR2[[#This Row],[Mounting Rate]]+Mon_ILR2[[#This Row],[Unit Rate]]*Mon_ILR2[[#This Row],[New Quantity Required ]]</f>
        <v>1376</v>
      </c>
      <c r="X580" s="8"/>
      <c r="Y580" s="289" t="s">
        <v>2214</v>
      </c>
      <c r="Z580" s="6" t="s">
        <v>50</v>
      </c>
      <c r="AA580" s="6" t="s">
        <v>50</v>
      </c>
      <c r="AB580" s="6" t="s">
        <v>50</v>
      </c>
      <c r="AC580" s="6" t="s">
        <v>50</v>
      </c>
      <c r="AD580" s="6" t="s">
        <v>50</v>
      </c>
      <c r="AE580" s="6" t="s">
        <v>50</v>
      </c>
      <c r="AF580" s="6" t="s">
        <v>50</v>
      </c>
      <c r="AG580" s="6" t="s">
        <v>50</v>
      </c>
      <c r="AH580" s="6" t="s">
        <v>50</v>
      </c>
      <c r="AI580" s="6" t="s">
        <v>50</v>
      </c>
      <c r="AJ580" s="6" t="s">
        <v>50</v>
      </c>
      <c r="AK580" s="6" t="s">
        <v>50</v>
      </c>
      <c r="AL580" s="6" t="s">
        <v>50</v>
      </c>
      <c r="AM580" s="6" t="s">
        <v>50</v>
      </c>
      <c r="AN580" s="6" t="s">
        <v>50</v>
      </c>
      <c r="AO580" s="6" t="s">
        <v>50</v>
      </c>
    </row>
    <row r="581" spans="2:41" ht="150" x14ac:dyDescent="0.25">
      <c r="B581" s="207" t="s">
        <v>35</v>
      </c>
      <c r="C581" s="66" t="s">
        <v>410</v>
      </c>
      <c r="D581" s="4" t="s">
        <v>871</v>
      </c>
      <c r="E581" s="4" t="s">
        <v>1072</v>
      </c>
      <c r="F581" s="4" t="s">
        <v>816</v>
      </c>
      <c r="G581" s="4" t="s">
        <v>183</v>
      </c>
      <c r="H581" s="208">
        <v>1</v>
      </c>
      <c r="I581" s="4"/>
      <c r="J581" s="15"/>
      <c r="K581" s="4" t="str">
        <f>_xlfn.IFNA(VLOOKUP($J581,WH_Data[],6,FALSE),"")</f>
        <v/>
      </c>
      <c r="L581" s="4" t="str">
        <f>_xlfn.IFNA(VLOOKUP($J581,WH_Data[],3,FALSE),"")</f>
        <v/>
      </c>
      <c r="M581" s="4" t="str">
        <f>_xlfn.IFNA(VLOOKUP($J581,WH_Data[],5,FALSE),"")</f>
        <v/>
      </c>
      <c r="N581" s="4" t="str">
        <f>_xlfn.IFNA(VLOOKUP($J581,WH_Data[],7,FALSE),"")</f>
        <v/>
      </c>
      <c r="O581" s="4" t="str">
        <f>_xlfn.IFNA(VLOOKUP($J581,WH_Data[],8,FALSE),"")</f>
        <v/>
      </c>
      <c r="P581" s="8"/>
      <c r="Q581" s="209">
        <f>Mon_ILR2[[#This Row],[Qty Required]]-Mon_ILR2[[#This Row],[QTY Transfer]]</f>
        <v>1</v>
      </c>
      <c r="R581" s="66" t="s">
        <v>905</v>
      </c>
      <c r="S581" s="66" t="s">
        <v>2215</v>
      </c>
      <c r="T581" s="210">
        <f>_xlfn.IFNA(VLOOKUP(Mon_ILR2[[#This Row],[New Model]],PhilipsLibary[],4,FALSE),"0")</f>
        <v>0</v>
      </c>
      <c r="U581" s="210">
        <v>876</v>
      </c>
      <c r="V581" s="210">
        <v>500</v>
      </c>
      <c r="W581" s="210">
        <f>Mon_ILR2[[#This Row],[Accessory Rate]]+Mon_ILR2[[#This Row],[Mounting Rate]]+Mon_ILR2[[#This Row],[Unit Rate]]*Mon_ILR2[[#This Row],[New Quantity Required ]]</f>
        <v>1376</v>
      </c>
      <c r="X581" s="8"/>
      <c r="Y581" s="289" t="s">
        <v>2214</v>
      </c>
      <c r="Z581" s="6" t="s">
        <v>50</v>
      </c>
      <c r="AA581" s="6" t="s">
        <v>50</v>
      </c>
      <c r="AB581" s="6" t="s">
        <v>50</v>
      </c>
      <c r="AC581" s="6" t="s">
        <v>50</v>
      </c>
      <c r="AD581" s="6" t="s">
        <v>50</v>
      </c>
      <c r="AE581" s="6" t="s">
        <v>50</v>
      </c>
      <c r="AF581" s="6" t="s">
        <v>50</v>
      </c>
      <c r="AG581" s="6" t="s">
        <v>50</v>
      </c>
      <c r="AH581" s="6" t="s">
        <v>50</v>
      </c>
      <c r="AI581" s="6" t="s">
        <v>50</v>
      </c>
      <c r="AJ581" s="6" t="s">
        <v>50</v>
      </c>
      <c r="AK581" s="6" t="s">
        <v>50</v>
      </c>
      <c r="AL581" s="6" t="s">
        <v>50</v>
      </c>
      <c r="AM581" s="6" t="s">
        <v>50</v>
      </c>
      <c r="AN581" s="6" t="s">
        <v>50</v>
      </c>
      <c r="AO581" s="6" t="s">
        <v>50</v>
      </c>
    </row>
    <row r="582" spans="2:41" ht="150" x14ac:dyDescent="0.25">
      <c r="B582" s="207" t="s">
        <v>35</v>
      </c>
      <c r="C582" s="66" t="s">
        <v>410</v>
      </c>
      <c r="D582" s="4" t="s">
        <v>875</v>
      </c>
      <c r="E582" s="4" t="s">
        <v>1072</v>
      </c>
      <c r="F582" s="4" t="s">
        <v>816</v>
      </c>
      <c r="G582" s="4" t="s">
        <v>183</v>
      </c>
      <c r="H582" s="208">
        <v>1</v>
      </c>
      <c r="I582" s="4"/>
      <c r="J582" s="15"/>
      <c r="K582" s="4" t="str">
        <f>_xlfn.IFNA(VLOOKUP($J582,WH_Data[],6,FALSE),"")</f>
        <v/>
      </c>
      <c r="L582" s="4" t="str">
        <f>_xlfn.IFNA(VLOOKUP($J582,WH_Data[],3,FALSE),"")</f>
        <v/>
      </c>
      <c r="M582" s="4" t="str">
        <f>_xlfn.IFNA(VLOOKUP($J582,WH_Data[],5,FALSE),"")</f>
        <v/>
      </c>
      <c r="N582" s="4" t="str">
        <f>_xlfn.IFNA(VLOOKUP($J582,WH_Data[],7,FALSE),"")</f>
        <v/>
      </c>
      <c r="O582" s="4" t="str">
        <f>_xlfn.IFNA(VLOOKUP($J582,WH_Data[],8,FALSE),"")</f>
        <v/>
      </c>
      <c r="P582" s="8"/>
      <c r="Q582" s="209">
        <f>Mon_ILR2[[#This Row],[Qty Required]]-Mon_ILR2[[#This Row],[QTY Transfer]]</f>
        <v>1</v>
      </c>
      <c r="R582" s="66" t="s">
        <v>905</v>
      </c>
      <c r="S582" s="66" t="s">
        <v>2215</v>
      </c>
      <c r="T582" s="210">
        <f>_xlfn.IFNA(VLOOKUP(Mon_ILR2[[#This Row],[New Model]],PhilipsLibary[],4,FALSE),"0")</f>
        <v>0</v>
      </c>
      <c r="U582" s="210">
        <v>876</v>
      </c>
      <c r="V582" s="210">
        <v>500</v>
      </c>
      <c r="W582" s="210">
        <f>Mon_ILR2[[#This Row],[Accessory Rate]]+Mon_ILR2[[#This Row],[Mounting Rate]]+Mon_ILR2[[#This Row],[Unit Rate]]*Mon_ILR2[[#This Row],[New Quantity Required ]]</f>
        <v>1376</v>
      </c>
      <c r="X582" s="8"/>
      <c r="Y582" s="289" t="s">
        <v>2214</v>
      </c>
      <c r="Z582" s="6" t="s">
        <v>50</v>
      </c>
      <c r="AA582" s="6" t="s">
        <v>50</v>
      </c>
      <c r="AB582" s="6" t="s">
        <v>50</v>
      </c>
      <c r="AC582" s="6" t="s">
        <v>50</v>
      </c>
      <c r="AD582" s="6" t="s">
        <v>50</v>
      </c>
      <c r="AE582" s="6" t="s">
        <v>50</v>
      </c>
      <c r="AF582" s="6" t="s">
        <v>50</v>
      </c>
      <c r="AG582" s="6" t="s">
        <v>50</v>
      </c>
      <c r="AH582" s="6" t="s">
        <v>50</v>
      </c>
      <c r="AI582" s="6" t="s">
        <v>50</v>
      </c>
      <c r="AJ582" s="6" t="s">
        <v>50</v>
      </c>
      <c r="AK582" s="6" t="s">
        <v>50</v>
      </c>
      <c r="AL582" s="6" t="s">
        <v>50</v>
      </c>
      <c r="AM582" s="6" t="s">
        <v>50</v>
      </c>
      <c r="AN582" s="6" t="s">
        <v>50</v>
      </c>
      <c r="AO582" s="6" t="s">
        <v>50</v>
      </c>
    </row>
    <row r="583" spans="2:41" ht="150" x14ac:dyDescent="0.25">
      <c r="B583" s="207" t="s">
        <v>35</v>
      </c>
      <c r="C583" s="66" t="s">
        <v>410</v>
      </c>
      <c r="D583" s="4" t="s">
        <v>876</v>
      </c>
      <c r="E583" s="4" t="s">
        <v>1072</v>
      </c>
      <c r="F583" s="4" t="s">
        <v>816</v>
      </c>
      <c r="G583" s="4" t="s">
        <v>183</v>
      </c>
      <c r="H583" s="208">
        <v>1</v>
      </c>
      <c r="I583" s="4"/>
      <c r="J583" s="15"/>
      <c r="K583" s="4" t="str">
        <f>_xlfn.IFNA(VLOOKUP($J583,WH_Data[],6,FALSE),"")</f>
        <v/>
      </c>
      <c r="L583" s="4" t="str">
        <f>_xlfn.IFNA(VLOOKUP($J583,WH_Data[],3,FALSE),"")</f>
        <v/>
      </c>
      <c r="M583" s="4" t="str">
        <f>_xlfn.IFNA(VLOOKUP($J583,WH_Data[],5,FALSE),"")</f>
        <v/>
      </c>
      <c r="N583" s="4" t="str">
        <f>_xlfn.IFNA(VLOOKUP($J583,WH_Data[],7,FALSE),"")</f>
        <v/>
      </c>
      <c r="O583" s="4" t="str">
        <f>_xlfn.IFNA(VLOOKUP($J583,WH_Data[],8,FALSE),"")</f>
        <v/>
      </c>
      <c r="P583" s="8"/>
      <c r="Q583" s="209">
        <f>Mon_ILR2[[#This Row],[Qty Required]]-Mon_ILR2[[#This Row],[QTY Transfer]]</f>
        <v>1</v>
      </c>
      <c r="R583" s="66" t="s">
        <v>905</v>
      </c>
      <c r="S583" s="66" t="s">
        <v>2215</v>
      </c>
      <c r="T583" s="210">
        <f>_xlfn.IFNA(VLOOKUP(Mon_ILR2[[#This Row],[New Model]],PhilipsLibary[],4,FALSE),"0")</f>
        <v>0</v>
      </c>
      <c r="U583" s="210">
        <v>876</v>
      </c>
      <c r="V583" s="210">
        <v>500</v>
      </c>
      <c r="W583" s="210">
        <f>Mon_ILR2[[#This Row],[Accessory Rate]]+Mon_ILR2[[#This Row],[Mounting Rate]]+Mon_ILR2[[#This Row],[Unit Rate]]*Mon_ILR2[[#This Row],[New Quantity Required ]]</f>
        <v>1376</v>
      </c>
      <c r="X583" s="8"/>
      <c r="Y583" s="289" t="s">
        <v>2214</v>
      </c>
      <c r="Z583" s="6" t="s">
        <v>50</v>
      </c>
      <c r="AA583" s="6" t="s">
        <v>50</v>
      </c>
      <c r="AB583" s="6" t="s">
        <v>50</v>
      </c>
      <c r="AC583" s="6" t="s">
        <v>50</v>
      </c>
      <c r="AD583" s="6" t="s">
        <v>50</v>
      </c>
      <c r="AE583" s="6" t="s">
        <v>50</v>
      </c>
      <c r="AF583" s="6" t="s">
        <v>50</v>
      </c>
      <c r="AG583" s="6" t="s">
        <v>50</v>
      </c>
      <c r="AH583" s="6" t="s">
        <v>50</v>
      </c>
      <c r="AI583" s="6" t="s">
        <v>50</v>
      </c>
      <c r="AJ583" s="6" t="s">
        <v>50</v>
      </c>
      <c r="AK583" s="6" t="s">
        <v>50</v>
      </c>
      <c r="AL583" s="6" t="s">
        <v>50</v>
      </c>
      <c r="AM583" s="6" t="s">
        <v>50</v>
      </c>
      <c r="AN583" s="6" t="s">
        <v>50</v>
      </c>
      <c r="AO583" s="6" t="s">
        <v>50</v>
      </c>
    </row>
    <row r="584" spans="2:41" ht="150" x14ac:dyDescent="0.25">
      <c r="B584" s="207" t="s">
        <v>35</v>
      </c>
      <c r="C584" s="66" t="s">
        <v>410</v>
      </c>
      <c r="D584" s="4" t="s">
        <v>877</v>
      </c>
      <c r="E584" s="4" t="s">
        <v>1072</v>
      </c>
      <c r="F584" s="4" t="s">
        <v>816</v>
      </c>
      <c r="G584" s="4" t="s">
        <v>183</v>
      </c>
      <c r="H584" s="208">
        <v>1</v>
      </c>
      <c r="I584" s="4"/>
      <c r="J584" s="15"/>
      <c r="K584" s="4" t="str">
        <f>_xlfn.IFNA(VLOOKUP($J584,WH_Data[],6,FALSE),"")</f>
        <v/>
      </c>
      <c r="L584" s="4" t="str">
        <f>_xlfn.IFNA(VLOOKUP($J584,WH_Data[],3,FALSE),"")</f>
        <v/>
      </c>
      <c r="M584" s="4" t="str">
        <f>_xlfn.IFNA(VLOOKUP($J584,WH_Data[],5,FALSE),"")</f>
        <v/>
      </c>
      <c r="N584" s="4" t="str">
        <f>_xlfn.IFNA(VLOOKUP($J584,WH_Data[],7,FALSE),"")</f>
        <v/>
      </c>
      <c r="O584" s="4" t="str">
        <f>_xlfn.IFNA(VLOOKUP($J584,WH_Data[],8,FALSE),"")</f>
        <v/>
      </c>
      <c r="P584" s="8"/>
      <c r="Q584" s="209">
        <f>Mon_ILR2[[#This Row],[Qty Required]]-Mon_ILR2[[#This Row],[QTY Transfer]]</f>
        <v>1</v>
      </c>
      <c r="R584" s="66" t="s">
        <v>905</v>
      </c>
      <c r="S584" s="66" t="s">
        <v>2215</v>
      </c>
      <c r="T584" s="210">
        <f>_xlfn.IFNA(VLOOKUP(Mon_ILR2[[#This Row],[New Model]],PhilipsLibary[],4,FALSE),"0")</f>
        <v>0</v>
      </c>
      <c r="U584" s="210">
        <v>876</v>
      </c>
      <c r="V584" s="210">
        <v>500</v>
      </c>
      <c r="W584" s="210">
        <f>Mon_ILR2[[#This Row],[Accessory Rate]]+Mon_ILR2[[#This Row],[Mounting Rate]]+Mon_ILR2[[#This Row],[Unit Rate]]*Mon_ILR2[[#This Row],[New Quantity Required ]]</f>
        <v>1376</v>
      </c>
      <c r="X584" s="8"/>
      <c r="Y584" s="289" t="s">
        <v>2214</v>
      </c>
      <c r="Z584" s="6" t="s">
        <v>50</v>
      </c>
      <c r="AA584" s="6" t="s">
        <v>50</v>
      </c>
      <c r="AB584" s="6" t="s">
        <v>50</v>
      </c>
      <c r="AC584" s="6" t="s">
        <v>50</v>
      </c>
      <c r="AD584" s="6" t="s">
        <v>50</v>
      </c>
      <c r="AE584" s="6" t="s">
        <v>50</v>
      </c>
      <c r="AF584" s="6" t="s">
        <v>50</v>
      </c>
      <c r="AG584" s="6" t="s">
        <v>50</v>
      </c>
      <c r="AH584" s="6" t="s">
        <v>50</v>
      </c>
      <c r="AI584" s="6" t="s">
        <v>50</v>
      </c>
      <c r="AJ584" s="6" t="s">
        <v>50</v>
      </c>
      <c r="AK584" s="6" t="s">
        <v>50</v>
      </c>
      <c r="AL584" s="6" t="s">
        <v>50</v>
      </c>
      <c r="AM584" s="6" t="s">
        <v>50</v>
      </c>
      <c r="AN584" s="6" t="s">
        <v>50</v>
      </c>
      <c r="AO584" s="6" t="s">
        <v>50</v>
      </c>
    </row>
    <row r="585" spans="2:41" ht="150" x14ac:dyDescent="0.25">
      <c r="B585" s="207" t="s">
        <v>35</v>
      </c>
      <c r="C585" s="66" t="s">
        <v>410</v>
      </c>
      <c r="D585" s="4" t="s">
        <v>881</v>
      </c>
      <c r="E585" s="4" t="s">
        <v>1072</v>
      </c>
      <c r="F585" s="4" t="s">
        <v>816</v>
      </c>
      <c r="G585" s="4" t="s">
        <v>183</v>
      </c>
      <c r="H585" s="208">
        <v>1</v>
      </c>
      <c r="I585" s="4"/>
      <c r="J585" s="15"/>
      <c r="K585" s="4" t="str">
        <f>_xlfn.IFNA(VLOOKUP($J585,WH_Data[],6,FALSE),"")</f>
        <v/>
      </c>
      <c r="L585" s="4" t="str">
        <f>_xlfn.IFNA(VLOOKUP($J585,WH_Data[],3,FALSE),"")</f>
        <v/>
      </c>
      <c r="M585" s="4" t="str">
        <f>_xlfn.IFNA(VLOOKUP($J585,WH_Data[],5,FALSE),"")</f>
        <v/>
      </c>
      <c r="N585" s="4" t="str">
        <f>_xlfn.IFNA(VLOOKUP($J585,WH_Data[],7,FALSE),"")</f>
        <v/>
      </c>
      <c r="O585" s="4" t="str">
        <f>_xlfn.IFNA(VLOOKUP($J585,WH_Data[],8,FALSE),"")</f>
        <v/>
      </c>
      <c r="P585" s="8"/>
      <c r="Q585" s="209">
        <f>Mon_ILR2[[#This Row],[Qty Required]]-Mon_ILR2[[#This Row],[QTY Transfer]]</f>
        <v>1</v>
      </c>
      <c r="R585" s="66" t="s">
        <v>905</v>
      </c>
      <c r="S585" s="66" t="s">
        <v>2215</v>
      </c>
      <c r="T585" s="210">
        <f>_xlfn.IFNA(VLOOKUP(Mon_ILR2[[#This Row],[New Model]],PhilipsLibary[],4,FALSE),"0")</f>
        <v>0</v>
      </c>
      <c r="U585" s="210">
        <v>876</v>
      </c>
      <c r="V585" s="210">
        <v>500</v>
      </c>
      <c r="W585" s="210">
        <f>Mon_ILR2[[#This Row],[Accessory Rate]]+Mon_ILR2[[#This Row],[Mounting Rate]]+Mon_ILR2[[#This Row],[Unit Rate]]*Mon_ILR2[[#This Row],[New Quantity Required ]]</f>
        <v>1376</v>
      </c>
      <c r="X585" s="8"/>
      <c r="Y585" s="289" t="s">
        <v>2214</v>
      </c>
      <c r="Z585" s="6" t="s">
        <v>50</v>
      </c>
      <c r="AA585" s="6" t="s">
        <v>50</v>
      </c>
      <c r="AB585" s="6" t="s">
        <v>50</v>
      </c>
      <c r="AC585" s="6" t="s">
        <v>50</v>
      </c>
      <c r="AD585" s="6" t="s">
        <v>50</v>
      </c>
      <c r="AE585" s="6" t="s">
        <v>50</v>
      </c>
      <c r="AF585" s="6" t="s">
        <v>50</v>
      </c>
      <c r="AG585" s="6" t="s">
        <v>50</v>
      </c>
      <c r="AH585" s="6" t="s">
        <v>50</v>
      </c>
      <c r="AI585" s="6" t="s">
        <v>50</v>
      </c>
      <c r="AJ585" s="6" t="s">
        <v>50</v>
      </c>
      <c r="AK585" s="6" t="s">
        <v>50</v>
      </c>
      <c r="AL585" s="6" t="s">
        <v>50</v>
      </c>
      <c r="AM585" s="6" t="s">
        <v>50</v>
      </c>
      <c r="AN585" s="6" t="s">
        <v>50</v>
      </c>
      <c r="AO585" s="6" t="s">
        <v>50</v>
      </c>
    </row>
    <row r="586" spans="2:41" ht="150" x14ac:dyDescent="0.25">
      <c r="B586" s="207" t="s">
        <v>35</v>
      </c>
      <c r="C586" s="66" t="s">
        <v>410</v>
      </c>
      <c r="D586" s="4" t="s">
        <v>882</v>
      </c>
      <c r="E586" s="4" t="s">
        <v>1072</v>
      </c>
      <c r="F586" s="4" t="s">
        <v>816</v>
      </c>
      <c r="G586" s="4" t="s">
        <v>183</v>
      </c>
      <c r="H586" s="208">
        <v>1</v>
      </c>
      <c r="I586" s="4"/>
      <c r="J586" s="15"/>
      <c r="K586" s="4" t="str">
        <f>_xlfn.IFNA(VLOOKUP($J586,WH_Data[],6,FALSE),"")</f>
        <v/>
      </c>
      <c r="L586" s="4" t="str">
        <f>_xlfn.IFNA(VLOOKUP($J586,WH_Data[],3,FALSE),"")</f>
        <v/>
      </c>
      <c r="M586" s="4" t="str">
        <f>_xlfn.IFNA(VLOOKUP($J586,WH_Data[],5,FALSE),"")</f>
        <v/>
      </c>
      <c r="N586" s="4" t="str">
        <f>_xlfn.IFNA(VLOOKUP($J586,WH_Data[],7,FALSE),"")</f>
        <v/>
      </c>
      <c r="O586" s="4" t="str">
        <f>_xlfn.IFNA(VLOOKUP($J586,WH_Data[],8,FALSE),"")</f>
        <v/>
      </c>
      <c r="P586" s="8"/>
      <c r="Q586" s="209">
        <f>Mon_ILR2[[#This Row],[Qty Required]]-Mon_ILR2[[#This Row],[QTY Transfer]]</f>
        <v>1</v>
      </c>
      <c r="R586" s="66" t="s">
        <v>905</v>
      </c>
      <c r="S586" s="66" t="s">
        <v>2215</v>
      </c>
      <c r="T586" s="210">
        <f>_xlfn.IFNA(VLOOKUP(Mon_ILR2[[#This Row],[New Model]],PhilipsLibary[],4,FALSE),"0")</f>
        <v>0</v>
      </c>
      <c r="U586" s="210">
        <v>876</v>
      </c>
      <c r="V586" s="210">
        <v>500</v>
      </c>
      <c r="W586" s="210">
        <f>Mon_ILR2[[#This Row],[Accessory Rate]]+Mon_ILR2[[#This Row],[Mounting Rate]]+Mon_ILR2[[#This Row],[Unit Rate]]*Mon_ILR2[[#This Row],[New Quantity Required ]]</f>
        <v>1376</v>
      </c>
      <c r="X586" s="8"/>
      <c r="Y586" s="289" t="s">
        <v>2214</v>
      </c>
      <c r="Z586" s="6" t="s">
        <v>50</v>
      </c>
      <c r="AA586" s="6" t="s">
        <v>50</v>
      </c>
      <c r="AB586" s="6" t="s">
        <v>50</v>
      </c>
      <c r="AC586" s="6" t="s">
        <v>50</v>
      </c>
      <c r="AD586" s="6" t="s">
        <v>50</v>
      </c>
      <c r="AE586" s="6" t="s">
        <v>50</v>
      </c>
      <c r="AF586" s="6" t="s">
        <v>50</v>
      </c>
      <c r="AG586" s="6" t="s">
        <v>50</v>
      </c>
      <c r="AH586" s="6" t="s">
        <v>50</v>
      </c>
      <c r="AI586" s="6" t="s">
        <v>50</v>
      </c>
      <c r="AJ586" s="6" t="s">
        <v>50</v>
      </c>
      <c r="AK586" s="6" t="s">
        <v>50</v>
      </c>
      <c r="AL586" s="6" t="s">
        <v>50</v>
      </c>
      <c r="AM586" s="6" t="s">
        <v>50</v>
      </c>
      <c r="AN586" s="6" t="s">
        <v>50</v>
      </c>
      <c r="AO586" s="6" t="s">
        <v>50</v>
      </c>
    </row>
    <row r="587" spans="2:41" ht="150" x14ac:dyDescent="0.25">
      <c r="B587" s="207" t="s">
        <v>35</v>
      </c>
      <c r="C587" s="66" t="s">
        <v>410</v>
      </c>
      <c r="D587" s="4" t="s">
        <v>884</v>
      </c>
      <c r="E587" s="4" t="s">
        <v>1072</v>
      </c>
      <c r="F587" s="4" t="s">
        <v>816</v>
      </c>
      <c r="G587" s="4" t="s">
        <v>183</v>
      </c>
      <c r="H587" s="208">
        <v>1</v>
      </c>
      <c r="I587" s="4"/>
      <c r="J587" s="15"/>
      <c r="K587" s="4" t="str">
        <f>_xlfn.IFNA(VLOOKUP($J587,WH_Data[],6,FALSE),"")</f>
        <v/>
      </c>
      <c r="L587" s="4" t="str">
        <f>_xlfn.IFNA(VLOOKUP($J587,WH_Data[],3,FALSE),"")</f>
        <v/>
      </c>
      <c r="M587" s="4" t="str">
        <f>_xlfn.IFNA(VLOOKUP($J587,WH_Data[],5,FALSE),"")</f>
        <v/>
      </c>
      <c r="N587" s="4" t="str">
        <f>_xlfn.IFNA(VLOOKUP($J587,WH_Data[],7,FALSE),"")</f>
        <v/>
      </c>
      <c r="O587" s="4" t="str">
        <f>_xlfn.IFNA(VLOOKUP($J587,WH_Data[],8,FALSE),"")</f>
        <v/>
      </c>
      <c r="P587" s="8"/>
      <c r="Q587" s="209">
        <f>Mon_ILR2[[#This Row],[Qty Required]]-Mon_ILR2[[#This Row],[QTY Transfer]]</f>
        <v>1</v>
      </c>
      <c r="R587" s="66" t="s">
        <v>905</v>
      </c>
      <c r="S587" s="66" t="s">
        <v>2215</v>
      </c>
      <c r="T587" s="210">
        <f>_xlfn.IFNA(VLOOKUP(Mon_ILR2[[#This Row],[New Model]],PhilipsLibary[],4,FALSE),"0")</f>
        <v>0</v>
      </c>
      <c r="U587" s="210">
        <v>876</v>
      </c>
      <c r="V587" s="210">
        <v>500</v>
      </c>
      <c r="W587" s="210">
        <f>Mon_ILR2[[#This Row],[Accessory Rate]]+Mon_ILR2[[#This Row],[Mounting Rate]]+Mon_ILR2[[#This Row],[Unit Rate]]*Mon_ILR2[[#This Row],[New Quantity Required ]]</f>
        <v>1376</v>
      </c>
      <c r="X587" s="8"/>
      <c r="Y587" s="289" t="s">
        <v>2214</v>
      </c>
      <c r="Z587" s="6" t="s">
        <v>50</v>
      </c>
      <c r="AA587" s="6" t="s">
        <v>50</v>
      </c>
      <c r="AB587" s="6" t="s">
        <v>50</v>
      </c>
      <c r="AC587" s="6" t="s">
        <v>50</v>
      </c>
      <c r="AD587" s="6" t="s">
        <v>50</v>
      </c>
      <c r="AE587" s="6" t="s">
        <v>50</v>
      </c>
      <c r="AF587" s="6" t="s">
        <v>50</v>
      </c>
      <c r="AG587" s="6" t="s">
        <v>50</v>
      </c>
      <c r="AH587" s="6" t="s">
        <v>50</v>
      </c>
      <c r="AI587" s="6" t="s">
        <v>50</v>
      </c>
      <c r="AJ587" s="6" t="s">
        <v>50</v>
      </c>
      <c r="AK587" s="6" t="s">
        <v>50</v>
      </c>
      <c r="AL587" s="6" t="s">
        <v>50</v>
      </c>
      <c r="AM587" s="6" t="s">
        <v>50</v>
      </c>
      <c r="AN587" s="6" t="s">
        <v>50</v>
      </c>
      <c r="AO587" s="6" t="s">
        <v>50</v>
      </c>
    </row>
    <row r="588" spans="2:41" ht="150" x14ac:dyDescent="0.25">
      <c r="B588" s="207" t="s">
        <v>35</v>
      </c>
      <c r="C588" s="66" t="s">
        <v>410</v>
      </c>
      <c r="D588" s="4" t="s">
        <v>885</v>
      </c>
      <c r="E588" s="4" t="s">
        <v>1072</v>
      </c>
      <c r="F588" s="4" t="s">
        <v>816</v>
      </c>
      <c r="G588" s="4" t="s">
        <v>183</v>
      </c>
      <c r="H588" s="208">
        <v>1</v>
      </c>
      <c r="I588" s="4"/>
      <c r="J588" s="15"/>
      <c r="K588" s="4" t="str">
        <f>_xlfn.IFNA(VLOOKUP($J588,WH_Data[],6,FALSE),"")</f>
        <v/>
      </c>
      <c r="L588" s="4" t="str">
        <f>_xlfn.IFNA(VLOOKUP($J588,WH_Data[],3,FALSE),"")</f>
        <v/>
      </c>
      <c r="M588" s="4" t="str">
        <f>_xlfn.IFNA(VLOOKUP($J588,WH_Data[],5,FALSE),"")</f>
        <v/>
      </c>
      <c r="N588" s="4" t="str">
        <f>_xlfn.IFNA(VLOOKUP($J588,WH_Data[],7,FALSE),"")</f>
        <v/>
      </c>
      <c r="O588" s="4" t="str">
        <f>_xlfn.IFNA(VLOOKUP($J588,WH_Data[],8,FALSE),"")</f>
        <v/>
      </c>
      <c r="P588" s="8"/>
      <c r="Q588" s="209">
        <f>Mon_ILR2[[#This Row],[Qty Required]]-Mon_ILR2[[#This Row],[QTY Transfer]]</f>
        <v>1</v>
      </c>
      <c r="R588" s="66" t="s">
        <v>905</v>
      </c>
      <c r="S588" s="66" t="s">
        <v>2215</v>
      </c>
      <c r="T588" s="210">
        <f>_xlfn.IFNA(VLOOKUP(Mon_ILR2[[#This Row],[New Model]],PhilipsLibary[],4,FALSE),"0")</f>
        <v>0</v>
      </c>
      <c r="U588" s="210">
        <v>876</v>
      </c>
      <c r="V588" s="210">
        <v>500</v>
      </c>
      <c r="W588" s="210">
        <f>Mon_ILR2[[#This Row],[Accessory Rate]]+Mon_ILR2[[#This Row],[Mounting Rate]]+Mon_ILR2[[#This Row],[Unit Rate]]*Mon_ILR2[[#This Row],[New Quantity Required ]]</f>
        <v>1376</v>
      </c>
      <c r="X588" s="8"/>
      <c r="Y588" s="289" t="s">
        <v>2214</v>
      </c>
      <c r="Z588" s="6" t="s">
        <v>50</v>
      </c>
      <c r="AA588" s="6" t="s">
        <v>50</v>
      </c>
      <c r="AB588" s="6" t="s">
        <v>50</v>
      </c>
      <c r="AC588" s="6" t="s">
        <v>50</v>
      </c>
      <c r="AD588" s="6" t="s">
        <v>50</v>
      </c>
      <c r="AE588" s="6" t="s">
        <v>50</v>
      </c>
      <c r="AF588" s="6" t="s">
        <v>50</v>
      </c>
      <c r="AG588" s="6" t="s">
        <v>50</v>
      </c>
      <c r="AH588" s="6" t="s">
        <v>50</v>
      </c>
      <c r="AI588" s="6" t="s">
        <v>50</v>
      </c>
      <c r="AJ588" s="6" t="s">
        <v>50</v>
      </c>
      <c r="AK588" s="6" t="s">
        <v>50</v>
      </c>
      <c r="AL588" s="6" t="s">
        <v>50</v>
      </c>
      <c r="AM588" s="6" t="s">
        <v>50</v>
      </c>
      <c r="AN588" s="6" t="s">
        <v>50</v>
      </c>
      <c r="AO588" s="6" t="s">
        <v>50</v>
      </c>
    </row>
    <row r="589" spans="2:41" ht="60" customHeight="1" x14ac:dyDescent="0.25">
      <c r="B589" s="207" t="s">
        <v>889</v>
      </c>
      <c r="C589" s="66" t="s">
        <v>364</v>
      </c>
      <c r="D589" s="4" t="s">
        <v>890</v>
      </c>
      <c r="E589" s="4" t="s">
        <v>1027</v>
      </c>
      <c r="F589" s="4" t="s">
        <v>932</v>
      </c>
      <c r="G589" s="4" t="s">
        <v>183</v>
      </c>
      <c r="H589" s="208">
        <v>1</v>
      </c>
      <c r="I589" s="4"/>
      <c r="J589" s="15"/>
      <c r="K589" s="4" t="str">
        <f>_xlfn.IFNA(VLOOKUP($J589,WH_Data[],6,FALSE),"")</f>
        <v/>
      </c>
      <c r="L589" s="4" t="str">
        <f>_xlfn.IFNA(VLOOKUP($J589,WH_Data[],3,FALSE),"")</f>
        <v/>
      </c>
      <c r="M589" s="4" t="str">
        <f>_xlfn.IFNA(VLOOKUP($J589,WH_Data[],5,FALSE),"")</f>
        <v/>
      </c>
      <c r="N589" s="4" t="str">
        <f>_xlfn.IFNA(VLOOKUP($J589,WH_Data[],7,FALSE),"")</f>
        <v/>
      </c>
      <c r="O589" s="4" t="str">
        <f>_xlfn.IFNA(VLOOKUP($J589,WH_Data[],8,FALSE),"")</f>
        <v/>
      </c>
      <c r="P589" s="8"/>
      <c r="Q589" s="209">
        <f>Mon_ILR2[[#This Row],[Qty Required]]-Mon_ILR2[[#This Row],[QTY Transfer]]</f>
        <v>1</v>
      </c>
      <c r="R589" s="66" t="s">
        <v>905</v>
      </c>
      <c r="S589" s="66" t="s">
        <v>934</v>
      </c>
      <c r="T589" s="210">
        <f>_xlfn.IFNA(VLOOKUP(Mon_ILR2[[#This Row],[New Model]],PhilipsLibary[],4,FALSE),"0")</f>
        <v>7489</v>
      </c>
      <c r="U589" s="210">
        <f>_xlfn.IFNA(VLOOKUP(Mon_ILR2[[#This Row],[New Model]],PhilipsLibary[],5,FALSE),"0")</f>
        <v>1127</v>
      </c>
      <c r="V589" s="210">
        <v>1879</v>
      </c>
      <c r="W589" s="210">
        <f>Mon_ILR2[[#This Row],[Accessory Rate]]+Mon_ILR2[[#This Row],[Mounting Rate]]+Mon_ILR2[[#This Row],[Unit Rate]]*Mon_ILR2[[#This Row],[New Quantity Required ]]</f>
        <v>10495</v>
      </c>
      <c r="X589" s="8"/>
      <c r="Y589" s="246" t="s">
        <v>988</v>
      </c>
      <c r="Z589" s="6" t="s">
        <v>45</v>
      </c>
      <c r="AA589" s="6" t="s">
        <v>46</v>
      </c>
      <c r="AB589" s="6" t="s">
        <v>47</v>
      </c>
      <c r="AC589" s="6" t="s">
        <v>48</v>
      </c>
      <c r="AD589" s="6" t="s">
        <v>49</v>
      </c>
      <c r="AE589" s="6" t="s">
        <v>50</v>
      </c>
      <c r="AF589" s="6" t="s">
        <v>50</v>
      </c>
      <c r="AG589" s="6" t="s">
        <v>50</v>
      </c>
      <c r="AH589" s="6" t="s">
        <v>50</v>
      </c>
      <c r="AI589" s="6" t="s">
        <v>51</v>
      </c>
      <c r="AJ589" s="6" t="s">
        <v>50</v>
      </c>
      <c r="AK589" s="6" t="s">
        <v>50</v>
      </c>
      <c r="AL589" s="6" t="s">
        <v>52</v>
      </c>
      <c r="AM589" s="6" t="s">
        <v>53</v>
      </c>
      <c r="AN589" s="6" t="s">
        <v>50</v>
      </c>
      <c r="AO589" s="6" t="s">
        <v>54</v>
      </c>
    </row>
    <row r="590" spans="2:41" ht="60" customHeight="1" x14ac:dyDescent="0.25">
      <c r="B590" s="207" t="s">
        <v>889</v>
      </c>
      <c r="C590" s="66" t="s">
        <v>364</v>
      </c>
      <c r="D590" s="4" t="s">
        <v>891</v>
      </c>
      <c r="E590" s="4" t="s">
        <v>1027</v>
      </c>
      <c r="F590" s="4" t="s">
        <v>932</v>
      </c>
      <c r="G590" s="4" t="s">
        <v>183</v>
      </c>
      <c r="H590" s="208">
        <v>1</v>
      </c>
      <c r="I590" s="4"/>
      <c r="J590" s="15"/>
      <c r="K590" s="4" t="str">
        <f>_xlfn.IFNA(VLOOKUP($J590,WH_Data[],6,FALSE),"")</f>
        <v/>
      </c>
      <c r="L590" s="4" t="str">
        <f>_xlfn.IFNA(VLOOKUP($J590,WH_Data[],3,FALSE),"")</f>
        <v/>
      </c>
      <c r="M590" s="4" t="str">
        <f>_xlfn.IFNA(VLOOKUP($J590,WH_Data[],5,FALSE),"")</f>
        <v/>
      </c>
      <c r="N590" s="4" t="str">
        <f>_xlfn.IFNA(VLOOKUP($J590,WH_Data[],7,FALSE),"")</f>
        <v/>
      </c>
      <c r="O590" s="4" t="str">
        <f>_xlfn.IFNA(VLOOKUP($J590,WH_Data[],8,FALSE),"")</f>
        <v/>
      </c>
      <c r="P590" s="8"/>
      <c r="Q590" s="209">
        <f>Mon_ILR2[[#This Row],[Qty Required]]-Mon_ILR2[[#This Row],[QTY Transfer]]</f>
        <v>1</v>
      </c>
      <c r="R590" s="66" t="s">
        <v>905</v>
      </c>
      <c r="S590" s="66" t="s">
        <v>934</v>
      </c>
      <c r="T590" s="210">
        <f>_xlfn.IFNA(VLOOKUP(Mon_ILR2[[#This Row],[New Model]],PhilipsLibary[],4,FALSE),"0")</f>
        <v>7489</v>
      </c>
      <c r="U590" s="210">
        <f>_xlfn.IFNA(VLOOKUP(Mon_ILR2[[#This Row],[New Model]],PhilipsLibary[],5,FALSE),"0")</f>
        <v>1127</v>
      </c>
      <c r="V590" s="210">
        <v>1879</v>
      </c>
      <c r="W590" s="210">
        <f>Mon_ILR2[[#This Row],[Accessory Rate]]+Mon_ILR2[[#This Row],[Mounting Rate]]+Mon_ILR2[[#This Row],[Unit Rate]]*Mon_ILR2[[#This Row],[New Quantity Required ]]</f>
        <v>10495</v>
      </c>
      <c r="X590" s="8"/>
      <c r="Y590" s="246" t="s">
        <v>988</v>
      </c>
      <c r="Z590" s="6" t="s">
        <v>45</v>
      </c>
      <c r="AA590" s="6" t="s">
        <v>46</v>
      </c>
      <c r="AB590" s="6" t="s">
        <v>47</v>
      </c>
      <c r="AC590" s="6" t="s">
        <v>48</v>
      </c>
      <c r="AD590" s="6" t="s">
        <v>49</v>
      </c>
      <c r="AE590" s="6" t="s">
        <v>50</v>
      </c>
      <c r="AF590" s="6" t="s">
        <v>50</v>
      </c>
      <c r="AG590" s="6" t="s">
        <v>50</v>
      </c>
      <c r="AH590" s="6" t="s">
        <v>50</v>
      </c>
      <c r="AI590" s="6" t="s">
        <v>51</v>
      </c>
      <c r="AJ590" s="6" t="s">
        <v>50</v>
      </c>
      <c r="AK590" s="6" t="s">
        <v>50</v>
      </c>
      <c r="AL590" s="6" t="s">
        <v>52</v>
      </c>
      <c r="AM590" s="6" t="s">
        <v>53</v>
      </c>
      <c r="AN590" s="6" t="s">
        <v>50</v>
      </c>
      <c r="AO590" s="6" t="s">
        <v>54</v>
      </c>
    </row>
    <row r="591" spans="2:41" ht="60" customHeight="1" x14ac:dyDescent="0.25">
      <c r="B591" s="207" t="s">
        <v>889</v>
      </c>
      <c r="C591" s="66" t="s">
        <v>364</v>
      </c>
      <c r="D591" s="4" t="s">
        <v>892</v>
      </c>
      <c r="E591" s="4" t="s">
        <v>1027</v>
      </c>
      <c r="F591" s="4" t="s">
        <v>932</v>
      </c>
      <c r="G591" s="4" t="s">
        <v>183</v>
      </c>
      <c r="H591" s="208">
        <v>1</v>
      </c>
      <c r="I591" s="4"/>
      <c r="J591" s="15"/>
      <c r="K591" s="4" t="str">
        <f>_xlfn.IFNA(VLOOKUP($J591,WH_Data[],6,FALSE),"")</f>
        <v/>
      </c>
      <c r="L591" s="4" t="str">
        <f>_xlfn.IFNA(VLOOKUP($J591,WH_Data[],3,FALSE),"")</f>
        <v/>
      </c>
      <c r="M591" s="4" t="str">
        <f>_xlfn.IFNA(VLOOKUP($J591,WH_Data[],5,FALSE),"")</f>
        <v/>
      </c>
      <c r="N591" s="4" t="str">
        <f>_xlfn.IFNA(VLOOKUP($J591,WH_Data[],7,FALSE),"")</f>
        <v/>
      </c>
      <c r="O591" s="4" t="str">
        <f>_xlfn.IFNA(VLOOKUP($J591,WH_Data[],8,FALSE),"")</f>
        <v/>
      </c>
      <c r="P591" s="8"/>
      <c r="Q591" s="209">
        <f>Mon_ILR2[[#This Row],[Qty Required]]-Mon_ILR2[[#This Row],[QTY Transfer]]</f>
        <v>1</v>
      </c>
      <c r="R591" s="66" t="s">
        <v>905</v>
      </c>
      <c r="S591" s="66" t="s">
        <v>934</v>
      </c>
      <c r="T591" s="210">
        <f>_xlfn.IFNA(VLOOKUP(Mon_ILR2[[#This Row],[New Model]],PhilipsLibary[],4,FALSE),"0")</f>
        <v>7489</v>
      </c>
      <c r="U591" s="210">
        <f>_xlfn.IFNA(VLOOKUP(Mon_ILR2[[#This Row],[New Model]],PhilipsLibary[],5,FALSE),"0")</f>
        <v>1127</v>
      </c>
      <c r="V591" s="210">
        <v>1879</v>
      </c>
      <c r="W591" s="210">
        <f>Mon_ILR2[[#This Row],[Accessory Rate]]+Mon_ILR2[[#This Row],[Mounting Rate]]+Mon_ILR2[[#This Row],[Unit Rate]]*Mon_ILR2[[#This Row],[New Quantity Required ]]</f>
        <v>10495</v>
      </c>
      <c r="X591" s="8"/>
      <c r="Y591" s="246" t="s">
        <v>988</v>
      </c>
      <c r="Z591" s="6" t="s">
        <v>45</v>
      </c>
      <c r="AA591" s="6" t="s">
        <v>46</v>
      </c>
      <c r="AB591" s="6" t="s">
        <v>47</v>
      </c>
      <c r="AC591" s="6" t="s">
        <v>48</v>
      </c>
      <c r="AD591" s="6" t="s">
        <v>49</v>
      </c>
      <c r="AE591" s="6" t="s">
        <v>50</v>
      </c>
      <c r="AF591" s="6" t="s">
        <v>50</v>
      </c>
      <c r="AG591" s="6" t="s">
        <v>50</v>
      </c>
      <c r="AH591" s="6" t="s">
        <v>50</v>
      </c>
      <c r="AI591" s="6" t="s">
        <v>51</v>
      </c>
      <c r="AJ591" s="6" t="s">
        <v>50</v>
      </c>
      <c r="AK591" s="6" t="s">
        <v>50</v>
      </c>
      <c r="AL591" s="6" t="s">
        <v>52</v>
      </c>
      <c r="AM591" s="6" t="s">
        <v>53</v>
      </c>
      <c r="AN591" s="6" t="s">
        <v>50</v>
      </c>
      <c r="AO591" s="6" t="s">
        <v>54</v>
      </c>
    </row>
    <row r="592" spans="2:41" ht="60" customHeight="1" x14ac:dyDescent="0.25">
      <c r="B592" s="207" t="s">
        <v>275</v>
      </c>
      <c r="C592" s="66" t="s">
        <v>276</v>
      </c>
      <c r="D592" s="4" t="s">
        <v>277</v>
      </c>
      <c r="E592" s="4" t="s">
        <v>1072</v>
      </c>
      <c r="F592" s="4" t="s">
        <v>981</v>
      </c>
      <c r="G592" s="4" t="s">
        <v>278</v>
      </c>
      <c r="H592" s="208">
        <v>1</v>
      </c>
      <c r="I592" s="4"/>
      <c r="J592" s="15"/>
      <c r="K592" s="4" t="str">
        <f>_xlfn.IFNA(VLOOKUP($J592,WH_Data[],6,FALSE),"")</f>
        <v/>
      </c>
      <c r="L592" s="4" t="str">
        <f>_xlfn.IFNA(VLOOKUP($J592,WH_Data[],3,FALSE),"")</f>
        <v/>
      </c>
      <c r="M592" s="4" t="str">
        <f>_xlfn.IFNA(VLOOKUP($J592,WH_Data[],5,FALSE),"")</f>
        <v/>
      </c>
      <c r="N592" s="4" t="str">
        <f>_xlfn.IFNA(VLOOKUP($J592,WH_Data[],7,FALSE),"")</f>
        <v/>
      </c>
      <c r="O592" s="4" t="str">
        <f>_xlfn.IFNA(VLOOKUP($J592,WH_Data[],8,FALSE),"")</f>
        <v/>
      </c>
      <c r="P592" s="8"/>
      <c r="Q592" s="209">
        <f>Mon_ILR2[[#This Row],[Qty Required]]-Mon_ILR2[[#This Row],[QTY Transfer]]</f>
        <v>1</v>
      </c>
      <c r="R592" s="66" t="s">
        <v>905</v>
      </c>
      <c r="S592" s="66" t="s">
        <v>980</v>
      </c>
      <c r="T592" s="210">
        <v>0</v>
      </c>
      <c r="U592" s="210">
        <f>_xlfn.IFNA(VLOOKUP(Mon_ILR2[[#This Row],[New Model]],PhilipsLibary[],5,FALSE),"0")</f>
        <v>0</v>
      </c>
      <c r="V592" s="210">
        <f>_xlfn.IFNA(VLOOKUP(Mon_ILR2[[#This Row],[New Model]],PhilipsLibary[],5,FALSE),"0")</f>
        <v>0</v>
      </c>
      <c r="W592" s="210">
        <f>Mon_ILR2[[#This Row],[Accessory Rate]]+Mon_ILR2[[#This Row],[Mounting Rate]]+Mon_ILR2[[#This Row],[Unit Rate]]*Mon_ILR2[[#This Row],[New Quantity Required ]]</f>
        <v>0</v>
      </c>
      <c r="X592" s="8"/>
      <c r="Y592" s="289" t="s">
        <v>2167</v>
      </c>
    </row>
    <row r="593" spans="2:41" ht="60" customHeight="1" x14ac:dyDescent="0.25">
      <c r="B593" s="207" t="s">
        <v>275</v>
      </c>
      <c r="C593" s="66" t="s">
        <v>276</v>
      </c>
      <c r="D593" s="4" t="s">
        <v>282</v>
      </c>
      <c r="E593" s="4" t="s">
        <v>1072</v>
      </c>
      <c r="F593" s="4" t="s">
        <v>981</v>
      </c>
      <c r="G593" s="4" t="s">
        <v>278</v>
      </c>
      <c r="H593" s="208">
        <v>1</v>
      </c>
      <c r="I593" s="4"/>
      <c r="J593" s="15"/>
      <c r="K593" s="4" t="str">
        <f>_xlfn.IFNA(VLOOKUP($J593,WH_Data[],6,FALSE),"")</f>
        <v/>
      </c>
      <c r="L593" s="4" t="str">
        <f>_xlfn.IFNA(VLOOKUP($J593,WH_Data[],3,FALSE),"")</f>
        <v/>
      </c>
      <c r="M593" s="4" t="str">
        <f>_xlfn.IFNA(VLOOKUP($J593,WH_Data[],5,FALSE),"")</f>
        <v/>
      </c>
      <c r="N593" s="4" t="str">
        <f>_xlfn.IFNA(VLOOKUP($J593,WH_Data[],7,FALSE),"")</f>
        <v/>
      </c>
      <c r="O593" s="4" t="str">
        <f>_xlfn.IFNA(VLOOKUP($J593,WH_Data[],8,FALSE),"")</f>
        <v/>
      </c>
      <c r="P593" s="8"/>
      <c r="Q593" s="209">
        <f>Mon_ILR2[[#This Row],[Qty Required]]-Mon_ILR2[[#This Row],[QTY Transfer]]</f>
        <v>1</v>
      </c>
      <c r="R593" s="66" t="s">
        <v>905</v>
      </c>
      <c r="S593" s="66" t="s">
        <v>980</v>
      </c>
      <c r="T593" s="210">
        <v>0</v>
      </c>
      <c r="U593" s="210">
        <f>_xlfn.IFNA(VLOOKUP(Mon_ILR2[[#This Row],[New Model]],PhilipsLibary[],5,FALSE),"0")</f>
        <v>0</v>
      </c>
      <c r="V593" s="210">
        <f>_xlfn.IFNA(VLOOKUP(Mon_ILR2[[#This Row],[New Model]],PhilipsLibary[],5,FALSE),"0")</f>
        <v>0</v>
      </c>
      <c r="W593" s="210">
        <f>Mon_ILR2[[#This Row],[Accessory Rate]]+Mon_ILR2[[#This Row],[Mounting Rate]]+Mon_ILR2[[#This Row],[Unit Rate]]*Mon_ILR2[[#This Row],[New Quantity Required ]]</f>
        <v>0</v>
      </c>
      <c r="X593" s="8"/>
      <c r="Y593" s="289" t="s">
        <v>2167</v>
      </c>
    </row>
    <row r="594" spans="2:41" ht="60" x14ac:dyDescent="0.25">
      <c r="B594" s="207" t="s">
        <v>275</v>
      </c>
      <c r="C594" s="66" t="s">
        <v>276</v>
      </c>
      <c r="D594" s="4" t="s">
        <v>285</v>
      </c>
      <c r="E594" s="4" t="s">
        <v>1072</v>
      </c>
      <c r="F594" s="4" t="s">
        <v>981</v>
      </c>
      <c r="G594" s="4" t="s">
        <v>278</v>
      </c>
      <c r="H594" s="208">
        <v>1</v>
      </c>
      <c r="I594" s="4"/>
      <c r="J594" s="15"/>
      <c r="K594" s="4" t="str">
        <f>_xlfn.IFNA(VLOOKUP($J594,WH_Data[],6,FALSE),"")</f>
        <v/>
      </c>
      <c r="L594" s="4" t="str">
        <f>_xlfn.IFNA(VLOOKUP($J594,WH_Data[],3,FALSE),"")</f>
        <v/>
      </c>
      <c r="M594" s="4" t="str">
        <f>_xlfn.IFNA(VLOOKUP($J594,WH_Data[],5,FALSE),"")</f>
        <v/>
      </c>
      <c r="N594" s="4" t="str">
        <f>_xlfn.IFNA(VLOOKUP($J594,WH_Data[],7,FALSE),"")</f>
        <v/>
      </c>
      <c r="O594" s="4" t="str">
        <f>_xlfn.IFNA(VLOOKUP($J594,WH_Data[],8,FALSE),"")</f>
        <v/>
      </c>
      <c r="P594" s="8"/>
      <c r="Q594" s="209">
        <f>Mon_ILR2[[#This Row],[Qty Required]]-Mon_ILR2[[#This Row],[QTY Transfer]]</f>
        <v>1</v>
      </c>
      <c r="R594" s="66" t="s">
        <v>905</v>
      </c>
      <c r="S594" s="66" t="s">
        <v>980</v>
      </c>
      <c r="T594" s="210">
        <v>0</v>
      </c>
      <c r="U594" s="210">
        <f>_xlfn.IFNA(VLOOKUP(Mon_ILR2[[#This Row],[New Model]],PhilipsLibary[],5,FALSE),"0")</f>
        <v>0</v>
      </c>
      <c r="V594" s="210">
        <f>_xlfn.IFNA(VLOOKUP(Mon_ILR2[[#This Row],[New Model]],PhilipsLibary[],5,FALSE),"0")</f>
        <v>0</v>
      </c>
      <c r="W594" s="210">
        <f>Mon_ILR2[[#This Row],[Accessory Rate]]+Mon_ILR2[[#This Row],[Mounting Rate]]+Mon_ILR2[[#This Row],[Unit Rate]]*Mon_ILR2[[#This Row],[New Quantity Required ]]</f>
        <v>0</v>
      </c>
      <c r="X594" s="8"/>
      <c r="Y594" s="289" t="s">
        <v>2167</v>
      </c>
    </row>
    <row r="595" spans="2:41" ht="15.75" x14ac:dyDescent="0.25">
      <c r="B595" s="207" t="s">
        <v>275</v>
      </c>
      <c r="C595" s="66" t="s">
        <v>288</v>
      </c>
      <c r="D595" s="4" t="s">
        <v>289</v>
      </c>
      <c r="E595" s="4" t="s">
        <v>1072</v>
      </c>
      <c r="F595" s="4" t="s">
        <v>981</v>
      </c>
      <c r="G595" s="4" t="s">
        <v>278</v>
      </c>
      <c r="H595" s="208">
        <v>1</v>
      </c>
      <c r="I595" s="4"/>
      <c r="J595" s="15"/>
      <c r="K595" s="4" t="str">
        <f>_xlfn.IFNA(VLOOKUP($J595,WH_Data[],6,FALSE),"")</f>
        <v/>
      </c>
      <c r="L595" s="4" t="str">
        <f>_xlfn.IFNA(VLOOKUP($J595,WH_Data[],3,FALSE),"")</f>
        <v/>
      </c>
      <c r="M595" s="4" t="str">
        <f>_xlfn.IFNA(VLOOKUP($J595,WH_Data[],5,FALSE),"")</f>
        <v/>
      </c>
      <c r="N595" s="4" t="str">
        <f>_xlfn.IFNA(VLOOKUP($J595,WH_Data[],7,FALSE),"")</f>
        <v/>
      </c>
      <c r="O595" s="4" t="str">
        <f>_xlfn.IFNA(VLOOKUP($J595,WH_Data[],8,FALSE),"")</f>
        <v/>
      </c>
      <c r="P595" s="8"/>
      <c r="Q595" s="209">
        <f>Mon_ILR2[[#This Row],[Qty Required]]-Mon_ILR2[[#This Row],[QTY Transfer]]</f>
        <v>1</v>
      </c>
      <c r="R595" s="66" t="s">
        <v>905</v>
      </c>
      <c r="S595" s="66" t="s">
        <v>980</v>
      </c>
      <c r="T595" s="210">
        <f>_xlfn.IFNA(VLOOKUP(Mon_ILR2[[#This Row],[New Model]],PhilipsLibary[],4,FALSE),"0")</f>
        <v>418</v>
      </c>
      <c r="U595" s="210">
        <f>_xlfn.IFNA(VLOOKUP(Mon_ILR2[[#This Row],[New Model]],PhilipsLibary[],5,FALSE),"0")</f>
        <v>0</v>
      </c>
      <c r="V595" s="210">
        <f>_xlfn.IFNA(VLOOKUP(Mon_ILR2[[#This Row],[New Model]],PhilipsLibary[],5,FALSE),"0")</f>
        <v>0</v>
      </c>
      <c r="W595" s="210">
        <f>Mon_ILR2[[#This Row],[Accessory Rate]]+Mon_ILR2[[#This Row],[Mounting Rate]]+Mon_ILR2[[#This Row],[Unit Rate]]*Mon_ILR2[[#This Row],[New Quantity Required ]]</f>
        <v>418</v>
      </c>
      <c r="X595" s="8"/>
      <c r="Y595" s="246"/>
    </row>
    <row r="596" spans="2:41" ht="15.75" x14ac:dyDescent="0.25">
      <c r="B596" s="207" t="s">
        <v>275</v>
      </c>
      <c r="C596" s="66" t="s">
        <v>276</v>
      </c>
      <c r="D596" s="4" t="s">
        <v>292</v>
      </c>
      <c r="E596" s="4" t="s">
        <v>1072</v>
      </c>
      <c r="F596" s="4" t="s">
        <v>981</v>
      </c>
      <c r="G596" s="4" t="s">
        <v>278</v>
      </c>
      <c r="H596" s="208">
        <v>1</v>
      </c>
      <c r="I596" s="4"/>
      <c r="J596" s="15"/>
      <c r="K596" s="4" t="str">
        <f>_xlfn.IFNA(VLOOKUP($J596,WH_Data[],6,FALSE),"")</f>
        <v/>
      </c>
      <c r="L596" s="4" t="str">
        <f>_xlfn.IFNA(VLOOKUP($J596,WH_Data[],3,FALSE),"")</f>
        <v/>
      </c>
      <c r="M596" s="4" t="str">
        <f>_xlfn.IFNA(VLOOKUP($J596,WH_Data[],5,FALSE),"")</f>
        <v/>
      </c>
      <c r="N596" s="4" t="str">
        <f>_xlfn.IFNA(VLOOKUP($J596,WH_Data[],7,FALSE),"")</f>
        <v/>
      </c>
      <c r="O596" s="4" t="str">
        <f>_xlfn.IFNA(VLOOKUP($J596,WH_Data[],8,FALSE),"")</f>
        <v/>
      </c>
      <c r="P596" s="8"/>
      <c r="Q596" s="209">
        <f>Mon_ILR2[[#This Row],[Qty Required]]-Mon_ILR2[[#This Row],[QTY Transfer]]</f>
        <v>1</v>
      </c>
      <c r="R596" s="66" t="s">
        <v>905</v>
      </c>
      <c r="S596" s="66" t="s">
        <v>980</v>
      </c>
      <c r="T596" s="210">
        <f>_xlfn.IFNA(VLOOKUP(Mon_ILR2[[#This Row],[New Model]],PhilipsLibary[],4,FALSE),"0")</f>
        <v>418</v>
      </c>
      <c r="U596" s="210">
        <f>_xlfn.IFNA(VLOOKUP(Mon_ILR2[[#This Row],[New Model]],PhilipsLibary[],5,FALSE),"0")</f>
        <v>0</v>
      </c>
      <c r="V596" s="210">
        <f>_xlfn.IFNA(VLOOKUP(Mon_ILR2[[#This Row],[New Model]],PhilipsLibary[],5,FALSE),"0")</f>
        <v>0</v>
      </c>
      <c r="W596" s="210">
        <f>Mon_ILR2[[#This Row],[Accessory Rate]]+Mon_ILR2[[#This Row],[Mounting Rate]]+Mon_ILR2[[#This Row],[Unit Rate]]*Mon_ILR2[[#This Row],[New Quantity Required ]]</f>
        <v>418</v>
      </c>
      <c r="X596" s="8"/>
      <c r="Y596" s="246"/>
    </row>
    <row r="597" spans="2:41" ht="135" x14ac:dyDescent="0.25">
      <c r="B597" s="207" t="s">
        <v>275</v>
      </c>
      <c r="C597" s="66" t="s">
        <v>276</v>
      </c>
      <c r="D597" s="4" t="s">
        <v>277</v>
      </c>
      <c r="E597" s="4" t="s">
        <v>1072</v>
      </c>
      <c r="F597" s="4" t="s">
        <v>932</v>
      </c>
      <c r="G597" s="4" t="s">
        <v>278</v>
      </c>
      <c r="H597" s="208">
        <v>1</v>
      </c>
      <c r="I597" s="4"/>
      <c r="J597" s="46" t="s">
        <v>286</v>
      </c>
      <c r="K597" s="4" t="str">
        <f>_xlfn.IFNA(VLOOKUP($J597,WH_Data[],6,FALSE),"")</f>
        <v>MONITORING SYSTEMS, PHYSIOLOGIC</v>
      </c>
      <c r="L597" s="4" t="str">
        <f>_xlfn.IFNA(VLOOKUP($J597,WH_Data[],3,FALSE),"")</f>
        <v>PHILIPS MEDICAL SYSTEMS AUSTRA</v>
      </c>
      <c r="M597" s="4" t="str">
        <f>_xlfn.IFNA(VLOOKUP($J597,WH_Data[],5,FALSE),"")</f>
        <v>IntelliVue MX800</v>
      </c>
      <c r="N597" s="4" t="str">
        <f>_xlfn.IFNA(VLOOKUP($J597,WH_Data[],7,FALSE),"")</f>
        <v>DE50851543</v>
      </c>
      <c r="O597" s="4" t="str">
        <f>_xlfn.IFNA(VLOOKUP($J597,WH_Data[],8,FALSE),"")</f>
        <v>Resus ED FH</v>
      </c>
      <c r="P597" s="8">
        <v>1</v>
      </c>
      <c r="Q597" s="300">
        <v>1</v>
      </c>
      <c r="R597" s="66" t="s">
        <v>905</v>
      </c>
      <c r="S597" s="306" t="s">
        <v>938</v>
      </c>
      <c r="T597" s="303">
        <v>13193</v>
      </c>
      <c r="U597" s="303">
        <v>874</v>
      </c>
      <c r="V597" s="303">
        <v>1159</v>
      </c>
      <c r="W597" s="303">
        <f>Mon_ILR2[[#This Row],[Accessory Rate]]+Mon_ILR2[[#This Row],[Mounting Rate]]+Mon_ILR2[[#This Row],[Unit Rate]]*Mon_ILR2[[#This Row],[New Quantity Required ]]</f>
        <v>15226</v>
      </c>
      <c r="X597" s="246"/>
      <c r="Y597" s="302" t="s">
        <v>2156</v>
      </c>
      <c r="Z597" s="6" t="s">
        <v>128</v>
      </c>
      <c r="AA597" s="6" t="s">
        <v>46</v>
      </c>
      <c r="AB597" s="6" t="s">
        <v>47</v>
      </c>
      <c r="AC597" s="6" t="s">
        <v>48</v>
      </c>
      <c r="AD597" s="6" t="s">
        <v>49</v>
      </c>
      <c r="AE597" s="6" t="s">
        <v>50</v>
      </c>
      <c r="AF597" s="6" t="s">
        <v>50</v>
      </c>
      <c r="AG597" s="6" t="s">
        <v>50</v>
      </c>
      <c r="AH597" s="6" t="s">
        <v>50</v>
      </c>
      <c r="AI597" s="6" t="s">
        <v>132</v>
      </c>
      <c r="AJ597" s="6" t="s">
        <v>50</v>
      </c>
      <c r="AK597" s="6" t="s">
        <v>50</v>
      </c>
      <c r="AL597" s="6" t="s">
        <v>52</v>
      </c>
      <c r="AM597" s="6" t="s">
        <v>53</v>
      </c>
      <c r="AN597" s="6" t="s">
        <v>133</v>
      </c>
      <c r="AO597" s="6" t="s">
        <v>54</v>
      </c>
    </row>
    <row r="598" spans="2:41" ht="135" x14ac:dyDescent="0.25">
      <c r="B598" s="207" t="s">
        <v>275</v>
      </c>
      <c r="C598" s="66" t="s">
        <v>276</v>
      </c>
      <c r="D598" s="4" t="s">
        <v>282</v>
      </c>
      <c r="E598" s="4" t="s">
        <v>1072</v>
      </c>
      <c r="F598" s="4" t="s">
        <v>932</v>
      </c>
      <c r="G598" s="4" t="s">
        <v>278</v>
      </c>
      <c r="H598" s="208">
        <v>1</v>
      </c>
      <c r="I598" s="4"/>
      <c r="J598" s="46" t="s">
        <v>279</v>
      </c>
      <c r="K598" s="4" t="str">
        <f>_xlfn.IFNA(VLOOKUP($J598,WH_Data[],6,FALSE),"")</f>
        <v>MONITORING SYSTEMS, PHYSIOLOGIC</v>
      </c>
      <c r="L598" s="4" t="str">
        <f>_xlfn.IFNA(VLOOKUP($J598,WH_Data[],3,FALSE),"")</f>
        <v>PHILIPS MEDICAL SYSTEMS AUSTRA</v>
      </c>
      <c r="M598" s="4" t="str">
        <f>_xlfn.IFNA(VLOOKUP($J598,WH_Data[],5,FALSE),"")</f>
        <v>IntelliVue MX800</v>
      </c>
      <c r="N598" s="4" t="str">
        <f>_xlfn.IFNA(VLOOKUP($J598,WH_Data[],7,FALSE),"")</f>
        <v>DE50851566</v>
      </c>
      <c r="O598" s="4" t="str">
        <f>_xlfn.IFNA(VLOOKUP($J598,WH_Data[],8,FALSE),"")</f>
        <v>Resus ED FH</v>
      </c>
      <c r="P598" s="8">
        <v>1</v>
      </c>
      <c r="Q598" s="300">
        <v>1</v>
      </c>
      <c r="R598" s="66" t="s">
        <v>905</v>
      </c>
      <c r="S598" s="306" t="s">
        <v>938</v>
      </c>
      <c r="T598" s="303">
        <v>13193</v>
      </c>
      <c r="U598" s="303">
        <v>874</v>
      </c>
      <c r="V598" s="303">
        <v>1159</v>
      </c>
      <c r="W598" s="303">
        <f>Mon_ILR2[[#This Row],[Accessory Rate]]+Mon_ILR2[[#This Row],[Mounting Rate]]+Mon_ILR2[[#This Row],[Unit Rate]]*Mon_ILR2[[#This Row],[New Quantity Required ]]</f>
        <v>15226</v>
      </c>
      <c r="X598" s="246"/>
      <c r="Y598" s="302" t="s">
        <v>2156</v>
      </c>
      <c r="Z598" s="6" t="s">
        <v>128</v>
      </c>
      <c r="AA598" s="6" t="s">
        <v>46</v>
      </c>
      <c r="AB598" s="6" t="s">
        <v>47</v>
      </c>
      <c r="AC598" s="6" t="s">
        <v>48</v>
      </c>
      <c r="AD598" s="6" t="s">
        <v>49</v>
      </c>
      <c r="AE598" s="6" t="s">
        <v>50</v>
      </c>
      <c r="AF598" s="6" t="s">
        <v>50</v>
      </c>
      <c r="AG598" s="6" t="s">
        <v>50</v>
      </c>
      <c r="AH598" s="6" t="s">
        <v>50</v>
      </c>
      <c r="AI598" s="6" t="s">
        <v>132</v>
      </c>
      <c r="AJ598" s="6" t="s">
        <v>50</v>
      </c>
      <c r="AK598" s="6" t="s">
        <v>50</v>
      </c>
      <c r="AL598" s="6" t="s">
        <v>52</v>
      </c>
      <c r="AM598" s="6" t="s">
        <v>53</v>
      </c>
      <c r="AN598" s="6" t="s">
        <v>133</v>
      </c>
      <c r="AO598" s="6" t="s">
        <v>54</v>
      </c>
    </row>
    <row r="599" spans="2:41" ht="135" x14ac:dyDescent="0.25">
      <c r="B599" s="207" t="s">
        <v>275</v>
      </c>
      <c r="C599" s="66" t="s">
        <v>276</v>
      </c>
      <c r="D599" s="4" t="s">
        <v>285</v>
      </c>
      <c r="E599" s="4" t="s">
        <v>1072</v>
      </c>
      <c r="F599" s="4" t="s">
        <v>932</v>
      </c>
      <c r="G599" s="4" t="s">
        <v>278</v>
      </c>
      <c r="H599" s="208">
        <v>1</v>
      </c>
      <c r="I599" s="4"/>
      <c r="J599" s="46" t="s">
        <v>283</v>
      </c>
      <c r="K599" s="4" t="str">
        <f>_xlfn.IFNA(VLOOKUP($J599,WH_Data[],6,FALSE),"")</f>
        <v>MONITORING SYSTEMS, PHYSIOLOGIC</v>
      </c>
      <c r="L599" s="4" t="str">
        <f>_xlfn.IFNA(VLOOKUP($J599,WH_Data[],3,FALSE),"")</f>
        <v>PHILIPS MEDICAL SYSTEMS AUSTRA</v>
      </c>
      <c r="M599" s="4" t="str">
        <f>_xlfn.IFNA(VLOOKUP($J599,WH_Data[],5,FALSE),"")</f>
        <v>IntelliVue MX800</v>
      </c>
      <c r="N599" s="4" t="str">
        <f>_xlfn.IFNA(VLOOKUP($J599,WH_Data[],7,FALSE),"")</f>
        <v>DE50851547</v>
      </c>
      <c r="O599" s="4" t="str">
        <f>_xlfn.IFNA(VLOOKUP($J599,WH_Data[],8,FALSE),"")</f>
        <v>Resus ED FH</v>
      </c>
      <c r="P599" s="8">
        <v>1</v>
      </c>
      <c r="Q599" s="300">
        <v>1</v>
      </c>
      <c r="R599" s="66" t="s">
        <v>905</v>
      </c>
      <c r="S599" s="306" t="s">
        <v>938</v>
      </c>
      <c r="T599" s="303">
        <v>13193</v>
      </c>
      <c r="U599" s="303">
        <v>874</v>
      </c>
      <c r="V599" s="303">
        <v>1159</v>
      </c>
      <c r="W599" s="303">
        <f>Mon_ILR2[[#This Row],[Accessory Rate]]+Mon_ILR2[[#This Row],[Mounting Rate]]+Mon_ILR2[[#This Row],[Unit Rate]]*Mon_ILR2[[#This Row],[New Quantity Required ]]</f>
        <v>15226</v>
      </c>
      <c r="X599" s="246"/>
      <c r="Y599" s="302" t="s">
        <v>2156</v>
      </c>
      <c r="Z599" s="6" t="s">
        <v>128</v>
      </c>
      <c r="AA599" s="6" t="s">
        <v>46</v>
      </c>
      <c r="AB599" s="6" t="s">
        <v>47</v>
      </c>
      <c r="AC599" s="6" t="s">
        <v>48</v>
      </c>
      <c r="AD599" s="6" t="s">
        <v>49</v>
      </c>
      <c r="AE599" s="6" t="s">
        <v>50</v>
      </c>
      <c r="AF599" s="6" t="s">
        <v>50</v>
      </c>
      <c r="AG599" s="6" t="s">
        <v>50</v>
      </c>
      <c r="AH599" s="6" t="s">
        <v>50</v>
      </c>
      <c r="AI599" s="6" t="s">
        <v>132</v>
      </c>
      <c r="AJ599" s="6" t="s">
        <v>50</v>
      </c>
      <c r="AK599" s="6" t="s">
        <v>50</v>
      </c>
      <c r="AL599" s="6" t="s">
        <v>52</v>
      </c>
      <c r="AM599" s="6" t="s">
        <v>53</v>
      </c>
      <c r="AN599" s="6" t="s">
        <v>133</v>
      </c>
      <c r="AO599" s="6" t="s">
        <v>54</v>
      </c>
    </row>
    <row r="600" spans="2:41" ht="120" x14ac:dyDescent="0.25">
      <c r="B600" s="207" t="s">
        <v>275</v>
      </c>
      <c r="C600" s="66" t="s">
        <v>288</v>
      </c>
      <c r="D600" s="4" t="s">
        <v>289</v>
      </c>
      <c r="E600" s="4" t="s">
        <v>1072</v>
      </c>
      <c r="F600" s="4" t="s">
        <v>932</v>
      </c>
      <c r="G600" s="4" t="s">
        <v>278</v>
      </c>
      <c r="H600" s="208">
        <v>1</v>
      </c>
      <c r="I600" s="4"/>
      <c r="J600" s="15"/>
      <c r="K600" s="4" t="str">
        <f>_xlfn.IFNA(VLOOKUP($J600,WH_Data[],6,FALSE),"")</f>
        <v/>
      </c>
      <c r="L600" s="4" t="str">
        <f>_xlfn.IFNA(VLOOKUP($J600,WH_Data[],3,FALSE),"")</f>
        <v/>
      </c>
      <c r="M600" s="4" t="str">
        <f>_xlfn.IFNA(VLOOKUP($J600,WH_Data[],5,FALSE),"")</f>
        <v/>
      </c>
      <c r="N600" s="4" t="str">
        <f>_xlfn.IFNA(VLOOKUP($J600,WH_Data[],7,FALSE),"")</f>
        <v/>
      </c>
      <c r="O600" s="4" t="str">
        <f>_xlfn.IFNA(VLOOKUP($J600,WH_Data[],8,FALSE),"")</f>
        <v/>
      </c>
      <c r="P600" s="8"/>
      <c r="Q600" s="209">
        <f>Mon_ILR2[[#This Row],[Qty Required]]-Mon_ILR2[[#This Row],[QTY Transfer]]</f>
        <v>1</v>
      </c>
      <c r="R600" s="66" t="s">
        <v>905</v>
      </c>
      <c r="S600" s="66" t="s">
        <v>938</v>
      </c>
      <c r="T600" s="210">
        <v>13193</v>
      </c>
      <c r="U600" s="210">
        <v>874</v>
      </c>
      <c r="V600" s="210">
        <v>1659</v>
      </c>
      <c r="W600" s="210">
        <f>Mon_ILR2[[#This Row],[Accessory Rate]]+Mon_ILR2[[#This Row],[Mounting Rate]]+Mon_ILR2[[#This Row],[Unit Rate]]*Mon_ILR2[[#This Row],[New Quantity Required ]]</f>
        <v>15726</v>
      </c>
      <c r="X600" s="8"/>
      <c r="Y600" s="257" t="s">
        <v>1173</v>
      </c>
      <c r="Z600" s="6" t="s">
        <v>128</v>
      </c>
      <c r="AA600" s="6" t="s">
        <v>46</v>
      </c>
      <c r="AB600" s="6" t="s">
        <v>47</v>
      </c>
      <c r="AC600" s="6" t="s">
        <v>48</v>
      </c>
      <c r="AD600" s="6" t="s">
        <v>49</v>
      </c>
      <c r="AE600" s="6" t="s">
        <v>50</v>
      </c>
      <c r="AF600" s="6" t="s">
        <v>50</v>
      </c>
      <c r="AG600" s="6" t="s">
        <v>50</v>
      </c>
      <c r="AH600" s="6" t="s">
        <v>50</v>
      </c>
      <c r="AI600" s="6" t="s">
        <v>132</v>
      </c>
      <c r="AJ600" s="6" t="s">
        <v>50</v>
      </c>
      <c r="AK600" s="6" t="s">
        <v>50</v>
      </c>
      <c r="AL600" s="6" t="s">
        <v>52</v>
      </c>
      <c r="AM600" s="6" t="s">
        <v>53</v>
      </c>
      <c r="AN600" s="6" t="s">
        <v>133</v>
      </c>
      <c r="AO600" s="6" t="s">
        <v>54</v>
      </c>
    </row>
    <row r="601" spans="2:41" ht="120" x14ac:dyDescent="0.25">
      <c r="B601" s="207" t="s">
        <v>275</v>
      </c>
      <c r="C601" s="66" t="s">
        <v>276</v>
      </c>
      <c r="D601" s="4" t="s">
        <v>292</v>
      </c>
      <c r="E601" s="4" t="s">
        <v>1072</v>
      </c>
      <c r="F601" s="4" t="s">
        <v>932</v>
      </c>
      <c r="G601" s="4" t="s">
        <v>278</v>
      </c>
      <c r="H601" s="208">
        <v>1</v>
      </c>
      <c r="I601" s="4"/>
      <c r="J601" s="15"/>
      <c r="K601" s="4" t="str">
        <f>_xlfn.IFNA(VLOOKUP($J601,WH_Data[],6,FALSE),"")</f>
        <v/>
      </c>
      <c r="L601" s="4" t="str">
        <f>_xlfn.IFNA(VLOOKUP($J601,WH_Data[],3,FALSE),"")</f>
        <v/>
      </c>
      <c r="M601" s="4" t="str">
        <f>_xlfn.IFNA(VLOOKUP($J601,WH_Data[],5,FALSE),"")</f>
        <v/>
      </c>
      <c r="N601" s="4" t="str">
        <f>_xlfn.IFNA(VLOOKUP($J601,WH_Data[],7,FALSE),"")</f>
        <v/>
      </c>
      <c r="O601" s="4" t="str">
        <f>_xlfn.IFNA(VLOOKUP($J601,WH_Data[],8,FALSE),"")</f>
        <v/>
      </c>
      <c r="P601" s="8"/>
      <c r="Q601" s="209">
        <f>Mon_ILR2[[#This Row],[Qty Required]]-Mon_ILR2[[#This Row],[QTY Transfer]]</f>
        <v>1</v>
      </c>
      <c r="R601" s="66" t="s">
        <v>905</v>
      </c>
      <c r="S601" s="66" t="s">
        <v>938</v>
      </c>
      <c r="T601" s="210">
        <v>13193</v>
      </c>
      <c r="U601" s="210">
        <v>874</v>
      </c>
      <c r="V601" s="210">
        <v>1659</v>
      </c>
      <c r="W601" s="210">
        <f>Mon_ILR2[[#This Row],[Accessory Rate]]+Mon_ILR2[[#This Row],[Mounting Rate]]+Mon_ILR2[[#This Row],[Unit Rate]]*Mon_ILR2[[#This Row],[New Quantity Required ]]</f>
        <v>15726</v>
      </c>
      <c r="X601" s="8"/>
      <c r="Y601" s="257" t="s">
        <v>1173</v>
      </c>
      <c r="Z601" s="6" t="s">
        <v>128</v>
      </c>
      <c r="AA601" s="6" t="s">
        <v>46</v>
      </c>
      <c r="AB601" s="6" t="s">
        <v>47</v>
      </c>
      <c r="AC601" s="6" t="s">
        <v>48</v>
      </c>
      <c r="AD601" s="6" t="s">
        <v>49</v>
      </c>
      <c r="AE601" s="6" t="s">
        <v>50</v>
      </c>
      <c r="AF601" s="6" t="s">
        <v>50</v>
      </c>
      <c r="AG601" s="6" t="s">
        <v>50</v>
      </c>
      <c r="AH601" s="6" t="s">
        <v>50</v>
      </c>
      <c r="AI601" s="6" t="s">
        <v>132</v>
      </c>
      <c r="AJ601" s="6" t="s">
        <v>50</v>
      </c>
      <c r="AK601" s="6" t="s">
        <v>50</v>
      </c>
      <c r="AL601" s="6" t="s">
        <v>52</v>
      </c>
      <c r="AM601" s="6" t="s">
        <v>53</v>
      </c>
      <c r="AN601" s="6" t="s">
        <v>133</v>
      </c>
      <c r="AO601" s="6" t="s">
        <v>54</v>
      </c>
    </row>
    <row r="602" spans="2:41" ht="120" customHeight="1" x14ac:dyDescent="0.25">
      <c r="B602" s="207" t="s">
        <v>299</v>
      </c>
      <c r="C602" s="66" t="s">
        <v>305</v>
      </c>
      <c r="D602" s="4" t="s">
        <v>306</v>
      </c>
      <c r="E602" s="4" t="s">
        <v>1072</v>
      </c>
      <c r="F602" s="4" t="s">
        <v>932</v>
      </c>
      <c r="G602" s="4" t="s">
        <v>278</v>
      </c>
      <c r="H602" s="208">
        <v>1</v>
      </c>
      <c r="I602" s="4"/>
      <c r="J602" s="15"/>
      <c r="K602" s="4" t="str">
        <f>_xlfn.IFNA(VLOOKUP($J602,WH_Data[],6,FALSE),"")</f>
        <v/>
      </c>
      <c r="L602" s="4" t="str">
        <f>_xlfn.IFNA(VLOOKUP($J602,WH_Data[],3,FALSE),"")</f>
        <v/>
      </c>
      <c r="M602" s="4" t="str">
        <f>_xlfn.IFNA(VLOOKUP($J602,WH_Data[],5,FALSE),"")</f>
        <v/>
      </c>
      <c r="N602" s="4" t="str">
        <f>_xlfn.IFNA(VLOOKUP($J602,WH_Data[],7,FALSE),"")</f>
        <v/>
      </c>
      <c r="O602" s="4" t="str">
        <f>_xlfn.IFNA(VLOOKUP($J602,WH_Data[],8,FALSE),"")</f>
        <v/>
      </c>
      <c r="P602" s="8"/>
      <c r="Q602" s="209">
        <f>Mon_ILR2[[#This Row],[Qty Required]]-Mon_ILR2[[#This Row],[QTY Transfer]]</f>
        <v>1</v>
      </c>
      <c r="R602" s="66" t="s">
        <v>905</v>
      </c>
      <c r="S602" s="66" t="s">
        <v>938</v>
      </c>
      <c r="T602" s="210">
        <f>_xlfn.IFNA(VLOOKUP(Mon_ILR2[[#This Row],[New Model]],PhilipsLibary[],4,FALSE),"0")</f>
        <v>12153</v>
      </c>
      <c r="U602" s="210">
        <v>835</v>
      </c>
      <c r="V602" s="210">
        <v>1879</v>
      </c>
      <c r="W602" s="210">
        <f>Mon_ILR2[[#This Row],[Accessory Rate]]+Mon_ILR2[[#This Row],[Mounting Rate]]+Mon_ILR2[[#This Row],[Unit Rate]]*Mon_ILR2[[#This Row],[New Quantity Required ]]</f>
        <v>14867</v>
      </c>
      <c r="X602" s="8"/>
      <c r="Y602" s="246" t="s">
        <v>988</v>
      </c>
      <c r="Z602" s="6" t="s">
        <v>128</v>
      </c>
      <c r="AA602" s="6" t="s">
        <v>46</v>
      </c>
      <c r="AB602" s="6" t="s">
        <v>47</v>
      </c>
      <c r="AC602" s="6" t="s">
        <v>48</v>
      </c>
      <c r="AD602" s="6" t="s">
        <v>49</v>
      </c>
      <c r="AE602" s="6" t="s">
        <v>50</v>
      </c>
      <c r="AF602" s="6" t="s">
        <v>50</v>
      </c>
      <c r="AG602" s="6" t="s">
        <v>50</v>
      </c>
      <c r="AH602" s="6" t="s">
        <v>50</v>
      </c>
      <c r="AI602" s="6" t="s">
        <v>132</v>
      </c>
      <c r="AJ602" s="6" t="s">
        <v>50</v>
      </c>
      <c r="AK602" s="6" t="s">
        <v>50</v>
      </c>
      <c r="AL602" s="6" t="s">
        <v>52</v>
      </c>
      <c r="AM602" s="6" t="s">
        <v>53</v>
      </c>
      <c r="AN602" s="6" t="s">
        <v>133</v>
      </c>
      <c r="AO602" s="6" t="s">
        <v>54</v>
      </c>
    </row>
    <row r="603" spans="2:41" ht="90" x14ac:dyDescent="0.25">
      <c r="B603" s="207" t="s">
        <v>299</v>
      </c>
      <c r="C603" s="66" t="s">
        <v>305</v>
      </c>
      <c r="D603" s="4" t="s">
        <v>309</v>
      </c>
      <c r="E603" s="4" t="s">
        <v>1072</v>
      </c>
      <c r="F603" s="4" t="s">
        <v>932</v>
      </c>
      <c r="G603" s="4" t="s">
        <v>278</v>
      </c>
      <c r="H603" s="208">
        <v>1</v>
      </c>
      <c r="I603" s="4"/>
      <c r="J603" s="15"/>
      <c r="K603" s="4" t="str">
        <f>_xlfn.IFNA(VLOOKUP($J603,WH_Data[],6,FALSE),"")</f>
        <v/>
      </c>
      <c r="L603" s="4" t="str">
        <f>_xlfn.IFNA(VLOOKUP($J603,WH_Data[],3,FALSE),"")</f>
        <v/>
      </c>
      <c r="M603" s="4" t="str">
        <f>_xlfn.IFNA(VLOOKUP($J603,WH_Data[],5,FALSE),"")</f>
        <v/>
      </c>
      <c r="N603" s="4" t="str">
        <f>_xlfn.IFNA(VLOOKUP($J603,WH_Data[],7,FALSE),"")</f>
        <v/>
      </c>
      <c r="O603" s="4" t="str">
        <f>_xlfn.IFNA(VLOOKUP($J603,WH_Data[],8,FALSE),"")</f>
        <v/>
      </c>
      <c r="P603" s="8"/>
      <c r="Q603" s="209">
        <f>Mon_ILR2[[#This Row],[Qty Required]]-Mon_ILR2[[#This Row],[QTY Transfer]]</f>
        <v>1</v>
      </c>
      <c r="R603" s="66" t="s">
        <v>905</v>
      </c>
      <c r="S603" s="66" t="s">
        <v>938</v>
      </c>
      <c r="T603" s="210">
        <f>_xlfn.IFNA(VLOOKUP(Mon_ILR2[[#This Row],[New Model]],PhilipsLibary[],4,FALSE),"0")</f>
        <v>12153</v>
      </c>
      <c r="U603" s="210">
        <v>835</v>
      </c>
      <c r="V603" s="210">
        <v>1879</v>
      </c>
      <c r="W603" s="210">
        <f>Mon_ILR2[[#This Row],[Accessory Rate]]+Mon_ILR2[[#This Row],[Mounting Rate]]+Mon_ILR2[[#This Row],[Unit Rate]]*Mon_ILR2[[#This Row],[New Quantity Required ]]</f>
        <v>14867</v>
      </c>
      <c r="X603" s="8"/>
      <c r="Y603" s="246" t="s">
        <v>988</v>
      </c>
      <c r="Z603" s="6" t="s">
        <v>128</v>
      </c>
      <c r="AA603" s="6" t="s">
        <v>46</v>
      </c>
      <c r="AB603" s="6" t="s">
        <v>47</v>
      </c>
      <c r="AC603" s="6" t="s">
        <v>48</v>
      </c>
      <c r="AD603" s="6" t="s">
        <v>49</v>
      </c>
      <c r="AE603" s="6" t="s">
        <v>50</v>
      </c>
      <c r="AF603" s="6" t="s">
        <v>50</v>
      </c>
      <c r="AG603" s="6" t="s">
        <v>50</v>
      </c>
      <c r="AH603" s="6" t="s">
        <v>50</v>
      </c>
      <c r="AI603" s="6" t="s">
        <v>132</v>
      </c>
      <c r="AJ603" s="6" t="s">
        <v>50</v>
      </c>
      <c r="AK603" s="6" t="s">
        <v>50</v>
      </c>
      <c r="AL603" s="6" t="s">
        <v>52</v>
      </c>
      <c r="AM603" s="6" t="s">
        <v>53</v>
      </c>
      <c r="AN603" s="6" t="s">
        <v>133</v>
      </c>
      <c r="AO603" s="6" t="s">
        <v>54</v>
      </c>
    </row>
    <row r="604" spans="2:41" ht="135" x14ac:dyDescent="0.25">
      <c r="B604" s="207" t="s">
        <v>299</v>
      </c>
      <c r="C604" s="66" t="s">
        <v>305</v>
      </c>
      <c r="D604" s="4" t="s">
        <v>311</v>
      </c>
      <c r="E604" s="4" t="s">
        <v>1072</v>
      </c>
      <c r="F604" s="4" t="s">
        <v>932</v>
      </c>
      <c r="G604" s="4" t="s">
        <v>278</v>
      </c>
      <c r="H604" s="208">
        <v>1</v>
      </c>
      <c r="I604" s="4"/>
      <c r="J604" s="15" t="s">
        <v>332</v>
      </c>
      <c r="K604" s="4" t="str">
        <f>_xlfn.IFNA(VLOOKUP($J604,WH_Data[],6,FALSE),"")</f>
        <v>MONITORING SYSTEMS, PHYSIOLOGIC</v>
      </c>
      <c r="L604" s="4" t="str">
        <f>_xlfn.IFNA(VLOOKUP($J604,WH_Data[],3,FALSE),"")</f>
        <v>PHILIPS MEDICAL SYSTEMS AUSTRA</v>
      </c>
      <c r="M604" s="4" t="str">
        <f>_xlfn.IFNA(VLOOKUP($J604,WH_Data[],5,FALSE),"")</f>
        <v>IntelliVue MX750</v>
      </c>
      <c r="N604" s="4" t="str">
        <f>_xlfn.IFNA(VLOOKUP($J604,WH_Data[],7,FALSE),"")</f>
        <v>DE71317303</v>
      </c>
      <c r="O604" s="4" t="str">
        <f>_xlfn.IFNA(VLOOKUP($J604,WH_Data[],8,FALSE),"")</f>
        <v>ICU FH</v>
      </c>
      <c r="P604" s="8">
        <v>1</v>
      </c>
      <c r="Q604" s="209">
        <f>Mon_ILR2[[#This Row],[Qty Required]]-Mon_ILR2[[#This Row],[QTY Transfer]]</f>
        <v>0</v>
      </c>
      <c r="R604" s="66" t="s">
        <v>905</v>
      </c>
      <c r="S604" s="66" t="s">
        <v>938</v>
      </c>
      <c r="T604" s="210">
        <v>0</v>
      </c>
      <c r="U604" s="210">
        <v>835</v>
      </c>
      <c r="V604" s="210">
        <v>1159</v>
      </c>
      <c r="W604" s="210">
        <f>Mon_ILR2[[#This Row],[Accessory Rate]]+Mon_ILR2[[#This Row],[Mounting Rate]]+Mon_ILR2[[#This Row],[Unit Rate]]*Mon_ILR2[[#This Row],[New Quantity Required ]]</f>
        <v>1994</v>
      </c>
      <c r="X604" s="246" t="s">
        <v>1174</v>
      </c>
      <c r="Y604" s="246" t="s">
        <v>988</v>
      </c>
      <c r="Z604" s="6" t="s">
        <v>128</v>
      </c>
      <c r="AA604" s="6" t="s">
        <v>46</v>
      </c>
      <c r="AB604" s="6" t="s">
        <v>47</v>
      </c>
      <c r="AC604" s="6" t="s">
        <v>48</v>
      </c>
      <c r="AD604" s="6" t="s">
        <v>49</v>
      </c>
      <c r="AE604" s="6" t="s">
        <v>50</v>
      </c>
      <c r="AF604" s="6" t="s">
        <v>50</v>
      </c>
      <c r="AG604" s="6" t="s">
        <v>50</v>
      </c>
      <c r="AH604" s="6" t="s">
        <v>50</v>
      </c>
      <c r="AI604" s="6" t="s">
        <v>132</v>
      </c>
      <c r="AJ604" s="6" t="s">
        <v>50</v>
      </c>
      <c r="AK604" s="6" t="s">
        <v>50</v>
      </c>
      <c r="AL604" s="6" t="s">
        <v>52</v>
      </c>
      <c r="AM604" s="6" t="s">
        <v>53</v>
      </c>
      <c r="AN604" s="6" t="s">
        <v>133</v>
      </c>
      <c r="AO604" s="6" t="s">
        <v>54</v>
      </c>
    </row>
    <row r="605" spans="2:41" ht="135" x14ac:dyDescent="0.25">
      <c r="B605" s="207" t="s">
        <v>299</v>
      </c>
      <c r="C605" s="66" t="s">
        <v>313</v>
      </c>
      <c r="D605" s="4" t="s">
        <v>314</v>
      </c>
      <c r="E605" s="4" t="s">
        <v>1072</v>
      </c>
      <c r="F605" s="4" t="s">
        <v>932</v>
      </c>
      <c r="G605" s="4" t="s">
        <v>278</v>
      </c>
      <c r="H605" s="208">
        <v>1</v>
      </c>
      <c r="I605" s="4"/>
      <c r="J605" s="15" t="s">
        <v>330</v>
      </c>
      <c r="K605" s="4" t="str">
        <f>_xlfn.IFNA(VLOOKUP($J605,WH_Data[],6,FALSE),"")</f>
        <v>MONITORING SYSTEMS, PHYSIOLOGIC</v>
      </c>
      <c r="L605" s="4" t="str">
        <f>_xlfn.IFNA(VLOOKUP($J605,WH_Data[],3,FALSE),"")</f>
        <v>PHILIPS MEDICAL SYSTEMS AUSTRA</v>
      </c>
      <c r="M605" s="4" t="str">
        <f>_xlfn.IFNA(VLOOKUP($J605,WH_Data[],5,FALSE),"")</f>
        <v>IntelliVue MX750</v>
      </c>
      <c r="N605" s="4" t="str">
        <f>_xlfn.IFNA(VLOOKUP($J605,WH_Data[],7,FALSE),"")</f>
        <v>DE71317286</v>
      </c>
      <c r="O605" s="4" t="str">
        <f>_xlfn.IFNA(VLOOKUP($J605,WH_Data[],8,FALSE),"")</f>
        <v>ICU FH</v>
      </c>
      <c r="P605" s="8">
        <v>1</v>
      </c>
      <c r="Q605" s="209">
        <f>Mon_ILR2[[#This Row],[Qty Required]]-Mon_ILR2[[#This Row],[QTY Transfer]]</f>
        <v>0</v>
      </c>
      <c r="R605" s="66" t="s">
        <v>905</v>
      </c>
      <c r="S605" s="66" t="s">
        <v>938</v>
      </c>
      <c r="T605" s="210">
        <v>0</v>
      </c>
      <c r="U605" s="210">
        <v>835</v>
      </c>
      <c r="V605" s="210">
        <v>1159</v>
      </c>
      <c r="W605" s="210">
        <f>Mon_ILR2[[#This Row],[Accessory Rate]]+Mon_ILR2[[#This Row],[Mounting Rate]]+Mon_ILR2[[#This Row],[Unit Rate]]*Mon_ILR2[[#This Row],[New Quantity Required ]]</f>
        <v>1994</v>
      </c>
      <c r="X605" s="246" t="s">
        <v>1174</v>
      </c>
      <c r="Y605" s="246" t="s">
        <v>988</v>
      </c>
      <c r="Z605" s="6" t="s">
        <v>128</v>
      </c>
      <c r="AA605" s="6" t="s">
        <v>46</v>
      </c>
      <c r="AB605" s="6" t="s">
        <v>47</v>
      </c>
      <c r="AC605" s="6" t="s">
        <v>48</v>
      </c>
      <c r="AD605" s="6" t="s">
        <v>49</v>
      </c>
      <c r="AE605" s="6" t="s">
        <v>50</v>
      </c>
      <c r="AF605" s="6" t="s">
        <v>50</v>
      </c>
      <c r="AG605" s="6" t="s">
        <v>50</v>
      </c>
      <c r="AH605" s="6" t="s">
        <v>50</v>
      </c>
      <c r="AI605" s="6" t="s">
        <v>132</v>
      </c>
      <c r="AJ605" s="6" t="s">
        <v>50</v>
      </c>
      <c r="AK605" s="6" t="s">
        <v>50</v>
      </c>
      <c r="AL605" s="6" t="s">
        <v>52</v>
      </c>
      <c r="AM605" s="6" t="s">
        <v>53</v>
      </c>
      <c r="AN605" s="6" t="s">
        <v>133</v>
      </c>
      <c r="AO605" s="6" t="s">
        <v>54</v>
      </c>
    </row>
    <row r="606" spans="2:41" ht="135" x14ac:dyDescent="0.25">
      <c r="B606" s="207" t="s">
        <v>299</v>
      </c>
      <c r="C606" s="66" t="s">
        <v>313</v>
      </c>
      <c r="D606" s="4" t="s">
        <v>317</v>
      </c>
      <c r="E606" s="4" t="s">
        <v>1072</v>
      </c>
      <c r="F606" s="4" t="s">
        <v>932</v>
      </c>
      <c r="G606" s="4" t="s">
        <v>278</v>
      </c>
      <c r="H606" s="208">
        <v>1</v>
      </c>
      <c r="I606" s="4"/>
      <c r="J606" s="15" t="s">
        <v>307</v>
      </c>
      <c r="K606" s="4" t="str">
        <f>_xlfn.IFNA(VLOOKUP($J606,WH_Data[],6,FALSE),"")</f>
        <v>MONITORING SYSTEMS, PHYSIOLOGIC</v>
      </c>
      <c r="L606" s="4" t="str">
        <f>_xlfn.IFNA(VLOOKUP($J606,WH_Data[],3,FALSE),"")</f>
        <v>PHILIPS MEDICAL SYSTEMS AUSTRA</v>
      </c>
      <c r="M606" s="4" t="str">
        <f>_xlfn.IFNA(VLOOKUP($J606,WH_Data[],5,FALSE),"")</f>
        <v>IntelliVue MX750</v>
      </c>
      <c r="N606" s="4" t="str">
        <f>_xlfn.IFNA(VLOOKUP($J606,WH_Data[],7,FALSE),"")</f>
        <v>DE71317297</v>
      </c>
      <c r="O606" s="4" t="str">
        <f>_xlfn.IFNA(VLOOKUP($J606,WH_Data[],8,FALSE),"")</f>
        <v>ICU FH</v>
      </c>
      <c r="P606" s="8">
        <v>1</v>
      </c>
      <c r="Q606" s="209">
        <f>Mon_ILR2[[#This Row],[Qty Required]]-Mon_ILR2[[#This Row],[QTY Transfer]]</f>
        <v>0</v>
      </c>
      <c r="R606" s="66" t="s">
        <v>905</v>
      </c>
      <c r="S606" s="66" t="s">
        <v>938</v>
      </c>
      <c r="T606" s="210">
        <v>0</v>
      </c>
      <c r="U606" s="210">
        <v>835</v>
      </c>
      <c r="V606" s="210">
        <v>1159</v>
      </c>
      <c r="W606" s="210">
        <f>Mon_ILR2[[#This Row],[Accessory Rate]]+Mon_ILR2[[#This Row],[Mounting Rate]]+Mon_ILR2[[#This Row],[Unit Rate]]*Mon_ILR2[[#This Row],[New Quantity Required ]]</f>
        <v>1994</v>
      </c>
      <c r="X606" s="246" t="s">
        <v>1174</v>
      </c>
      <c r="Y606" s="246" t="s">
        <v>988</v>
      </c>
      <c r="Z606" s="6" t="s">
        <v>128</v>
      </c>
      <c r="AA606" s="6" t="s">
        <v>46</v>
      </c>
      <c r="AB606" s="6" t="s">
        <v>47</v>
      </c>
      <c r="AC606" s="6" t="s">
        <v>48</v>
      </c>
      <c r="AD606" s="6" t="s">
        <v>49</v>
      </c>
      <c r="AE606" s="6" t="s">
        <v>50</v>
      </c>
      <c r="AF606" s="6" t="s">
        <v>50</v>
      </c>
      <c r="AG606" s="6" t="s">
        <v>50</v>
      </c>
      <c r="AH606" s="6" t="s">
        <v>50</v>
      </c>
      <c r="AI606" s="6" t="s">
        <v>132</v>
      </c>
      <c r="AJ606" s="6" t="s">
        <v>50</v>
      </c>
      <c r="AK606" s="6" t="s">
        <v>50</v>
      </c>
      <c r="AL606" s="6" t="s">
        <v>52</v>
      </c>
      <c r="AM606" s="6" t="s">
        <v>53</v>
      </c>
      <c r="AN606" s="6" t="s">
        <v>133</v>
      </c>
      <c r="AO606" s="6" t="s">
        <v>54</v>
      </c>
    </row>
    <row r="607" spans="2:41" ht="135" x14ac:dyDescent="0.25">
      <c r="B607" s="207" t="s">
        <v>299</v>
      </c>
      <c r="C607" s="66" t="s">
        <v>313</v>
      </c>
      <c r="D607" s="4" t="s">
        <v>319</v>
      </c>
      <c r="E607" s="4" t="s">
        <v>1072</v>
      </c>
      <c r="F607" s="4" t="s">
        <v>932</v>
      </c>
      <c r="G607" s="4" t="s">
        <v>278</v>
      </c>
      <c r="H607" s="208">
        <v>1</v>
      </c>
      <c r="I607" s="4"/>
      <c r="J607" s="15" t="s">
        <v>312</v>
      </c>
      <c r="K607" s="4" t="str">
        <f>_xlfn.IFNA(VLOOKUP($J607,WH_Data[],6,FALSE),"")</f>
        <v>MONITORING SYSTEMS, PHYSIOLOGIC</v>
      </c>
      <c r="L607" s="4" t="str">
        <f>_xlfn.IFNA(VLOOKUP($J607,WH_Data[],3,FALSE),"")</f>
        <v>PHILIPS MEDICAL SYSTEMS AUSTRA</v>
      </c>
      <c r="M607" s="4" t="str">
        <f>_xlfn.IFNA(VLOOKUP($J607,WH_Data[],5,FALSE),"")</f>
        <v>IntelliVue MX750</v>
      </c>
      <c r="N607" s="4" t="str">
        <f>_xlfn.IFNA(VLOOKUP($J607,WH_Data[],7,FALSE),"")</f>
        <v>DE71317294</v>
      </c>
      <c r="O607" s="4" t="str">
        <f>_xlfn.IFNA(VLOOKUP($J607,WH_Data[],8,FALSE),"")</f>
        <v>ICU FH</v>
      </c>
      <c r="P607" s="8">
        <v>1</v>
      </c>
      <c r="Q607" s="209">
        <f>Mon_ILR2[[#This Row],[Qty Required]]-Mon_ILR2[[#This Row],[QTY Transfer]]</f>
        <v>0</v>
      </c>
      <c r="R607" s="66" t="s">
        <v>905</v>
      </c>
      <c r="S607" s="66" t="s">
        <v>938</v>
      </c>
      <c r="T607" s="210">
        <v>0</v>
      </c>
      <c r="U607" s="210">
        <v>835</v>
      </c>
      <c r="V607" s="210">
        <v>1159</v>
      </c>
      <c r="W607" s="210">
        <f>Mon_ILR2[[#This Row],[Accessory Rate]]+Mon_ILR2[[#This Row],[Mounting Rate]]+Mon_ILR2[[#This Row],[Unit Rate]]*Mon_ILR2[[#This Row],[New Quantity Required ]]</f>
        <v>1994</v>
      </c>
      <c r="X607" s="246" t="s">
        <v>1174</v>
      </c>
      <c r="Y607" s="246" t="s">
        <v>988</v>
      </c>
      <c r="Z607" s="6" t="s">
        <v>128</v>
      </c>
      <c r="AA607" s="6" t="s">
        <v>46</v>
      </c>
      <c r="AB607" s="6" t="s">
        <v>47</v>
      </c>
      <c r="AC607" s="6" t="s">
        <v>48</v>
      </c>
      <c r="AD607" s="6" t="s">
        <v>49</v>
      </c>
      <c r="AE607" s="6" t="s">
        <v>50</v>
      </c>
      <c r="AF607" s="6" t="s">
        <v>50</v>
      </c>
      <c r="AG607" s="6" t="s">
        <v>50</v>
      </c>
      <c r="AH607" s="6" t="s">
        <v>50</v>
      </c>
      <c r="AI607" s="6" t="s">
        <v>132</v>
      </c>
      <c r="AJ607" s="6" t="s">
        <v>50</v>
      </c>
      <c r="AK607" s="6" t="s">
        <v>50</v>
      </c>
      <c r="AL607" s="6" t="s">
        <v>52</v>
      </c>
      <c r="AM607" s="6" t="s">
        <v>53</v>
      </c>
      <c r="AN607" s="6" t="s">
        <v>133</v>
      </c>
      <c r="AO607" s="6" t="s">
        <v>54</v>
      </c>
    </row>
    <row r="608" spans="2:41" ht="135" x14ac:dyDescent="0.25">
      <c r="B608" s="207" t="s">
        <v>299</v>
      </c>
      <c r="C608" s="66" t="s">
        <v>313</v>
      </c>
      <c r="D608" s="4" t="s">
        <v>322</v>
      </c>
      <c r="E608" s="4" t="s">
        <v>1072</v>
      </c>
      <c r="F608" s="4" t="s">
        <v>932</v>
      </c>
      <c r="G608" s="4" t="s">
        <v>278</v>
      </c>
      <c r="H608" s="208">
        <v>1</v>
      </c>
      <c r="I608" s="4"/>
      <c r="J608" s="15" t="s">
        <v>349</v>
      </c>
      <c r="K608" s="4" t="str">
        <f>_xlfn.IFNA(VLOOKUP($J608,WH_Data[],6,FALSE),"")</f>
        <v>MONITORING SYSTEMS, PHYSIOLOGIC</v>
      </c>
      <c r="L608" s="4" t="str">
        <f>_xlfn.IFNA(VLOOKUP($J608,WH_Data[],3,FALSE),"")</f>
        <v>PHILIPS MEDICAL SYSTEMS AUSTRA</v>
      </c>
      <c r="M608" s="4" t="str">
        <f>_xlfn.IFNA(VLOOKUP($J608,WH_Data[],5,FALSE),"")</f>
        <v>IntelliVue MX750</v>
      </c>
      <c r="N608" s="4" t="str">
        <f>_xlfn.IFNA(VLOOKUP($J608,WH_Data[],7,FALSE),"")</f>
        <v>DE71317298</v>
      </c>
      <c r="O608" s="4" t="str">
        <f>_xlfn.IFNA(VLOOKUP($J608,WH_Data[],8,FALSE),"")</f>
        <v>ICU FH</v>
      </c>
      <c r="P608" s="8">
        <v>1</v>
      </c>
      <c r="Q608" s="209">
        <f>Mon_ILR2[[#This Row],[Qty Required]]-Mon_ILR2[[#This Row],[QTY Transfer]]</f>
        <v>0</v>
      </c>
      <c r="R608" s="66" t="s">
        <v>905</v>
      </c>
      <c r="S608" s="66" t="s">
        <v>938</v>
      </c>
      <c r="T608" s="210">
        <v>0</v>
      </c>
      <c r="U608" s="210">
        <v>835</v>
      </c>
      <c r="V608" s="210">
        <v>1159</v>
      </c>
      <c r="W608" s="210">
        <f>Mon_ILR2[[#This Row],[Accessory Rate]]+Mon_ILR2[[#This Row],[Mounting Rate]]+Mon_ILR2[[#This Row],[Unit Rate]]*Mon_ILR2[[#This Row],[New Quantity Required ]]</f>
        <v>1994</v>
      </c>
      <c r="X608" s="246" t="s">
        <v>1174</v>
      </c>
      <c r="Y608" s="246" t="s">
        <v>988</v>
      </c>
      <c r="Z608" s="6" t="s">
        <v>128</v>
      </c>
      <c r="AA608" s="6" t="s">
        <v>46</v>
      </c>
      <c r="AB608" s="6" t="s">
        <v>47</v>
      </c>
      <c r="AC608" s="6" t="s">
        <v>48</v>
      </c>
      <c r="AD608" s="6" t="s">
        <v>49</v>
      </c>
      <c r="AE608" s="6" t="s">
        <v>50</v>
      </c>
      <c r="AF608" s="6" t="s">
        <v>50</v>
      </c>
      <c r="AG608" s="6" t="s">
        <v>50</v>
      </c>
      <c r="AH608" s="6" t="s">
        <v>50</v>
      </c>
      <c r="AI608" s="6" t="s">
        <v>132</v>
      </c>
      <c r="AJ608" s="6" t="s">
        <v>50</v>
      </c>
      <c r="AK608" s="6" t="s">
        <v>50</v>
      </c>
      <c r="AL608" s="6" t="s">
        <v>52</v>
      </c>
      <c r="AM608" s="6" t="s">
        <v>53</v>
      </c>
      <c r="AN608" s="6" t="s">
        <v>133</v>
      </c>
      <c r="AO608" s="6" t="s">
        <v>54</v>
      </c>
    </row>
    <row r="609" spans="2:41" ht="135" x14ac:dyDescent="0.25">
      <c r="B609" s="207" t="s">
        <v>299</v>
      </c>
      <c r="C609" s="66" t="s">
        <v>324</v>
      </c>
      <c r="D609" s="4" t="s">
        <v>325</v>
      </c>
      <c r="E609" s="4" t="s">
        <v>1072</v>
      </c>
      <c r="F609" s="4" t="s">
        <v>932</v>
      </c>
      <c r="G609" s="4" t="s">
        <v>278</v>
      </c>
      <c r="H609" s="208">
        <v>1</v>
      </c>
      <c r="I609" s="4"/>
      <c r="J609" s="15" t="s">
        <v>326</v>
      </c>
      <c r="K609" s="4" t="str">
        <f>_xlfn.IFNA(VLOOKUP($J609,WH_Data[],6,FALSE),"")</f>
        <v>MONITORING SYSTEMS, PHYSIOLOGIC</v>
      </c>
      <c r="L609" s="4" t="str">
        <f>_xlfn.IFNA(VLOOKUP($J609,WH_Data[],3,FALSE),"")</f>
        <v>PHILIPS MEDICAL SYSTEMS AUSTRA</v>
      </c>
      <c r="M609" s="4" t="str">
        <f>_xlfn.IFNA(VLOOKUP($J609,WH_Data[],5,FALSE),"")</f>
        <v>IntelliVue MX750</v>
      </c>
      <c r="N609" s="4" t="str">
        <f>_xlfn.IFNA(VLOOKUP($J609,WH_Data[],7,FALSE),"")</f>
        <v>DE71317305</v>
      </c>
      <c r="O609" s="4" t="str">
        <f>_xlfn.IFNA(VLOOKUP($J609,WH_Data[],8,FALSE),"")</f>
        <v>ICU FH</v>
      </c>
      <c r="P609" s="8">
        <v>1</v>
      </c>
      <c r="Q609" s="209">
        <f>Mon_ILR2[[#This Row],[Qty Required]]-Mon_ILR2[[#This Row],[QTY Transfer]]</f>
        <v>0</v>
      </c>
      <c r="R609" s="66" t="s">
        <v>905</v>
      </c>
      <c r="S609" s="66" t="s">
        <v>938</v>
      </c>
      <c r="T609" s="210">
        <v>0</v>
      </c>
      <c r="U609" s="210">
        <v>835</v>
      </c>
      <c r="V609" s="210">
        <v>1159</v>
      </c>
      <c r="W609" s="210">
        <f>Mon_ILR2[[#This Row],[Accessory Rate]]+Mon_ILR2[[#This Row],[Mounting Rate]]+Mon_ILR2[[#This Row],[Unit Rate]]*Mon_ILR2[[#This Row],[New Quantity Required ]]</f>
        <v>1994</v>
      </c>
      <c r="X609" s="246" t="s">
        <v>1174</v>
      </c>
      <c r="Y609" s="246" t="s">
        <v>988</v>
      </c>
      <c r="Z609" s="6" t="s">
        <v>128</v>
      </c>
      <c r="AA609" s="6" t="s">
        <v>46</v>
      </c>
      <c r="AB609" s="6" t="s">
        <v>47</v>
      </c>
      <c r="AC609" s="6" t="s">
        <v>48</v>
      </c>
      <c r="AD609" s="6" t="s">
        <v>49</v>
      </c>
      <c r="AE609" s="6" t="s">
        <v>50</v>
      </c>
      <c r="AF609" s="6" t="s">
        <v>50</v>
      </c>
      <c r="AG609" s="6" t="s">
        <v>50</v>
      </c>
      <c r="AH609" s="6" t="s">
        <v>50</v>
      </c>
      <c r="AI609" s="6" t="s">
        <v>132</v>
      </c>
      <c r="AJ609" s="6" t="s">
        <v>50</v>
      </c>
      <c r="AK609" s="6" t="s">
        <v>50</v>
      </c>
      <c r="AL609" s="6" t="s">
        <v>52</v>
      </c>
      <c r="AM609" s="6" t="s">
        <v>53</v>
      </c>
      <c r="AN609" s="6" t="s">
        <v>133</v>
      </c>
      <c r="AO609" s="6" t="s">
        <v>54</v>
      </c>
    </row>
    <row r="610" spans="2:41" ht="135" x14ac:dyDescent="0.25">
      <c r="B610" s="207" t="s">
        <v>299</v>
      </c>
      <c r="C610" s="66" t="s">
        <v>305</v>
      </c>
      <c r="D610" s="4" t="s">
        <v>327</v>
      </c>
      <c r="E610" s="4" t="s">
        <v>1072</v>
      </c>
      <c r="F610" s="4" t="s">
        <v>932</v>
      </c>
      <c r="G610" s="4" t="s">
        <v>278</v>
      </c>
      <c r="H610" s="208">
        <v>1</v>
      </c>
      <c r="I610" s="4"/>
      <c r="J610" s="15" t="s">
        <v>310</v>
      </c>
      <c r="K610" s="4" t="str">
        <f>_xlfn.IFNA(VLOOKUP($J610,WH_Data[],6,FALSE),"")</f>
        <v>MONITORING SYSTEMS, PHYSIOLOGIC</v>
      </c>
      <c r="L610" s="4" t="str">
        <f>_xlfn.IFNA(VLOOKUP($J610,WH_Data[],3,FALSE),"")</f>
        <v>PHILIPS MEDICAL SYSTEMS AUSTRA</v>
      </c>
      <c r="M610" s="4" t="str">
        <f>_xlfn.IFNA(VLOOKUP($J610,WH_Data[],5,FALSE),"")</f>
        <v>IntelliVue MX750</v>
      </c>
      <c r="N610" s="4" t="str">
        <f>_xlfn.IFNA(VLOOKUP($J610,WH_Data[],7,FALSE),"")</f>
        <v>DE71317299</v>
      </c>
      <c r="O610" s="4" t="str">
        <f>_xlfn.IFNA(VLOOKUP($J610,WH_Data[],8,FALSE),"")</f>
        <v>ICU FH</v>
      </c>
      <c r="P610" s="8">
        <v>1</v>
      </c>
      <c r="Q610" s="209">
        <f>Mon_ILR2[[#This Row],[Qty Required]]-Mon_ILR2[[#This Row],[QTY Transfer]]</f>
        <v>0</v>
      </c>
      <c r="R610" s="66" t="s">
        <v>905</v>
      </c>
      <c r="S610" s="66" t="s">
        <v>938</v>
      </c>
      <c r="T610" s="210">
        <v>0</v>
      </c>
      <c r="U610" s="210">
        <v>835</v>
      </c>
      <c r="V610" s="210">
        <v>1159</v>
      </c>
      <c r="W610" s="210">
        <f>Mon_ILR2[[#This Row],[Accessory Rate]]+Mon_ILR2[[#This Row],[Mounting Rate]]+Mon_ILR2[[#This Row],[Unit Rate]]*Mon_ILR2[[#This Row],[New Quantity Required ]]</f>
        <v>1994</v>
      </c>
      <c r="X610" s="246" t="s">
        <v>1174</v>
      </c>
      <c r="Y610" s="246" t="s">
        <v>988</v>
      </c>
      <c r="Z610" s="6" t="s">
        <v>128</v>
      </c>
      <c r="AA610" s="6" t="s">
        <v>46</v>
      </c>
      <c r="AB610" s="6" t="s">
        <v>47</v>
      </c>
      <c r="AC610" s="6" t="s">
        <v>48</v>
      </c>
      <c r="AD610" s="6" t="s">
        <v>49</v>
      </c>
      <c r="AE610" s="6" t="s">
        <v>50</v>
      </c>
      <c r="AF610" s="6" t="s">
        <v>50</v>
      </c>
      <c r="AG610" s="6" t="s">
        <v>50</v>
      </c>
      <c r="AH610" s="6" t="s">
        <v>50</v>
      </c>
      <c r="AI610" s="6" t="s">
        <v>132</v>
      </c>
      <c r="AJ610" s="6" t="s">
        <v>50</v>
      </c>
      <c r="AK610" s="6" t="s">
        <v>50</v>
      </c>
      <c r="AL610" s="6" t="s">
        <v>52</v>
      </c>
      <c r="AM610" s="6" t="s">
        <v>53</v>
      </c>
      <c r="AN610" s="6" t="s">
        <v>133</v>
      </c>
      <c r="AO610" s="6" t="s">
        <v>54</v>
      </c>
    </row>
    <row r="611" spans="2:41" ht="135" x14ac:dyDescent="0.25">
      <c r="B611" s="207" t="s">
        <v>299</v>
      </c>
      <c r="C611" s="66" t="s">
        <v>305</v>
      </c>
      <c r="D611" s="4" t="s">
        <v>329</v>
      </c>
      <c r="E611" s="4" t="s">
        <v>1072</v>
      </c>
      <c r="F611" s="4" t="s">
        <v>932</v>
      </c>
      <c r="G611" s="4" t="s">
        <v>278</v>
      </c>
      <c r="H611" s="208">
        <v>1</v>
      </c>
      <c r="I611" s="4"/>
      <c r="J611" s="15" t="s">
        <v>362</v>
      </c>
      <c r="K611" s="4" t="str">
        <f>_xlfn.IFNA(VLOOKUP($J611,WH_Data[],6,FALSE),"")</f>
        <v>MONITORING SYSTEMS, PHYSIOLOGIC</v>
      </c>
      <c r="L611" s="4" t="str">
        <f>_xlfn.IFNA(VLOOKUP($J611,WH_Data[],3,FALSE),"")</f>
        <v>PHILIPS MEDICAL SYSTEMS AUSTRA</v>
      </c>
      <c r="M611" s="4" t="str">
        <f>_xlfn.IFNA(VLOOKUP($J611,WH_Data[],5,FALSE),"")</f>
        <v>IntelliVue MX750</v>
      </c>
      <c r="N611" s="4" t="str">
        <f>_xlfn.IFNA(VLOOKUP($J611,WH_Data[],7,FALSE),"")</f>
        <v>DE71317290</v>
      </c>
      <c r="O611" s="4" t="str">
        <f>_xlfn.IFNA(VLOOKUP($J611,WH_Data[],8,FALSE),"")</f>
        <v>ICU FH</v>
      </c>
      <c r="P611" s="8">
        <v>1</v>
      </c>
      <c r="Q611" s="209">
        <f>Mon_ILR2[[#This Row],[Qty Required]]-Mon_ILR2[[#This Row],[QTY Transfer]]</f>
        <v>0</v>
      </c>
      <c r="R611" s="66" t="s">
        <v>905</v>
      </c>
      <c r="S611" s="66" t="s">
        <v>938</v>
      </c>
      <c r="T611" s="210">
        <v>0</v>
      </c>
      <c r="U611" s="210">
        <v>835</v>
      </c>
      <c r="V611" s="210">
        <v>1159</v>
      </c>
      <c r="W611" s="210">
        <f>Mon_ILR2[[#This Row],[Accessory Rate]]+Mon_ILR2[[#This Row],[Mounting Rate]]+Mon_ILR2[[#This Row],[Unit Rate]]*Mon_ILR2[[#This Row],[New Quantity Required ]]</f>
        <v>1994</v>
      </c>
      <c r="X611" s="246" t="s">
        <v>1174</v>
      </c>
      <c r="Y611" s="246" t="s">
        <v>988</v>
      </c>
      <c r="Z611" s="6" t="s">
        <v>128</v>
      </c>
      <c r="AA611" s="6" t="s">
        <v>46</v>
      </c>
      <c r="AB611" s="6" t="s">
        <v>47</v>
      </c>
      <c r="AC611" s="6" t="s">
        <v>48</v>
      </c>
      <c r="AD611" s="6" t="s">
        <v>49</v>
      </c>
      <c r="AE611" s="6" t="s">
        <v>50</v>
      </c>
      <c r="AF611" s="6" t="s">
        <v>50</v>
      </c>
      <c r="AG611" s="6" t="s">
        <v>50</v>
      </c>
      <c r="AH611" s="6" t="s">
        <v>50</v>
      </c>
      <c r="AI611" s="6" t="s">
        <v>132</v>
      </c>
      <c r="AJ611" s="6" t="s">
        <v>50</v>
      </c>
      <c r="AK611" s="6" t="s">
        <v>50</v>
      </c>
      <c r="AL611" s="6" t="s">
        <v>52</v>
      </c>
      <c r="AM611" s="6" t="s">
        <v>53</v>
      </c>
      <c r="AN611" s="6" t="s">
        <v>133</v>
      </c>
      <c r="AO611" s="6" t="s">
        <v>54</v>
      </c>
    </row>
    <row r="612" spans="2:41" ht="135" x14ac:dyDescent="0.25">
      <c r="B612" s="207" t="s">
        <v>299</v>
      </c>
      <c r="C612" s="66" t="s">
        <v>305</v>
      </c>
      <c r="D612" s="4" t="s">
        <v>331</v>
      </c>
      <c r="E612" s="4" t="s">
        <v>1072</v>
      </c>
      <c r="F612" s="4" t="s">
        <v>932</v>
      </c>
      <c r="G612" s="4" t="s">
        <v>278</v>
      </c>
      <c r="H612" s="208">
        <v>1</v>
      </c>
      <c r="I612" s="4"/>
      <c r="J612" s="15" t="s">
        <v>318</v>
      </c>
      <c r="K612" s="4" t="str">
        <f>_xlfn.IFNA(VLOOKUP($J612,WH_Data[],6,FALSE),"")</f>
        <v>MONITORING SYSTEMS, PHYSIOLOGIC</v>
      </c>
      <c r="L612" s="4" t="str">
        <f>_xlfn.IFNA(VLOOKUP($J612,WH_Data[],3,FALSE),"")</f>
        <v>PHILIPS MEDICAL SYSTEMS AUSTRA</v>
      </c>
      <c r="M612" s="4" t="str">
        <f>_xlfn.IFNA(VLOOKUP($J612,WH_Data[],5,FALSE),"")</f>
        <v>IntelliVue MX750</v>
      </c>
      <c r="N612" s="4" t="str">
        <f>_xlfn.IFNA(VLOOKUP($J612,WH_Data[],7,FALSE),"")</f>
        <v>DE71317333</v>
      </c>
      <c r="O612" s="4" t="str">
        <f>_xlfn.IFNA(VLOOKUP($J612,WH_Data[],8,FALSE),"")</f>
        <v>ICU FH</v>
      </c>
      <c r="P612" s="8">
        <v>1</v>
      </c>
      <c r="Q612" s="209">
        <f>Mon_ILR2[[#This Row],[Qty Required]]-Mon_ILR2[[#This Row],[QTY Transfer]]</f>
        <v>0</v>
      </c>
      <c r="R612" s="66" t="s">
        <v>905</v>
      </c>
      <c r="S612" s="66" t="s">
        <v>938</v>
      </c>
      <c r="T612" s="210">
        <v>0</v>
      </c>
      <c r="U612" s="210">
        <v>835</v>
      </c>
      <c r="V612" s="210">
        <v>1159</v>
      </c>
      <c r="W612" s="210">
        <f>Mon_ILR2[[#This Row],[Accessory Rate]]+Mon_ILR2[[#This Row],[Mounting Rate]]+Mon_ILR2[[#This Row],[Unit Rate]]*Mon_ILR2[[#This Row],[New Quantity Required ]]</f>
        <v>1994</v>
      </c>
      <c r="X612" s="246" t="s">
        <v>1174</v>
      </c>
      <c r="Y612" s="246" t="s">
        <v>988</v>
      </c>
      <c r="Z612" s="6" t="s">
        <v>128</v>
      </c>
      <c r="AA612" s="6" t="s">
        <v>46</v>
      </c>
      <c r="AB612" s="6" t="s">
        <v>47</v>
      </c>
      <c r="AC612" s="6" t="s">
        <v>48</v>
      </c>
      <c r="AD612" s="6" t="s">
        <v>49</v>
      </c>
      <c r="AE612" s="6" t="s">
        <v>50</v>
      </c>
      <c r="AF612" s="6" t="s">
        <v>50</v>
      </c>
      <c r="AG612" s="6" t="s">
        <v>50</v>
      </c>
      <c r="AH612" s="6" t="s">
        <v>50</v>
      </c>
      <c r="AI612" s="6" t="s">
        <v>132</v>
      </c>
      <c r="AJ612" s="6" t="s">
        <v>50</v>
      </c>
      <c r="AK612" s="6" t="s">
        <v>50</v>
      </c>
      <c r="AL612" s="6" t="s">
        <v>52</v>
      </c>
      <c r="AM612" s="6" t="s">
        <v>53</v>
      </c>
      <c r="AN612" s="6" t="s">
        <v>133</v>
      </c>
      <c r="AO612" s="6" t="s">
        <v>54</v>
      </c>
    </row>
    <row r="613" spans="2:41" ht="135" x14ac:dyDescent="0.25">
      <c r="B613" s="207" t="s">
        <v>299</v>
      </c>
      <c r="C613" s="66" t="s">
        <v>333</v>
      </c>
      <c r="D613" s="4" t="s">
        <v>334</v>
      </c>
      <c r="E613" s="4" t="s">
        <v>1072</v>
      </c>
      <c r="F613" s="4" t="s">
        <v>932</v>
      </c>
      <c r="G613" s="4" t="s">
        <v>278</v>
      </c>
      <c r="H613" s="208">
        <v>1</v>
      </c>
      <c r="I613" s="4"/>
      <c r="J613" s="15" t="s">
        <v>328</v>
      </c>
      <c r="K613" s="4" t="str">
        <f>_xlfn.IFNA(VLOOKUP($J613,WH_Data[],6,FALSE),"")</f>
        <v>MONITORING SYSTEMS, PHYSIOLOGIC</v>
      </c>
      <c r="L613" s="4" t="str">
        <f>_xlfn.IFNA(VLOOKUP($J613,WH_Data[],3,FALSE),"")</f>
        <v>PHILIPS MEDICAL SYSTEMS AUSTRA</v>
      </c>
      <c r="M613" s="4" t="str">
        <f>_xlfn.IFNA(VLOOKUP($J613,WH_Data[],5,FALSE),"")</f>
        <v>IntelliVue MX750</v>
      </c>
      <c r="N613" s="4" t="str">
        <f>_xlfn.IFNA(VLOOKUP($J613,WH_Data[],7,FALSE),"")</f>
        <v>DE71317295</v>
      </c>
      <c r="O613" s="4" t="str">
        <f>_xlfn.IFNA(VLOOKUP($J613,WH_Data[],8,FALSE),"")</f>
        <v>ICU FH</v>
      </c>
      <c r="P613" s="8">
        <v>1</v>
      </c>
      <c r="Q613" s="209">
        <f>Mon_ILR2[[#This Row],[Qty Required]]-Mon_ILR2[[#This Row],[QTY Transfer]]</f>
        <v>0</v>
      </c>
      <c r="R613" s="66" t="s">
        <v>905</v>
      </c>
      <c r="S613" s="66" t="s">
        <v>938</v>
      </c>
      <c r="T613" s="210">
        <v>0</v>
      </c>
      <c r="U613" s="210">
        <v>835</v>
      </c>
      <c r="V613" s="210">
        <v>1159</v>
      </c>
      <c r="W613" s="210">
        <f>Mon_ILR2[[#This Row],[Accessory Rate]]+Mon_ILR2[[#This Row],[Mounting Rate]]+Mon_ILR2[[#This Row],[Unit Rate]]*Mon_ILR2[[#This Row],[New Quantity Required ]]</f>
        <v>1994</v>
      </c>
      <c r="X613" s="246" t="s">
        <v>1174</v>
      </c>
      <c r="Y613" s="246" t="s">
        <v>988</v>
      </c>
      <c r="Z613" s="6" t="s">
        <v>128</v>
      </c>
      <c r="AA613" s="6" t="s">
        <v>46</v>
      </c>
      <c r="AB613" s="6" t="s">
        <v>47</v>
      </c>
      <c r="AC613" s="6" t="s">
        <v>48</v>
      </c>
      <c r="AD613" s="6" t="s">
        <v>49</v>
      </c>
      <c r="AE613" s="6" t="s">
        <v>50</v>
      </c>
      <c r="AF613" s="6" t="s">
        <v>50</v>
      </c>
      <c r="AG613" s="6" t="s">
        <v>50</v>
      </c>
      <c r="AH613" s="6" t="s">
        <v>50</v>
      </c>
      <c r="AI613" s="6" t="s">
        <v>132</v>
      </c>
      <c r="AJ613" s="6" t="s">
        <v>50</v>
      </c>
      <c r="AK613" s="6" t="s">
        <v>50</v>
      </c>
      <c r="AL613" s="6" t="s">
        <v>52</v>
      </c>
      <c r="AM613" s="6" t="s">
        <v>53</v>
      </c>
      <c r="AN613" s="6" t="s">
        <v>133</v>
      </c>
      <c r="AO613" s="6" t="s">
        <v>54</v>
      </c>
    </row>
    <row r="614" spans="2:41" ht="135" x14ac:dyDescent="0.25">
      <c r="B614" s="207" t="s">
        <v>299</v>
      </c>
      <c r="C614" s="66" t="s">
        <v>333</v>
      </c>
      <c r="D614" s="4" t="s">
        <v>336</v>
      </c>
      <c r="E614" s="4" t="s">
        <v>1072</v>
      </c>
      <c r="F614" s="4" t="s">
        <v>932</v>
      </c>
      <c r="G614" s="4" t="s">
        <v>278</v>
      </c>
      <c r="H614" s="208">
        <v>1</v>
      </c>
      <c r="I614" s="4"/>
      <c r="J614" s="15" t="s">
        <v>337</v>
      </c>
      <c r="K614" s="4" t="str">
        <f>_xlfn.IFNA(VLOOKUP($J614,WH_Data[],6,FALSE),"")</f>
        <v>MONITORING SYSTEMS, PHYSIOLOGIC</v>
      </c>
      <c r="L614" s="4" t="str">
        <f>_xlfn.IFNA(VLOOKUP($J614,WH_Data[],3,FALSE),"")</f>
        <v>PHILIPS MEDICAL SYSTEMS AUSTRA</v>
      </c>
      <c r="M614" s="4" t="str">
        <f>_xlfn.IFNA(VLOOKUP($J614,WH_Data[],5,FALSE),"")</f>
        <v>IntelliVue MX750</v>
      </c>
      <c r="N614" s="4" t="str">
        <f>_xlfn.IFNA(VLOOKUP($J614,WH_Data[],7,FALSE),"")</f>
        <v>DE71317293</v>
      </c>
      <c r="O614" s="4" t="str">
        <f>_xlfn.IFNA(VLOOKUP($J614,WH_Data[],8,FALSE),"")</f>
        <v>ICU FH</v>
      </c>
      <c r="P614" s="8">
        <v>1</v>
      </c>
      <c r="Q614" s="209">
        <f>Mon_ILR2[[#This Row],[Qty Required]]-Mon_ILR2[[#This Row],[QTY Transfer]]</f>
        <v>0</v>
      </c>
      <c r="R614" s="66" t="s">
        <v>905</v>
      </c>
      <c r="S614" s="66" t="s">
        <v>938</v>
      </c>
      <c r="T614" s="210">
        <v>0</v>
      </c>
      <c r="U614" s="210">
        <v>835</v>
      </c>
      <c r="V614" s="210">
        <v>1159</v>
      </c>
      <c r="W614" s="210">
        <f>Mon_ILR2[[#This Row],[Accessory Rate]]+Mon_ILR2[[#This Row],[Mounting Rate]]+Mon_ILR2[[#This Row],[Unit Rate]]*Mon_ILR2[[#This Row],[New Quantity Required ]]</f>
        <v>1994</v>
      </c>
      <c r="X614" s="246" t="s">
        <v>1174</v>
      </c>
      <c r="Y614" s="246" t="s">
        <v>988</v>
      </c>
      <c r="Z614" s="6" t="s">
        <v>128</v>
      </c>
      <c r="AA614" s="6" t="s">
        <v>46</v>
      </c>
      <c r="AB614" s="6" t="s">
        <v>47</v>
      </c>
      <c r="AC614" s="6" t="s">
        <v>48</v>
      </c>
      <c r="AD614" s="6" t="s">
        <v>49</v>
      </c>
      <c r="AE614" s="6" t="s">
        <v>50</v>
      </c>
      <c r="AF614" s="6" t="s">
        <v>50</v>
      </c>
      <c r="AG614" s="6" t="s">
        <v>50</v>
      </c>
      <c r="AH614" s="6" t="s">
        <v>50</v>
      </c>
      <c r="AI614" s="6" t="s">
        <v>132</v>
      </c>
      <c r="AJ614" s="6" t="s">
        <v>50</v>
      </c>
      <c r="AK614" s="6" t="s">
        <v>50</v>
      </c>
      <c r="AL614" s="6" t="s">
        <v>52</v>
      </c>
      <c r="AM614" s="6" t="s">
        <v>53</v>
      </c>
      <c r="AN614" s="6" t="s">
        <v>133</v>
      </c>
      <c r="AO614" s="6" t="s">
        <v>54</v>
      </c>
    </row>
    <row r="615" spans="2:41" ht="135" x14ac:dyDescent="0.25">
      <c r="B615" s="207" t="s">
        <v>299</v>
      </c>
      <c r="C615" s="66" t="s">
        <v>305</v>
      </c>
      <c r="D615" s="4" t="s">
        <v>338</v>
      </c>
      <c r="E615" s="4" t="s">
        <v>1072</v>
      </c>
      <c r="F615" s="4" t="s">
        <v>932</v>
      </c>
      <c r="G615" s="4" t="s">
        <v>278</v>
      </c>
      <c r="H615" s="208">
        <v>1</v>
      </c>
      <c r="I615" s="4"/>
      <c r="J615" s="15" t="s">
        <v>354</v>
      </c>
      <c r="K615" s="4" t="str">
        <f>_xlfn.IFNA(VLOOKUP($J615,WH_Data[],6,FALSE),"")</f>
        <v>MONITORING SYSTEMS, PHYSIOLOGIC</v>
      </c>
      <c r="L615" s="4" t="str">
        <f>_xlfn.IFNA(VLOOKUP($J615,WH_Data[],3,FALSE),"")</f>
        <v>PHILIPS MEDICAL SYSTEMS AUSTRA</v>
      </c>
      <c r="M615" s="4" t="str">
        <f>_xlfn.IFNA(VLOOKUP($J615,WH_Data[],5,FALSE),"")</f>
        <v>IntelliVue MX750</v>
      </c>
      <c r="N615" s="4" t="str">
        <f>_xlfn.IFNA(VLOOKUP($J615,WH_Data[],7,FALSE),"")</f>
        <v>DE71317337</v>
      </c>
      <c r="O615" s="4" t="str">
        <f>_xlfn.IFNA(VLOOKUP($J615,WH_Data[],8,FALSE),"")</f>
        <v>ICU FH</v>
      </c>
      <c r="P615" s="8">
        <v>1</v>
      </c>
      <c r="Q615" s="209">
        <f>Mon_ILR2[[#This Row],[Qty Required]]-Mon_ILR2[[#This Row],[QTY Transfer]]</f>
        <v>0</v>
      </c>
      <c r="R615" s="66" t="s">
        <v>905</v>
      </c>
      <c r="S615" s="66" t="s">
        <v>938</v>
      </c>
      <c r="T615" s="210">
        <v>0</v>
      </c>
      <c r="U615" s="210">
        <v>835</v>
      </c>
      <c r="V615" s="210">
        <v>1159</v>
      </c>
      <c r="W615" s="210">
        <f>Mon_ILR2[[#This Row],[Accessory Rate]]+Mon_ILR2[[#This Row],[Mounting Rate]]+Mon_ILR2[[#This Row],[Unit Rate]]*Mon_ILR2[[#This Row],[New Quantity Required ]]</f>
        <v>1994</v>
      </c>
      <c r="X615" s="246" t="s">
        <v>1174</v>
      </c>
      <c r="Y615" s="246" t="s">
        <v>988</v>
      </c>
      <c r="Z615" s="6" t="s">
        <v>128</v>
      </c>
      <c r="AA615" s="6" t="s">
        <v>46</v>
      </c>
      <c r="AB615" s="6" t="s">
        <v>47</v>
      </c>
      <c r="AC615" s="6" t="s">
        <v>48</v>
      </c>
      <c r="AD615" s="6" t="s">
        <v>49</v>
      </c>
      <c r="AE615" s="6" t="s">
        <v>50</v>
      </c>
      <c r="AF615" s="6" t="s">
        <v>50</v>
      </c>
      <c r="AG615" s="6" t="s">
        <v>50</v>
      </c>
      <c r="AH615" s="6" t="s">
        <v>50</v>
      </c>
      <c r="AI615" s="6" t="s">
        <v>132</v>
      </c>
      <c r="AJ615" s="6" t="s">
        <v>50</v>
      </c>
      <c r="AK615" s="6" t="s">
        <v>50</v>
      </c>
      <c r="AL615" s="6" t="s">
        <v>52</v>
      </c>
      <c r="AM615" s="6" t="s">
        <v>53</v>
      </c>
      <c r="AN615" s="6" t="s">
        <v>133</v>
      </c>
      <c r="AO615" s="6" t="s">
        <v>54</v>
      </c>
    </row>
    <row r="616" spans="2:41" ht="135" x14ac:dyDescent="0.25">
      <c r="B616" s="207" t="s">
        <v>299</v>
      </c>
      <c r="C616" s="66" t="s">
        <v>305</v>
      </c>
      <c r="D616" s="4" t="s">
        <v>342</v>
      </c>
      <c r="E616" s="4" t="s">
        <v>1072</v>
      </c>
      <c r="F616" s="4" t="s">
        <v>932</v>
      </c>
      <c r="G616" s="4" t="s">
        <v>278</v>
      </c>
      <c r="H616" s="208">
        <v>1</v>
      </c>
      <c r="I616" s="4"/>
      <c r="J616" s="15" t="s">
        <v>323</v>
      </c>
      <c r="K616" s="4" t="str">
        <f>_xlfn.IFNA(VLOOKUP($J616,WH_Data[],6,FALSE),"")</f>
        <v>MONITORING SYSTEMS, PHYSIOLOGIC</v>
      </c>
      <c r="L616" s="4" t="str">
        <f>_xlfn.IFNA(VLOOKUP($J616,WH_Data[],3,FALSE),"")</f>
        <v>PHILIPS MEDICAL SYSTEMS AUSTRA</v>
      </c>
      <c r="M616" s="4" t="str">
        <f>_xlfn.IFNA(VLOOKUP($J616,WH_Data[],5,FALSE),"")</f>
        <v>IntelliVue MX750</v>
      </c>
      <c r="N616" s="4" t="str">
        <f>_xlfn.IFNA(VLOOKUP($J616,WH_Data[],7,FALSE),"")</f>
        <v>DE71317296</v>
      </c>
      <c r="O616" s="4" t="str">
        <f>_xlfn.IFNA(VLOOKUP($J616,WH_Data[],8,FALSE),"")</f>
        <v>ICU FH</v>
      </c>
      <c r="P616" s="8">
        <v>1</v>
      </c>
      <c r="Q616" s="209">
        <f>Mon_ILR2[[#This Row],[Qty Required]]-Mon_ILR2[[#This Row],[QTY Transfer]]</f>
        <v>0</v>
      </c>
      <c r="R616" s="66" t="s">
        <v>905</v>
      </c>
      <c r="S616" s="66" t="s">
        <v>938</v>
      </c>
      <c r="T616" s="210">
        <v>0</v>
      </c>
      <c r="U616" s="210">
        <v>835</v>
      </c>
      <c r="V616" s="210">
        <v>1159</v>
      </c>
      <c r="W616" s="210">
        <f>Mon_ILR2[[#This Row],[Accessory Rate]]+Mon_ILR2[[#This Row],[Mounting Rate]]+Mon_ILR2[[#This Row],[Unit Rate]]*Mon_ILR2[[#This Row],[New Quantity Required ]]</f>
        <v>1994</v>
      </c>
      <c r="X616" s="246" t="s">
        <v>1174</v>
      </c>
      <c r="Y616" s="246" t="s">
        <v>988</v>
      </c>
      <c r="Z616" s="6" t="s">
        <v>128</v>
      </c>
      <c r="AA616" s="6" t="s">
        <v>46</v>
      </c>
      <c r="AB616" s="6" t="s">
        <v>47</v>
      </c>
      <c r="AC616" s="6" t="s">
        <v>48</v>
      </c>
      <c r="AD616" s="6" t="s">
        <v>49</v>
      </c>
      <c r="AE616" s="6" t="s">
        <v>50</v>
      </c>
      <c r="AF616" s="6" t="s">
        <v>50</v>
      </c>
      <c r="AG616" s="6" t="s">
        <v>50</v>
      </c>
      <c r="AH616" s="6" t="s">
        <v>50</v>
      </c>
      <c r="AI616" s="6" t="s">
        <v>132</v>
      </c>
      <c r="AJ616" s="6" t="s">
        <v>50</v>
      </c>
      <c r="AK616" s="6" t="s">
        <v>50</v>
      </c>
      <c r="AL616" s="6" t="s">
        <v>52</v>
      </c>
      <c r="AM616" s="6" t="s">
        <v>53</v>
      </c>
      <c r="AN616" s="6" t="s">
        <v>133</v>
      </c>
      <c r="AO616" s="6" t="s">
        <v>54</v>
      </c>
    </row>
    <row r="617" spans="2:41" ht="135" x14ac:dyDescent="0.25">
      <c r="B617" s="207" t="s">
        <v>299</v>
      </c>
      <c r="C617" s="66" t="s">
        <v>305</v>
      </c>
      <c r="D617" s="4" t="s">
        <v>345</v>
      </c>
      <c r="E617" s="4" t="s">
        <v>1072</v>
      </c>
      <c r="F617" s="4" t="s">
        <v>932</v>
      </c>
      <c r="G617" s="4" t="s">
        <v>278</v>
      </c>
      <c r="H617" s="208">
        <v>1</v>
      </c>
      <c r="I617" s="4"/>
      <c r="J617" s="15" t="s">
        <v>335</v>
      </c>
      <c r="K617" s="4" t="str">
        <f>_xlfn.IFNA(VLOOKUP($J617,WH_Data[],6,FALSE),"")</f>
        <v>MONITORING SYSTEMS, PHYSIOLOGIC</v>
      </c>
      <c r="L617" s="4" t="str">
        <f>_xlfn.IFNA(VLOOKUP($J617,WH_Data[],3,FALSE),"")</f>
        <v>PHILIPS MEDICAL SYSTEMS AUSTRA</v>
      </c>
      <c r="M617" s="4" t="str">
        <f>_xlfn.IFNA(VLOOKUP($J617,WH_Data[],5,FALSE),"")</f>
        <v>IntelliVue MX750</v>
      </c>
      <c r="N617" s="4" t="str">
        <f>_xlfn.IFNA(VLOOKUP($J617,WH_Data[],7,FALSE),"")</f>
        <v>DE71317302</v>
      </c>
      <c r="O617" s="4" t="str">
        <f>_xlfn.IFNA(VLOOKUP($J617,WH_Data[],8,FALSE),"")</f>
        <v>ICU FH</v>
      </c>
      <c r="P617" s="8">
        <v>1</v>
      </c>
      <c r="Q617" s="209">
        <f>Mon_ILR2[[#This Row],[Qty Required]]-Mon_ILR2[[#This Row],[QTY Transfer]]</f>
        <v>0</v>
      </c>
      <c r="R617" s="66" t="s">
        <v>905</v>
      </c>
      <c r="S617" s="66" t="s">
        <v>938</v>
      </c>
      <c r="T617" s="210">
        <v>0</v>
      </c>
      <c r="U617" s="210">
        <v>835</v>
      </c>
      <c r="V617" s="210">
        <v>1159</v>
      </c>
      <c r="W617" s="210">
        <f>Mon_ILR2[[#This Row],[Accessory Rate]]+Mon_ILR2[[#This Row],[Mounting Rate]]+Mon_ILR2[[#This Row],[Unit Rate]]*Mon_ILR2[[#This Row],[New Quantity Required ]]</f>
        <v>1994</v>
      </c>
      <c r="X617" s="246" t="s">
        <v>1174</v>
      </c>
      <c r="Y617" s="246" t="s">
        <v>988</v>
      </c>
      <c r="Z617" s="6" t="s">
        <v>128</v>
      </c>
      <c r="AA617" s="6" t="s">
        <v>46</v>
      </c>
      <c r="AB617" s="6" t="s">
        <v>47</v>
      </c>
      <c r="AC617" s="6" t="s">
        <v>48</v>
      </c>
      <c r="AD617" s="6" t="s">
        <v>49</v>
      </c>
      <c r="AE617" s="6" t="s">
        <v>50</v>
      </c>
      <c r="AF617" s="6" t="s">
        <v>50</v>
      </c>
      <c r="AG617" s="6" t="s">
        <v>50</v>
      </c>
      <c r="AH617" s="6" t="s">
        <v>50</v>
      </c>
      <c r="AI617" s="6" t="s">
        <v>132</v>
      </c>
      <c r="AJ617" s="6" t="s">
        <v>50</v>
      </c>
      <c r="AK617" s="6" t="s">
        <v>50</v>
      </c>
      <c r="AL617" s="6" t="s">
        <v>52</v>
      </c>
      <c r="AM617" s="6" t="s">
        <v>53</v>
      </c>
      <c r="AN617" s="6" t="s">
        <v>133</v>
      </c>
      <c r="AO617" s="6" t="s">
        <v>54</v>
      </c>
    </row>
    <row r="618" spans="2:41" ht="135" x14ac:dyDescent="0.25">
      <c r="B618" s="207" t="s">
        <v>299</v>
      </c>
      <c r="C618" s="66" t="s">
        <v>324</v>
      </c>
      <c r="D618" s="4" t="s">
        <v>348</v>
      </c>
      <c r="E618" s="4" t="s">
        <v>1072</v>
      </c>
      <c r="F618" s="4" t="s">
        <v>932</v>
      </c>
      <c r="G618" s="4" t="s">
        <v>278</v>
      </c>
      <c r="H618" s="208">
        <v>1</v>
      </c>
      <c r="I618" s="4"/>
      <c r="J618" s="15" t="s">
        <v>1175</v>
      </c>
      <c r="K618" s="4" t="str">
        <f>_xlfn.IFNA(VLOOKUP($J618,WH_Data[],6,FALSE),"")</f>
        <v>MONITORING SYSTEMS, PHYSIOLOGIC</v>
      </c>
      <c r="L618" s="4" t="str">
        <f>_xlfn.IFNA(VLOOKUP($J618,WH_Data[],3,FALSE),"")</f>
        <v>PHILIPS MEDICAL SYSTEMS AUSTRA</v>
      </c>
      <c r="M618" s="4" t="str">
        <f>_xlfn.IFNA(VLOOKUP($J618,WH_Data[],5,FALSE),"")</f>
        <v>IntelliVue MX750</v>
      </c>
      <c r="N618" s="4" t="str">
        <f>_xlfn.IFNA(VLOOKUP($J618,WH_Data[],7,FALSE),"")</f>
        <v>DE71334249</v>
      </c>
      <c r="O618" s="4" t="str">
        <f>_xlfn.IFNA(VLOOKUP($J618,WH_Data[],8,FALSE),"")</f>
        <v>ICU expansion</v>
      </c>
      <c r="P618" s="8">
        <v>1</v>
      </c>
      <c r="Q618" s="209">
        <f>Mon_ILR2[[#This Row],[Qty Required]]-Mon_ILR2[[#This Row],[QTY Transfer]]</f>
        <v>0</v>
      </c>
      <c r="R618" s="66" t="s">
        <v>905</v>
      </c>
      <c r="S618" s="66" t="s">
        <v>938</v>
      </c>
      <c r="T618" s="210">
        <v>0</v>
      </c>
      <c r="U618" s="210">
        <v>835</v>
      </c>
      <c r="V618" s="210">
        <v>1159</v>
      </c>
      <c r="W618" s="210">
        <f>Mon_ILR2[[#This Row],[Accessory Rate]]+Mon_ILR2[[#This Row],[Mounting Rate]]+Mon_ILR2[[#This Row],[Unit Rate]]*Mon_ILR2[[#This Row],[New Quantity Required ]]</f>
        <v>1994</v>
      </c>
      <c r="X618" s="246" t="s">
        <v>1174</v>
      </c>
      <c r="Y618" s="246" t="s">
        <v>988</v>
      </c>
      <c r="Z618" s="6" t="s">
        <v>128</v>
      </c>
      <c r="AA618" s="6" t="s">
        <v>46</v>
      </c>
      <c r="AB618" s="6" t="s">
        <v>47</v>
      </c>
      <c r="AC618" s="6" t="s">
        <v>48</v>
      </c>
      <c r="AD618" s="6" t="s">
        <v>49</v>
      </c>
      <c r="AE618" s="6" t="s">
        <v>50</v>
      </c>
      <c r="AF618" s="6" t="s">
        <v>50</v>
      </c>
      <c r="AG618" s="6" t="s">
        <v>50</v>
      </c>
      <c r="AH618" s="6" t="s">
        <v>50</v>
      </c>
      <c r="AI618" s="6" t="s">
        <v>132</v>
      </c>
      <c r="AJ618" s="6" t="s">
        <v>50</v>
      </c>
      <c r="AK618" s="6" t="s">
        <v>50</v>
      </c>
      <c r="AL618" s="6" t="s">
        <v>52</v>
      </c>
      <c r="AM618" s="6" t="s">
        <v>53</v>
      </c>
      <c r="AN618" s="6" t="s">
        <v>133</v>
      </c>
      <c r="AO618" s="6" t="s">
        <v>54</v>
      </c>
    </row>
    <row r="619" spans="2:41" ht="135" x14ac:dyDescent="0.25">
      <c r="B619" s="207" t="s">
        <v>299</v>
      </c>
      <c r="C619" s="66" t="s">
        <v>305</v>
      </c>
      <c r="D619" s="4" t="s">
        <v>350</v>
      </c>
      <c r="E619" s="4" t="s">
        <v>1072</v>
      </c>
      <c r="F619" s="4" t="s">
        <v>932</v>
      </c>
      <c r="G619" s="4" t="s">
        <v>278</v>
      </c>
      <c r="H619" s="208">
        <v>1</v>
      </c>
      <c r="I619" s="4"/>
      <c r="J619" s="15" t="s">
        <v>1176</v>
      </c>
      <c r="K619" s="4" t="str">
        <f>_xlfn.IFNA(VLOOKUP($J619,WH_Data[],6,FALSE),"")</f>
        <v>MONITORING SYSTEMS, PHYSIOLOGIC</v>
      </c>
      <c r="L619" s="4" t="str">
        <f>_xlfn.IFNA(VLOOKUP($J619,WH_Data[],3,FALSE),"")</f>
        <v>PHILIPS MEDICAL SYSTEMS AUSTRA</v>
      </c>
      <c r="M619" s="4" t="str">
        <f>_xlfn.IFNA(VLOOKUP($J619,WH_Data[],5,FALSE),"")</f>
        <v>IntelliVue MX750</v>
      </c>
      <c r="N619" s="4" t="str">
        <f>_xlfn.IFNA(VLOOKUP($J619,WH_Data[],7,FALSE),"")</f>
        <v>DE71334254</v>
      </c>
      <c r="O619" s="4" t="str">
        <f>_xlfn.IFNA(VLOOKUP($J619,WH_Data[],8,FALSE),"")</f>
        <v>ICU expansion</v>
      </c>
      <c r="P619" s="8">
        <v>1</v>
      </c>
      <c r="Q619" s="209">
        <f>Mon_ILR2[[#This Row],[Qty Required]]-Mon_ILR2[[#This Row],[QTY Transfer]]</f>
        <v>0</v>
      </c>
      <c r="R619" s="66" t="s">
        <v>905</v>
      </c>
      <c r="S619" s="66" t="s">
        <v>938</v>
      </c>
      <c r="T619" s="210">
        <v>0</v>
      </c>
      <c r="U619" s="210">
        <v>835</v>
      </c>
      <c r="V619" s="210">
        <v>1159</v>
      </c>
      <c r="W619" s="210">
        <f>Mon_ILR2[[#This Row],[Accessory Rate]]+Mon_ILR2[[#This Row],[Mounting Rate]]+Mon_ILR2[[#This Row],[Unit Rate]]*Mon_ILR2[[#This Row],[New Quantity Required ]]</f>
        <v>1994</v>
      </c>
      <c r="X619" s="246" t="s">
        <v>1174</v>
      </c>
      <c r="Y619" s="246" t="s">
        <v>988</v>
      </c>
      <c r="Z619" s="6" t="s">
        <v>128</v>
      </c>
      <c r="AA619" s="6" t="s">
        <v>46</v>
      </c>
      <c r="AB619" s="6" t="s">
        <v>47</v>
      </c>
      <c r="AC619" s="6" t="s">
        <v>48</v>
      </c>
      <c r="AD619" s="6" t="s">
        <v>49</v>
      </c>
      <c r="AE619" s="6" t="s">
        <v>50</v>
      </c>
      <c r="AF619" s="6" t="s">
        <v>50</v>
      </c>
      <c r="AG619" s="6" t="s">
        <v>50</v>
      </c>
      <c r="AH619" s="6" t="s">
        <v>50</v>
      </c>
      <c r="AI619" s="6" t="s">
        <v>132</v>
      </c>
      <c r="AJ619" s="6" t="s">
        <v>50</v>
      </c>
      <c r="AK619" s="6" t="s">
        <v>50</v>
      </c>
      <c r="AL619" s="6" t="s">
        <v>52</v>
      </c>
      <c r="AM619" s="6" t="s">
        <v>53</v>
      </c>
      <c r="AN619" s="6" t="s">
        <v>133</v>
      </c>
      <c r="AO619" s="6" t="s">
        <v>54</v>
      </c>
    </row>
    <row r="620" spans="2:41" ht="135" x14ac:dyDescent="0.25">
      <c r="B620" s="207" t="s">
        <v>299</v>
      </c>
      <c r="C620" s="66" t="s">
        <v>333</v>
      </c>
      <c r="D620" s="4" t="s">
        <v>353</v>
      </c>
      <c r="E620" s="4" t="s">
        <v>1072</v>
      </c>
      <c r="F620" s="4" t="s">
        <v>932</v>
      </c>
      <c r="G620" s="4" t="s">
        <v>278</v>
      </c>
      <c r="H620" s="208">
        <v>1</v>
      </c>
      <c r="I620" s="4"/>
      <c r="J620" s="15" t="s">
        <v>1177</v>
      </c>
      <c r="K620" s="4" t="str">
        <f>_xlfn.IFNA(VLOOKUP($J620,WH_Data[],6,FALSE),"")</f>
        <v>MONITORING SYSTEMS, PHYSIOLOGIC</v>
      </c>
      <c r="L620" s="4" t="str">
        <f>_xlfn.IFNA(VLOOKUP($J620,WH_Data[],3,FALSE),"")</f>
        <v>PHILIPS MEDICAL SYSTEMS AUSTRA</v>
      </c>
      <c r="M620" s="4" t="str">
        <f>_xlfn.IFNA(VLOOKUP($J620,WH_Data[],5,FALSE),"")</f>
        <v>IntelliVue MX750</v>
      </c>
      <c r="N620" s="4" t="str">
        <f>_xlfn.IFNA(VLOOKUP($J620,WH_Data[],7,FALSE),"")</f>
        <v>DE71334247</v>
      </c>
      <c r="O620" s="4" t="str">
        <f>_xlfn.IFNA(VLOOKUP($J620,WH_Data[],8,FALSE),"")</f>
        <v>ICU expansion</v>
      </c>
      <c r="P620" s="8">
        <v>1</v>
      </c>
      <c r="Q620" s="209">
        <f>Mon_ILR2[[#This Row],[Qty Required]]-Mon_ILR2[[#This Row],[QTY Transfer]]</f>
        <v>0</v>
      </c>
      <c r="R620" s="66" t="s">
        <v>905</v>
      </c>
      <c r="S620" s="66" t="s">
        <v>938</v>
      </c>
      <c r="T620" s="210">
        <v>0</v>
      </c>
      <c r="U620" s="210">
        <v>835</v>
      </c>
      <c r="V620" s="210">
        <v>1159</v>
      </c>
      <c r="W620" s="210">
        <f>Mon_ILR2[[#This Row],[Accessory Rate]]+Mon_ILR2[[#This Row],[Mounting Rate]]+Mon_ILR2[[#This Row],[Unit Rate]]*Mon_ILR2[[#This Row],[New Quantity Required ]]</f>
        <v>1994</v>
      </c>
      <c r="X620" s="246" t="s">
        <v>1174</v>
      </c>
      <c r="Y620" s="246" t="s">
        <v>988</v>
      </c>
      <c r="Z620" s="6" t="s">
        <v>128</v>
      </c>
      <c r="AA620" s="6" t="s">
        <v>46</v>
      </c>
      <c r="AB620" s="6" t="s">
        <v>47</v>
      </c>
      <c r="AC620" s="6" t="s">
        <v>48</v>
      </c>
      <c r="AD620" s="6" t="s">
        <v>49</v>
      </c>
      <c r="AE620" s="6" t="s">
        <v>50</v>
      </c>
      <c r="AF620" s="6" t="s">
        <v>50</v>
      </c>
      <c r="AG620" s="6" t="s">
        <v>50</v>
      </c>
      <c r="AH620" s="6" t="s">
        <v>50</v>
      </c>
      <c r="AI620" s="6" t="s">
        <v>132</v>
      </c>
      <c r="AJ620" s="6" t="s">
        <v>50</v>
      </c>
      <c r="AK620" s="6" t="s">
        <v>50</v>
      </c>
      <c r="AL620" s="6" t="s">
        <v>52</v>
      </c>
      <c r="AM620" s="6" t="s">
        <v>53</v>
      </c>
      <c r="AN620" s="6" t="s">
        <v>133</v>
      </c>
      <c r="AO620" s="6" t="s">
        <v>54</v>
      </c>
    </row>
    <row r="621" spans="2:41" ht="135" x14ac:dyDescent="0.25">
      <c r="B621" s="207" t="s">
        <v>299</v>
      </c>
      <c r="C621" s="66" t="s">
        <v>305</v>
      </c>
      <c r="D621" s="4" t="s">
        <v>355</v>
      </c>
      <c r="E621" s="4" t="s">
        <v>1072</v>
      </c>
      <c r="F621" s="4" t="s">
        <v>932</v>
      </c>
      <c r="G621" s="4" t="s">
        <v>278</v>
      </c>
      <c r="H621" s="208">
        <v>1</v>
      </c>
      <c r="I621" s="4"/>
      <c r="J621" s="15" t="s">
        <v>1178</v>
      </c>
      <c r="K621" s="4" t="str">
        <f>_xlfn.IFNA(VLOOKUP($J621,WH_Data[],6,FALSE),"")</f>
        <v>MONITORING SYSTEMS, PHYSIOLOGIC</v>
      </c>
      <c r="L621" s="4" t="str">
        <f>_xlfn.IFNA(VLOOKUP($J621,WH_Data[],3,FALSE),"")</f>
        <v>PHILIPS MEDICAL SYSTEMS AUSTRA</v>
      </c>
      <c r="M621" s="4" t="str">
        <f>_xlfn.IFNA(VLOOKUP($J621,WH_Data[],5,FALSE),"")</f>
        <v>IntelliVue MX750</v>
      </c>
      <c r="N621" s="4" t="str">
        <f>_xlfn.IFNA(VLOOKUP($J621,WH_Data[],7,FALSE),"")</f>
        <v>DE71334245</v>
      </c>
      <c r="O621" s="4" t="str">
        <f>_xlfn.IFNA(VLOOKUP($J621,WH_Data[],8,FALSE),"")</f>
        <v>ICU expansion</v>
      </c>
      <c r="P621" s="8">
        <v>1</v>
      </c>
      <c r="Q621" s="209">
        <f>Mon_ILR2[[#This Row],[Qty Required]]-Mon_ILR2[[#This Row],[QTY Transfer]]</f>
        <v>0</v>
      </c>
      <c r="R621" s="66" t="s">
        <v>905</v>
      </c>
      <c r="S621" s="66" t="s">
        <v>938</v>
      </c>
      <c r="T621" s="210">
        <v>0</v>
      </c>
      <c r="U621" s="210">
        <v>835</v>
      </c>
      <c r="V621" s="210">
        <v>1159</v>
      </c>
      <c r="W621" s="210">
        <f>Mon_ILR2[[#This Row],[Accessory Rate]]+Mon_ILR2[[#This Row],[Mounting Rate]]+Mon_ILR2[[#This Row],[Unit Rate]]*Mon_ILR2[[#This Row],[New Quantity Required ]]</f>
        <v>1994</v>
      </c>
      <c r="X621" s="246" t="s">
        <v>1174</v>
      </c>
      <c r="Y621" s="246" t="s">
        <v>988</v>
      </c>
      <c r="Z621" s="6" t="s">
        <v>128</v>
      </c>
      <c r="AA621" s="6" t="s">
        <v>46</v>
      </c>
      <c r="AB621" s="6" t="s">
        <v>47</v>
      </c>
      <c r="AC621" s="6" t="s">
        <v>48</v>
      </c>
      <c r="AD621" s="6" t="s">
        <v>49</v>
      </c>
      <c r="AE621" s="6" t="s">
        <v>50</v>
      </c>
      <c r="AF621" s="6" t="s">
        <v>50</v>
      </c>
      <c r="AG621" s="6" t="s">
        <v>50</v>
      </c>
      <c r="AH621" s="6" t="s">
        <v>50</v>
      </c>
      <c r="AI621" s="6" t="s">
        <v>132</v>
      </c>
      <c r="AJ621" s="6" t="s">
        <v>50</v>
      </c>
      <c r="AK621" s="6" t="s">
        <v>50</v>
      </c>
      <c r="AL621" s="6" t="s">
        <v>52</v>
      </c>
      <c r="AM621" s="6" t="s">
        <v>53</v>
      </c>
      <c r="AN621" s="6" t="s">
        <v>133</v>
      </c>
      <c r="AO621" s="6" t="s">
        <v>54</v>
      </c>
    </row>
    <row r="622" spans="2:41" ht="135" x14ac:dyDescent="0.25">
      <c r="B622" s="207" t="s">
        <v>299</v>
      </c>
      <c r="C622" s="66" t="s">
        <v>305</v>
      </c>
      <c r="D622" s="4" t="s">
        <v>358</v>
      </c>
      <c r="E622" s="4" t="s">
        <v>1072</v>
      </c>
      <c r="F622" s="4" t="s">
        <v>932</v>
      </c>
      <c r="G622" s="4" t="s">
        <v>278</v>
      </c>
      <c r="H622" s="208">
        <v>1</v>
      </c>
      <c r="I622" s="4"/>
      <c r="J622" s="15" t="s">
        <v>1179</v>
      </c>
      <c r="K622" s="4" t="str">
        <f>_xlfn.IFNA(VLOOKUP($J622,WH_Data[],6,FALSE),"")</f>
        <v>MONITORING SYSTEMS, PHYSIOLOGIC</v>
      </c>
      <c r="L622" s="4" t="str">
        <f>_xlfn.IFNA(VLOOKUP($J622,WH_Data[],3,FALSE),"")</f>
        <v>PHILIPS MEDICAL SYSTEMS AUSTRA</v>
      </c>
      <c r="M622" s="4" t="str">
        <f>_xlfn.IFNA(VLOOKUP($J622,WH_Data[],5,FALSE),"")</f>
        <v>IntelliVue MX750</v>
      </c>
      <c r="N622" s="4" t="str">
        <f>_xlfn.IFNA(VLOOKUP($J622,WH_Data[],7,FALSE),"")</f>
        <v>DE71334250</v>
      </c>
      <c r="O622" s="4" t="str">
        <f>_xlfn.IFNA(VLOOKUP($J622,WH_Data[],8,FALSE),"")</f>
        <v>ICU expansion</v>
      </c>
      <c r="P622" s="8">
        <v>1</v>
      </c>
      <c r="Q622" s="209">
        <f>Mon_ILR2[[#This Row],[Qty Required]]-Mon_ILR2[[#This Row],[QTY Transfer]]</f>
        <v>0</v>
      </c>
      <c r="R622" s="66" t="s">
        <v>905</v>
      </c>
      <c r="S622" s="66" t="s">
        <v>938</v>
      </c>
      <c r="T622" s="210">
        <v>0</v>
      </c>
      <c r="U622" s="210">
        <v>835</v>
      </c>
      <c r="V622" s="210">
        <v>1159</v>
      </c>
      <c r="W622" s="210">
        <f>Mon_ILR2[[#This Row],[Accessory Rate]]+Mon_ILR2[[#This Row],[Mounting Rate]]+Mon_ILR2[[#This Row],[Unit Rate]]*Mon_ILR2[[#This Row],[New Quantity Required ]]</f>
        <v>1994</v>
      </c>
      <c r="X622" s="246" t="s">
        <v>1174</v>
      </c>
      <c r="Y622" s="246" t="s">
        <v>988</v>
      </c>
      <c r="Z622" s="6" t="s">
        <v>128</v>
      </c>
      <c r="AA622" s="6" t="s">
        <v>46</v>
      </c>
      <c r="AB622" s="6" t="s">
        <v>47</v>
      </c>
      <c r="AC622" s="6" t="s">
        <v>48</v>
      </c>
      <c r="AD622" s="6" t="s">
        <v>49</v>
      </c>
      <c r="AE622" s="6" t="s">
        <v>50</v>
      </c>
      <c r="AF622" s="6" t="s">
        <v>50</v>
      </c>
      <c r="AG622" s="6" t="s">
        <v>50</v>
      </c>
      <c r="AH622" s="6" t="s">
        <v>50</v>
      </c>
      <c r="AI622" s="6" t="s">
        <v>132</v>
      </c>
      <c r="AJ622" s="6" t="s">
        <v>50</v>
      </c>
      <c r="AK622" s="6" t="s">
        <v>50</v>
      </c>
      <c r="AL622" s="6" t="s">
        <v>52</v>
      </c>
      <c r="AM622" s="6" t="s">
        <v>53</v>
      </c>
      <c r="AN622" s="6" t="s">
        <v>133</v>
      </c>
      <c r="AO622" s="6" t="s">
        <v>54</v>
      </c>
    </row>
    <row r="623" spans="2:41" ht="135" x14ac:dyDescent="0.25">
      <c r="B623" s="207" t="s">
        <v>299</v>
      </c>
      <c r="C623" s="66" t="s">
        <v>333</v>
      </c>
      <c r="D623" s="4" t="s">
        <v>361</v>
      </c>
      <c r="E623" s="4" t="s">
        <v>1072</v>
      </c>
      <c r="F623" s="4" t="s">
        <v>932</v>
      </c>
      <c r="G623" s="4" t="s">
        <v>278</v>
      </c>
      <c r="H623" s="208">
        <v>1</v>
      </c>
      <c r="I623" s="4"/>
      <c r="J623" s="15" t="s">
        <v>1180</v>
      </c>
      <c r="K623" s="4" t="str">
        <f>_xlfn.IFNA(VLOOKUP($J623,WH_Data[],6,FALSE),"")</f>
        <v>MONITORING SYSTEMS, PHYSIOLOGIC</v>
      </c>
      <c r="L623" s="4" t="str">
        <f>_xlfn.IFNA(VLOOKUP($J623,WH_Data[],3,FALSE),"")</f>
        <v>PHILIPS MEDICAL SYSTEMS AUSTRA</v>
      </c>
      <c r="M623" s="4" t="str">
        <f>_xlfn.IFNA(VLOOKUP($J623,WH_Data[],5,FALSE),"")</f>
        <v>IntelliVue MX750</v>
      </c>
      <c r="N623" s="4" t="str">
        <f>_xlfn.IFNA(VLOOKUP($J623,WH_Data[],7,FALSE),"")</f>
        <v>DE71334253</v>
      </c>
      <c r="O623" s="4" t="str">
        <f>_xlfn.IFNA(VLOOKUP($J623,WH_Data[],8,FALSE),"")</f>
        <v>ICU expansion</v>
      </c>
      <c r="P623" s="8">
        <v>1</v>
      </c>
      <c r="Q623" s="209">
        <f>Mon_ILR2[[#This Row],[Qty Required]]-Mon_ILR2[[#This Row],[QTY Transfer]]</f>
        <v>0</v>
      </c>
      <c r="R623" s="66" t="s">
        <v>905</v>
      </c>
      <c r="S623" s="66" t="s">
        <v>938</v>
      </c>
      <c r="T623" s="210">
        <v>0</v>
      </c>
      <c r="U623" s="210">
        <v>835</v>
      </c>
      <c r="V623" s="210">
        <v>1159</v>
      </c>
      <c r="W623" s="210">
        <f>Mon_ILR2[[#This Row],[Accessory Rate]]+Mon_ILR2[[#This Row],[Mounting Rate]]+Mon_ILR2[[#This Row],[Unit Rate]]*Mon_ILR2[[#This Row],[New Quantity Required ]]</f>
        <v>1994</v>
      </c>
      <c r="X623" s="246" t="s">
        <v>1174</v>
      </c>
      <c r="Y623" s="246" t="s">
        <v>988</v>
      </c>
      <c r="Z623" s="6" t="s">
        <v>128</v>
      </c>
      <c r="AA623" s="6" t="s">
        <v>46</v>
      </c>
      <c r="AB623" s="6" t="s">
        <v>47</v>
      </c>
      <c r="AC623" s="6" t="s">
        <v>48</v>
      </c>
      <c r="AD623" s="6" t="s">
        <v>49</v>
      </c>
      <c r="AE623" s="6" t="s">
        <v>50</v>
      </c>
      <c r="AF623" s="6" t="s">
        <v>50</v>
      </c>
      <c r="AG623" s="6" t="s">
        <v>50</v>
      </c>
      <c r="AH623" s="6" t="s">
        <v>50</v>
      </c>
      <c r="AI623" s="6" t="s">
        <v>132</v>
      </c>
      <c r="AJ623" s="6" t="s">
        <v>50</v>
      </c>
      <c r="AK623" s="6" t="s">
        <v>50</v>
      </c>
      <c r="AL623" s="6" t="s">
        <v>52</v>
      </c>
      <c r="AM623" s="6" t="s">
        <v>53</v>
      </c>
      <c r="AN623" s="6" t="s">
        <v>133</v>
      </c>
      <c r="AO623" s="6" t="s">
        <v>54</v>
      </c>
    </row>
    <row r="624" spans="2:41" ht="15.75" x14ac:dyDescent="0.25">
      <c r="B624" s="207" t="s">
        <v>461</v>
      </c>
      <c r="C624" s="66" t="s">
        <v>638</v>
      </c>
      <c r="D624" s="4" t="s">
        <v>639</v>
      </c>
      <c r="E624" s="4" t="s">
        <v>1027</v>
      </c>
      <c r="F624" s="4" t="s">
        <v>944</v>
      </c>
      <c r="G624" s="4" t="s">
        <v>1181</v>
      </c>
      <c r="H624" s="208">
        <v>1</v>
      </c>
      <c r="I624" s="4"/>
      <c r="J624" s="15"/>
      <c r="K624" s="4" t="str">
        <f>_xlfn.IFNA(VLOOKUP($J624,WH_Data[],6,FALSE),"")</f>
        <v/>
      </c>
      <c r="L624" s="4" t="str">
        <f>_xlfn.IFNA(VLOOKUP($J624,WH_Data[],3,FALSE),"")</f>
        <v/>
      </c>
      <c r="M624" s="4" t="str">
        <f>_xlfn.IFNA(VLOOKUP($J624,WH_Data[],5,FALSE),"")</f>
        <v/>
      </c>
      <c r="N624" s="4" t="str">
        <f>_xlfn.IFNA(VLOOKUP($J624,WH_Data[],7,FALSE),"")</f>
        <v/>
      </c>
      <c r="O624" s="4" t="str">
        <f>_xlfn.IFNA(VLOOKUP($J624,WH_Data[],8,FALSE),"")</f>
        <v/>
      </c>
      <c r="P624" s="8"/>
      <c r="Q624" s="209">
        <f>Mon_ILR2[[#This Row],[Qty Required]]-Mon_ILR2[[#This Row],[QTY Transfer]]</f>
        <v>1</v>
      </c>
      <c r="R624" s="66" t="s">
        <v>905</v>
      </c>
      <c r="S624" s="66" t="s">
        <v>946</v>
      </c>
      <c r="T624" s="210">
        <f>_xlfn.IFNA(VLOOKUP(Mon_ILR2[[#This Row],[New Model]],PhilipsLibary[],4,FALSE),"0")</f>
        <v>7999</v>
      </c>
      <c r="U624" s="210">
        <f>_xlfn.IFNA(VLOOKUP(Mon_ILR2[[#This Row],[New Model]],PhilipsLibary[],5,FALSE),"0")</f>
        <v>0</v>
      </c>
      <c r="V624" s="210">
        <f>_xlfn.IFNA(VLOOKUP(Mon_ILR2[[#This Row],[New Model]],PhilipsLibary[],5,FALSE),"0")</f>
        <v>0</v>
      </c>
      <c r="W624" s="210">
        <f>Mon_ILR2[[#This Row],[Accessory Rate]]+Mon_ILR2[[#This Row],[Mounting Rate]]+Mon_ILR2[[#This Row],[Unit Rate]]*Mon_ILR2[[#This Row],[New Quantity Required ]]</f>
        <v>7999</v>
      </c>
      <c r="X624" s="8"/>
      <c r="Y624" s="246"/>
    </row>
    <row r="625" spans="2:25" ht="30" x14ac:dyDescent="0.25">
      <c r="B625" s="207" t="s">
        <v>161</v>
      </c>
      <c r="C625" s="66" t="s">
        <v>162</v>
      </c>
      <c r="D625" s="4" t="s">
        <v>182</v>
      </c>
      <c r="E625" s="4" t="s">
        <v>1072</v>
      </c>
      <c r="F625" s="4" t="s">
        <v>944</v>
      </c>
      <c r="G625" s="4" t="s">
        <v>1181</v>
      </c>
      <c r="H625" s="208">
        <v>1</v>
      </c>
      <c r="I625" s="4"/>
      <c r="J625" s="15"/>
      <c r="K625" s="4" t="str">
        <f>_xlfn.IFNA(VLOOKUP($J625,WH_Data[],6,FALSE),"")</f>
        <v/>
      </c>
      <c r="L625" s="4" t="str">
        <f>_xlfn.IFNA(VLOOKUP($J625,WH_Data[],3,FALSE),"")</f>
        <v/>
      </c>
      <c r="M625" s="4" t="str">
        <f>_xlfn.IFNA(VLOOKUP($J625,WH_Data[],5,FALSE),"")</f>
        <v/>
      </c>
      <c r="N625" s="4" t="str">
        <f>_xlfn.IFNA(VLOOKUP($J625,WH_Data[],7,FALSE),"")</f>
        <v/>
      </c>
      <c r="O625" s="4" t="str">
        <f>_xlfn.IFNA(VLOOKUP($J625,WH_Data[],8,FALSE),"")</f>
        <v/>
      </c>
      <c r="P625" s="8"/>
      <c r="Q625" s="209">
        <f>Mon_ILR2[[#This Row],[Qty Required]]-Mon_ILR2[[#This Row],[QTY Transfer]]</f>
        <v>1</v>
      </c>
      <c r="R625" s="66" t="s">
        <v>905</v>
      </c>
      <c r="S625" s="66" t="s">
        <v>946</v>
      </c>
      <c r="T625" s="210">
        <f>_xlfn.IFNA(VLOOKUP(Mon_ILR2[[#This Row],[New Model]],PhilipsLibary[],4,FALSE),"0")</f>
        <v>7999</v>
      </c>
      <c r="U625" s="210">
        <f>_xlfn.IFNA(VLOOKUP(Mon_ILR2[[#This Row],[New Model]],PhilipsLibary[],5,FALSE),"0")</f>
        <v>0</v>
      </c>
      <c r="V625" s="210">
        <f>_xlfn.IFNA(VLOOKUP(Mon_ILR2[[#This Row],[New Model]],PhilipsLibary[],5,FALSE),"0")</f>
        <v>0</v>
      </c>
      <c r="W625" s="210">
        <f>Mon_ILR2[[#This Row],[Accessory Rate]]+Mon_ILR2[[#This Row],[Mounting Rate]]+Mon_ILR2[[#This Row],[Unit Rate]]*Mon_ILR2[[#This Row],[New Quantity Required ]]</f>
        <v>7999</v>
      </c>
      <c r="X625" s="8"/>
      <c r="Y625" s="302" t="s">
        <v>2152</v>
      </c>
    </row>
    <row r="626" spans="2:25" ht="60" customHeight="1" x14ac:dyDescent="0.25">
      <c r="B626" s="207" t="s">
        <v>161</v>
      </c>
      <c r="C626" s="66" t="s">
        <v>198</v>
      </c>
      <c r="D626" s="4" t="s">
        <v>199</v>
      </c>
      <c r="E626" s="4" t="s">
        <v>1072</v>
      </c>
      <c r="F626" s="4" t="s">
        <v>944</v>
      </c>
      <c r="G626" s="4" t="s">
        <v>1181</v>
      </c>
      <c r="H626" s="208">
        <v>1</v>
      </c>
      <c r="I626" s="4"/>
      <c r="J626" s="15"/>
      <c r="K626" s="4" t="str">
        <f>_xlfn.IFNA(VLOOKUP($J626,WH_Data[],6,FALSE),"")</f>
        <v/>
      </c>
      <c r="L626" s="4" t="str">
        <f>_xlfn.IFNA(VLOOKUP($J626,WH_Data[],3,FALSE),"")</f>
        <v/>
      </c>
      <c r="M626" s="4" t="str">
        <f>_xlfn.IFNA(VLOOKUP($J626,WH_Data[],5,FALSE),"")</f>
        <v/>
      </c>
      <c r="N626" s="4" t="str">
        <f>_xlfn.IFNA(VLOOKUP($J626,WH_Data[],7,FALSE),"")</f>
        <v/>
      </c>
      <c r="O626" s="4" t="str">
        <f>_xlfn.IFNA(VLOOKUP($J626,WH_Data[],8,FALSE),"")</f>
        <v/>
      </c>
      <c r="P626" s="8"/>
      <c r="Q626" s="209">
        <f>Mon_ILR2[[#This Row],[Qty Required]]-Mon_ILR2[[#This Row],[QTY Transfer]]</f>
        <v>1</v>
      </c>
      <c r="R626" s="66" t="s">
        <v>905</v>
      </c>
      <c r="S626" s="66" t="s">
        <v>946</v>
      </c>
      <c r="T626" s="210">
        <f>_xlfn.IFNA(VLOOKUP(Mon_ILR2[[#This Row],[New Model]],PhilipsLibary[],4,FALSE),"0")</f>
        <v>7999</v>
      </c>
      <c r="U626" s="210">
        <f>_xlfn.IFNA(VLOOKUP(Mon_ILR2[[#This Row],[New Model]],PhilipsLibary[],5,FALSE),"0")</f>
        <v>0</v>
      </c>
      <c r="V626" s="210">
        <f>_xlfn.IFNA(VLOOKUP(Mon_ILR2[[#This Row],[New Model]],PhilipsLibary[],5,FALSE),"0")</f>
        <v>0</v>
      </c>
      <c r="W626" s="210">
        <f>Mon_ILR2[[#This Row],[Accessory Rate]]+Mon_ILR2[[#This Row],[Mounting Rate]]+Mon_ILR2[[#This Row],[Unit Rate]]*Mon_ILR2[[#This Row],[New Quantity Required ]]</f>
        <v>7999</v>
      </c>
      <c r="X626" s="8"/>
      <c r="Y626" s="302" t="s">
        <v>2152</v>
      </c>
    </row>
    <row r="627" spans="2:25" ht="30" x14ac:dyDescent="0.25">
      <c r="B627" s="207" t="s">
        <v>161</v>
      </c>
      <c r="C627" s="66" t="s">
        <v>198</v>
      </c>
      <c r="D627" s="4" t="s">
        <v>200</v>
      </c>
      <c r="E627" s="4" t="s">
        <v>1072</v>
      </c>
      <c r="F627" s="4" t="s">
        <v>944</v>
      </c>
      <c r="G627" s="4" t="s">
        <v>1181</v>
      </c>
      <c r="H627" s="208">
        <v>1</v>
      </c>
      <c r="I627" s="4"/>
      <c r="J627" s="15"/>
      <c r="K627" s="4" t="str">
        <f>_xlfn.IFNA(VLOOKUP($J627,WH_Data[],6,FALSE),"")</f>
        <v/>
      </c>
      <c r="L627" s="4" t="str">
        <f>_xlfn.IFNA(VLOOKUP($J627,WH_Data[],3,FALSE),"")</f>
        <v/>
      </c>
      <c r="M627" s="4" t="str">
        <f>_xlfn.IFNA(VLOOKUP($J627,WH_Data[],5,FALSE),"")</f>
        <v/>
      </c>
      <c r="N627" s="4" t="str">
        <f>_xlfn.IFNA(VLOOKUP($J627,WH_Data[],7,FALSE),"")</f>
        <v/>
      </c>
      <c r="O627" s="4" t="str">
        <f>_xlfn.IFNA(VLOOKUP($J627,WH_Data[],8,FALSE),"")</f>
        <v/>
      </c>
      <c r="P627" s="8"/>
      <c r="Q627" s="209">
        <f>Mon_ILR2[[#This Row],[Qty Required]]-Mon_ILR2[[#This Row],[QTY Transfer]]</f>
        <v>1</v>
      </c>
      <c r="R627" s="66" t="s">
        <v>905</v>
      </c>
      <c r="S627" s="66" t="s">
        <v>946</v>
      </c>
      <c r="T627" s="210">
        <f>_xlfn.IFNA(VLOOKUP(Mon_ILR2[[#This Row],[New Model]],PhilipsLibary[],4,FALSE),"0")</f>
        <v>7999</v>
      </c>
      <c r="U627" s="210">
        <f>_xlfn.IFNA(VLOOKUP(Mon_ILR2[[#This Row],[New Model]],PhilipsLibary[],5,FALSE),"0")</f>
        <v>0</v>
      </c>
      <c r="V627" s="210">
        <f>_xlfn.IFNA(VLOOKUP(Mon_ILR2[[#This Row],[New Model]],PhilipsLibary[],5,FALSE),"0")</f>
        <v>0</v>
      </c>
      <c r="W627" s="210">
        <f>Mon_ILR2[[#This Row],[Accessory Rate]]+Mon_ILR2[[#This Row],[Mounting Rate]]+Mon_ILR2[[#This Row],[Unit Rate]]*Mon_ILR2[[#This Row],[New Quantity Required ]]</f>
        <v>7999</v>
      </c>
      <c r="X627" s="8"/>
      <c r="Y627" s="302" t="s">
        <v>2152</v>
      </c>
    </row>
    <row r="628" spans="2:25" ht="30" customHeight="1" x14ac:dyDescent="0.25">
      <c r="B628" s="207" t="s">
        <v>161</v>
      </c>
      <c r="C628" s="66" t="s">
        <v>198</v>
      </c>
      <c r="D628" s="4" t="s">
        <v>212</v>
      </c>
      <c r="E628" s="4" t="s">
        <v>1072</v>
      </c>
      <c r="F628" s="4" t="s">
        <v>944</v>
      </c>
      <c r="G628" s="4" t="s">
        <v>1181</v>
      </c>
      <c r="H628" s="208">
        <v>1</v>
      </c>
      <c r="I628" s="4"/>
      <c r="J628" s="15"/>
      <c r="K628" s="4" t="str">
        <f>_xlfn.IFNA(VLOOKUP($J628,WH_Data[],6,FALSE),"")</f>
        <v/>
      </c>
      <c r="L628" s="4" t="str">
        <f>_xlfn.IFNA(VLOOKUP($J628,WH_Data[],3,FALSE),"")</f>
        <v/>
      </c>
      <c r="M628" s="4" t="str">
        <f>_xlfn.IFNA(VLOOKUP($J628,WH_Data[],5,FALSE),"")</f>
        <v/>
      </c>
      <c r="N628" s="4" t="str">
        <f>_xlfn.IFNA(VLOOKUP($J628,WH_Data[],7,FALSE),"")</f>
        <v/>
      </c>
      <c r="O628" s="4" t="str">
        <f>_xlfn.IFNA(VLOOKUP($J628,WH_Data[],8,FALSE),"")</f>
        <v/>
      </c>
      <c r="P628" s="8"/>
      <c r="Q628" s="209">
        <f>Mon_ILR2[[#This Row],[Qty Required]]-Mon_ILR2[[#This Row],[QTY Transfer]]</f>
        <v>1</v>
      </c>
      <c r="R628" s="66" t="s">
        <v>905</v>
      </c>
      <c r="S628" s="66" t="s">
        <v>946</v>
      </c>
      <c r="T628" s="210">
        <f>_xlfn.IFNA(VLOOKUP(Mon_ILR2[[#This Row],[New Model]],PhilipsLibary[],4,FALSE),"0")</f>
        <v>7999</v>
      </c>
      <c r="U628" s="210">
        <f>_xlfn.IFNA(VLOOKUP(Mon_ILR2[[#This Row],[New Model]],PhilipsLibary[],5,FALSE),"0")</f>
        <v>0</v>
      </c>
      <c r="V628" s="210">
        <f>_xlfn.IFNA(VLOOKUP(Mon_ILR2[[#This Row],[New Model]],PhilipsLibary[],5,FALSE),"0")</f>
        <v>0</v>
      </c>
      <c r="W628" s="210">
        <f>Mon_ILR2[[#This Row],[Accessory Rate]]+Mon_ILR2[[#This Row],[Mounting Rate]]+Mon_ILR2[[#This Row],[Unit Rate]]*Mon_ILR2[[#This Row],[New Quantity Required ]]</f>
        <v>7999</v>
      </c>
      <c r="X628" s="8"/>
      <c r="Y628" s="302" t="s">
        <v>2152</v>
      </c>
    </row>
    <row r="629" spans="2:25" ht="60" customHeight="1" x14ac:dyDescent="0.25">
      <c r="B629" s="207" t="s">
        <v>161</v>
      </c>
      <c r="C629" s="66" t="s">
        <v>198</v>
      </c>
      <c r="D629" s="4" t="s">
        <v>213</v>
      </c>
      <c r="E629" s="4" t="s">
        <v>1072</v>
      </c>
      <c r="F629" s="4" t="s">
        <v>944</v>
      </c>
      <c r="G629" s="4" t="s">
        <v>1181</v>
      </c>
      <c r="H629" s="208">
        <v>1</v>
      </c>
      <c r="I629" s="4"/>
      <c r="J629" s="15"/>
      <c r="K629" s="4" t="str">
        <f>_xlfn.IFNA(VLOOKUP($J629,WH_Data[],6,FALSE),"")</f>
        <v/>
      </c>
      <c r="L629" s="4" t="str">
        <f>_xlfn.IFNA(VLOOKUP($J629,WH_Data[],3,FALSE),"")</f>
        <v/>
      </c>
      <c r="M629" s="4" t="str">
        <f>_xlfn.IFNA(VLOOKUP($J629,WH_Data[],5,FALSE),"")</f>
        <v/>
      </c>
      <c r="N629" s="4" t="str">
        <f>_xlfn.IFNA(VLOOKUP($J629,WH_Data[],7,FALSE),"")</f>
        <v/>
      </c>
      <c r="O629" s="4" t="str">
        <f>_xlfn.IFNA(VLOOKUP($J629,WH_Data[],8,FALSE),"")</f>
        <v/>
      </c>
      <c r="P629" s="8"/>
      <c r="Q629" s="209">
        <f>Mon_ILR2[[#This Row],[Qty Required]]-Mon_ILR2[[#This Row],[QTY Transfer]]</f>
        <v>1</v>
      </c>
      <c r="R629" s="66" t="s">
        <v>905</v>
      </c>
      <c r="S629" s="66" t="s">
        <v>946</v>
      </c>
      <c r="T629" s="210">
        <f>_xlfn.IFNA(VLOOKUP(Mon_ILR2[[#This Row],[New Model]],PhilipsLibary[],4,FALSE),"0")</f>
        <v>7999</v>
      </c>
      <c r="U629" s="210">
        <f>_xlfn.IFNA(VLOOKUP(Mon_ILR2[[#This Row],[New Model]],PhilipsLibary[],5,FALSE),"0")</f>
        <v>0</v>
      </c>
      <c r="V629" s="210">
        <f>_xlfn.IFNA(VLOOKUP(Mon_ILR2[[#This Row],[New Model]],PhilipsLibary[],5,FALSE),"0")</f>
        <v>0</v>
      </c>
      <c r="W629" s="210">
        <f>Mon_ILR2[[#This Row],[Accessory Rate]]+Mon_ILR2[[#This Row],[Mounting Rate]]+Mon_ILR2[[#This Row],[Unit Rate]]*Mon_ILR2[[#This Row],[New Quantity Required ]]</f>
        <v>7999</v>
      </c>
      <c r="X629" s="8"/>
      <c r="Y629" s="302" t="s">
        <v>2152</v>
      </c>
    </row>
    <row r="630" spans="2:25" ht="60" customHeight="1" x14ac:dyDescent="0.25">
      <c r="B630" s="207" t="s">
        <v>161</v>
      </c>
      <c r="C630" s="66" t="s">
        <v>162</v>
      </c>
      <c r="D630" s="4" t="s">
        <v>220</v>
      </c>
      <c r="E630" s="4" t="s">
        <v>1072</v>
      </c>
      <c r="F630" s="4" t="s">
        <v>944</v>
      </c>
      <c r="G630" s="4" t="s">
        <v>1181</v>
      </c>
      <c r="H630" s="208">
        <v>1</v>
      </c>
      <c r="I630" s="4"/>
      <c r="J630" s="15"/>
      <c r="K630" s="4" t="str">
        <f>_xlfn.IFNA(VLOOKUP($J630,WH_Data[],6,FALSE),"")</f>
        <v/>
      </c>
      <c r="L630" s="4" t="str">
        <f>_xlfn.IFNA(VLOOKUP($J630,WH_Data[],3,FALSE),"")</f>
        <v/>
      </c>
      <c r="M630" s="4" t="str">
        <f>_xlfn.IFNA(VLOOKUP($J630,WH_Data[],5,FALSE),"")</f>
        <v/>
      </c>
      <c r="N630" s="4" t="str">
        <f>_xlfn.IFNA(VLOOKUP($J630,WH_Data[],7,FALSE),"")</f>
        <v/>
      </c>
      <c r="O630" s="4" t="str">
        <f>_xlfn.IFNA(VLOOKUP($J630,WH_Data[],8,FALSE),"")</f>
        <v/>
      </c>
      <c r="P630" s="8"/>
      <c r="Q630" s="209">
        <f>Mon_ILR2[[#This Row],[Qty Required]]-Mon_ILR2[[#This Row],[QTY Transfer]]</f>
        <v>1</v>
      </c>
      <c r="R630" s="66" t="s">
        <v>905</v>
      </c>
      <c r="S630" s="66" t="s">
        <v>946</v>
      </c>
      <c r="T630" s="210">
        <f>_xlfn.IFNA(VLOOKUP(Mon_ILR2[[#This Row],[New Model]],PhilipsLibary[],4,FALSE),"0")</f>
        <v>7999</v>
      </c>
      <c r="U630" s="210">
        <f>_xlfn.IFNA(VLOOKUP(Mon_ILR2[[#This Row],[New Model]],PhilipsLibary[],5,FALSE),"0")</f>
        <v>0</v>
      </c>
      <c r="V630" s="210">
        <f>_xlfn.IFNA(VLOOKUP(Mon_ILR2[[#This Row],[New Model]],PhilipsLibary[],5,FALSE),"0")</f>
        <v>0</v>
      </c>
      <c r="W630" s="210">
        <f>Mon_ILR2[[#This Row],[Accessory Rate]]+Mon_ILR2[[#This Row],[Mounting Rate]]+Mon_ILR2[[#This Row],[Unit Rate]]*Mon_ILR2[[#This Row],[New Quantity Required ]]</f>
        <v>7999</v>
      </c>
      <c r="X630" s="8"/>
      <c r="Y630" s="302" t="s">
        <v>2152</v>
      </c>
    </row>
    <row r="631" spans="2:25" ht="30" x14ac:dyDescent="0.25">
      <c r="B631" s="207" t="s">
        <v>161</v>
      </c>
      <c r="C631" s="66" t="s">
        <v>162</v>
      </c>
      <c r="D631" s="4" t="s">
        <v>163</v>
      </c>
      <c r="E631" s="4" t="s">
        <v>1072</v>
      </c>
      <c r="F631" s="4" t="s">
        <v>944</v>
      </c>
      <c r="G631" s="4" t="s">
        <v>1181</v>
      </c>
      <c r="H631" s="208">
        <v>1</v>
      </c>
      <c r="I631" s="4"/>
      <c r="J631" s="15"/>
      <c r="K631" s="4" t="str">
        <f>_xlfn.IFNA(VLOOKUP($J631,WH_Data[],6,FALSE),"")</f>
        <v/>
      </c>
      <c r="L631" s="4" t="str">
        <f>_xlfn.IFNA(VLOOKUP($J631,WH_Data[],3,FALSE),"")</f>
        <v/>
      </c>
      <c r="M631" s="4" t="str">
        <f>_xlfn.IFNA(VLOOKUP($J631,WH_Data[],5,FALSE),"")</f>
        <v/>
      </c>
      <c r="N631" s="4" t="str">
        <f>_xlfn.IFNA(VLOOKUP($J631,WH_Data[],7,FALSE),"")</f>
        <v/>
      </c>
      <c r="O631" s="4" t="str">
        <f>_xlfn.IFNA(VLOOKUP($J631,WH_Data[],8,FALSE),"")</f>
        <v/>
      </c>
      <c r="P631" s="8"/>
      <c r="Q631" s="209">
        <f>Mon_ILR2[[#This Row],[Qty Required]]-Mon_ILR2[[#This Row],[QTY Transfer]]</f>
        <v>1</v>
      </c>
      <c r="R631" s="66" t="s">
        <v>905</v>
      </c>
      <c r="S631" s="66" t="s">
        <v>946</v>
      </c>
      <c r="T631" s="210">
        <f>_xlfn.IFNA(VLOOKUP(Mon_ILR2[[#This Row],[New Model]],PhilipsLibary[],4,FALSE),"0")</f>
        <v>7999</v>
      </c>
      <c r="U631" s="210">
        <f>_xlfn.IFNA(VLOOKUP(Mon_ILR2[[#This Row],[New Model]],PhilipsLibary[],5,FALSE),"0")</f>
        <v>0</v>
      </c>
      <c r="V631" s="210">
        <f>_xlfn.IFNA(VLOOKUP(Mon_ILR2[[#This Row],[New Model]],PhilipsLibary[],5,FALSE),"0")</f>
        <v>0</v>
      </c>
      <c r="W631" s="210">
        <f>Mon_ILR2[[#This Row],[Accessory Rate]]+Mon_ILR2[[#This Row],[Mounting Rate]]+Mon_ILR2[[#This Row],[Unit Rate]]*Mon_ILR2[[#This Row],[New Quantity Required ]]</f>
        <v>7999</v>
      </c>
      <c r="X631" s="8"/>
      <c r="Y631" s="302" t="s">
        <v>2152</v>
      </c>
    </row>
    <row r="632" spans="2:25" ht="15.75" x14ac:dyDescent="0.25">
      <c r="B632" s="207" t="s">
        <v>161</v>
      </c>
      <c r="C632" s="66" t="s">
        <v>185</v>
      </c>
      <c r="D632" s="4" t="s">
        <v>186</v>
      </c>
      <c r="E632" s="4" t="s">
        <v>1027</v>
      </c>
      <c r="F632" s="4" t="s">
        <v>944</v>
      </c>
      <c r="G632" s="4" t="s">
        <v>1181</v>
      </c>
      <c r="H632" s="208">
        <v>1</v>
      </c>
      <c r="I632" s="4"/>
      <c r="J632" s="15"/>
      <c r="K632" s="4" t="str">
        <f>_xlfn.IFNA(VLOOKUP($J632,WH_Data[],6,FALSE),"")</f>
        <v/>
      </c>
      <c r="L632" s="4" t="str">
        <f>_xlfn.IFNA(VLOOKUP($J632,WH_Data[],3,FALSE),"")</f>
        <v/>
      </c>
      <c r="M632" s="4" t="str">
        <f>_xlfn.IFNA(VLOOKUP($J632,WH_Data[],5,FALSE),"")</f>
        <v/>
      </c>
      <c r="N632" s="4" t="str">
        <f>_xlfn.IFNA(VLOOKUP($J632,WH_Data[],7,FALSE),"")</f>
        <v/>
      </c>
      <c r="O632" s="4" t="str">
        <f>_xlfn.IFNA(VLOOKUP($J632,WH_Data[],8,FALSE),"")</f>
        <v/>
      </c>
      <c r="P632" s="8"/>
      <c r="Q632" s="209">
        <f>Mon_ILR2[[#This Row],[Qty Required]]-Mon_ILR2[[#This Row],[QTY Transfer]]</f>
        <v>1</v>
      </c>
      <c r="R632" s="66" t="s">
        <v>905</v>
      </c>
      <c r="S632" s="66" t="s">
        <v>946</v>
      </c>
      <c r="T632" s="210">
        <f>_xlfn.IFNA(VLOOKUP(Mon_ILR2[[#This Row],[New Model]],PhilipsLibary[],4,FALSE),"0")</f>
        <v>7999</v>
      </c>
      <c r="U632" s="210">
        <f>_xlfn.IFNA(VLOOKUP(Mon_ILR2[[#This Row],[New Model]],PhilipsLibary[],5,FALSE),"0")</f>
        <v>0</v>
      </c>
      <c r="V632" s="210">
        <f>_xlfn.IFNA(VLOOKUP(Mon_ILR2[[#This Row],[New Model]],PhilipsLibary[],5,FALSE),"0")</f>
        <v>0</v>
      </c>
      <c r="W632" s="210">
        <f>Mon_ILR2[[#This Row],[Accessory Rate]]+Mon_ILR2[[#This Row],[Mounting Rate]]+Mon_ILR2[[#This Row],[Unit Rate]]*Mon_ILR2[[#This Row],[New Quantity Required ]]</f>
        <v>7999</v>
      </c>
      <c r="X632" s="8"/>
      <c r="Y632" s="246"/>
    </row>
    <row r="633" spans="2:25" ht="120" x14ac:dyDescent="0.25">
      <c r="B633" s="207" t="s">
        <v>161</v>
      </c>
      <c r="C633" s="66" t="s">
        <v>191</v>
      </c>
      <c r="D633" s="4" t="s">
        <v>192</v>
      </c>
      <c r="E633" s="4" t="s">
        <v>1027</v>
      </c>
      <c r="F633" s="4" t="s">
        <v>944</v>
      </c>
      <c r="G633" s="4" t="s">
        <v>1181</v>
      </c>
      <c r="H633" s="208">
        <v>1</v>
      </c>
      <c r="I633" s="4"/>
      <c r="J633" s="46" t="s">
        <v>1182</v>
      </c>
      <c r="K633" s="4" t="str">
        <f>_xlfn.IFNA(VLOOKUP($J633,WH_Data[],6,FALSE),"")</f>
        <v>MULTI-PARAMETERS MODULE, PHYSIOLOGICAL</v>
      </c>
      <c r="L633" s="4" t="str">
        <f>_xlfn.IFNA(VLOOKUP($J633,WH_Data[],3,FALSE),"")</f>
        <v>PHILIPS MEDICAL SYSTEMS AUSTRA</v>
      </c>
      <c r="M633" s="4" t="str">
        <f>_xlfn.IFNA(VLOOKUP($J633,WH_Data[],5,FALSE),"")</f>
        <v>IntelliVue X3</v>
      </c>
      <c r="N633" s="4" t="str">
        <f>_xlfn.IFNA(VLOOKUP($J633,WH_Data[],7,FALSE),"")</f>
        <v>DE61146286</v>
      </c>
      <c r="O633" s="4" t="str">
        <f>_xlfn.IFNA(VLOOKUP($J633,WH_Data[],8,FALSE),"")</f>
        <v>CCU FH</v>
      </c>
      <c r="P633" s="8">
        <v>1</v>
      </c>
      <c r="Q633" s="209">
        <f>Mon_ILR2[[#This Row],[Qty Required]]-Mon_ILR2[[#This Row],[QTY Transfer]]</f>
        <v>0</v>
      </c>
      <c r="R633" s="66" t="s">
        <v>905</v>
      </c>
      <c r="S633" s="66" t="s">
        <v>952</v>
      </c>
      <c r="T633" s="210">
        <v>1175</v>
      </c>
      <c r="U633" s="210">
        <f>_xlfn.IFNA(VLOOKUP(Mon_ILR2[[#This Row],[New Model]],PhilipsLibary[],5,FALSE),"0")</f>
        <v>0</v>
      </c>
      <c r="V633" s="210">
        <v>500</v>
      </c>
      <c r="W633" s="210">
        <v>1675</v>
      </c>
      <c r="X633" s="246" t="s">
        <v>2200</v>
      </c>
      <c r="Y633" s="246" t="s">
        <v>1183</v>
      </c>
    </row>
    <row r="634" spans="2:25" ht="120" x14ac:dyDescent="0.25">
      <c r="B634" s="207" t="s">
        <v>161</v>
      </c>
      <c r="C634" s="66" t="s">
        <v>191</v>
      </c>
      <c r="D634" s="4" t="s">
        <v>192</v>
      </c>
      <c r="E634" s="4" t="s">
        <v>1027</v>
      </c>
      <c r="F634" s="4" t="s">
        <v>944</v>
      </c>
      <c r="G634" s="4" t="s">
        <v>1181</v>
      </c>
      <c r="H634" s="208">
        <v>1</v>
      </c>
      <c r="I634" s="4"/>
      <c r="J634" s="46" t="s">
        <v>1184</v>
      </c>
      <c r="K634" s="4" t="str">
        <f>_xlfn.IFNA(VLOOKUP($J634,WH_Data[],6,FALSE),"")</f>
        <v>MULTI-PARAMETERS MODULE, PHYSIOLOGICAL</v>
      </c>
      <c r="L634" s="4" t="str">
        <f>_xlfn.IFNA(VLOOKUP($J634,WH_Data[],3,FALSE),"")</f>
        <v>PHILIPS MEDICAL SYSTEMS AUSTRA</v>
      </c>
      <c r="M634" s="4" t="str">
        <f>_xlfn.IFNA(VLOOKUP($J634,WH_Data[],5,FALSE),"")</f>
        <v>IntelliVue X3</v>
      </c>
      <c r="N634" s="4" t="str">
        <f>_xlfn.IFNA(VLOOKUP($J634,WH_Data[],7,FALSE),"")</f>
        <v>DE61146924</v>
      </c>
      <c r="O634" s="4" t="str">
        <f>_xlfn.IFNA(VLOOKUP($J634,WH_Data[],8,FALSE),"")</f>
        <v>CCU FH</v>
      </c>
      <c r="P634" s="8">
        <v>1</v>
      </c>
      <c r="Q634" s="209">
        <f>Mon_ILR2[[#This Row],[Qty Required]]-Mon_ILR2[[#This Row],[QTY Transfer]]</f>
        <v>0</v>
      </c>
      <c r="R634" s="66" t="s">
        <v>905</v>
      </c>
      <c r="S634" s="66" t="s">
        <v>952</v>
      </c>
      <c r="T634" s="210">
        <v>1175</v>
      </c>
      <c r="U634" s="210">
        <f>_xlfn.IFNA(VLOOKUP(Mon_ILR2[[#This Row],[New Model]],PhilipsLibary[],5,FALSE),"0")</f>
        <v>0</v>
      </c>
      <c r="V634" s="210">
        <v>500</v>
      </c>
      <c r="W634" s="210">
        <v>1675</v>
      </c>
      <c r="X634" s="246" t="s">
        <v>2200</v>
      </c>
      <c r="Y634" s="246" t="s">
        <v>1183</v>
      </c>
    </row>
    <row r="635" spans="2:25" ht="120" x14ac:dyDescent="0.25">
      <c r="B635" s="207" t="s">
        <v>161</v>
      </c>
      <c r="C635" s="66" t="s">
        <v>191</v>
      </c>
      <c r="D635" s="4" t="s">
        <v>201</v>
      </c>
      <c r="E635" s="4" t="s">
        <v>1027</v>
      </c>
      <c r="F635" s="4" t="s">
        <v>944</v>
      </c>
      <c r="G635" s="4" t="s">
        <v>1181</v>
      </c>
      <c r="H635" s="208">
        <v>1</v>
      </c>
      <c r="I635" s="4"/>
      <c r="J635" s="46" t="s">
        <v>1185</v>
      </c>
      <c r="K635" s="4" t="str">
        <f>_xlfn.IFNA(VLOOKUP($J635,WH_Data[],6,FALSE),"")</f>
        <v>MULTI-PARAMETERS MODULE, PHYSIOLOGICAL</v>
      </c>
      <c r="L635" s="4" t="str">
        <f>_xlfn.IFNA(VLOOKUP($J635,WH_Data[],3,FALSE),"")</f>
        <v>PHILIPS MEDICAL SYSTEMS AUSTRA</v>
      </c>
      <c r="M635" s="4" t="str">
        <f>_xlfn.IFNA(VLOOKUP($J635,WH_Data[],5,FALSE),"")</f>
        <v>IntelliVue X3</v>
      </c>
      <c r="N635" s="4" t="str">
        <f>_xlfn.IFNA(VLOOKUP($J635,WH_Data[],7,FALSE),"")</f>
        <v>DE61146752</v>
      </c>
      <c r="O635" s="4" t="str">
        <f>_xlfn.IFNA(VLOOKUP($J635,WH_Data[],8,FALSE),"")</f>
        <v>CCU FH</v>
      </c>
      <c r="P635" s="8">
        <v>1</v>
      </c>
      <c r="Q635" s="209">
        <f>Mon_ILR2[[#This Row],[Qty Required]]-Mon_ILR2[[#This Row],[QTY Transfer]]</f>
        <v>0</v>
      </c>
      <c r="R635" s="66" t="s">
        <v>905</v>
      </c>
      <c r="S635" s="66" t="s">
        <v>952</v>
      </c>
      <c r="T635" s="210">
        <v>1175</v>
      </c>
      <c r="U635" s="210">
        <f>_xlfn.IFNA(VLOOKUP(Mon_ILR2[[#This Row],[New Model]],PhilipsLibary[],5,FALSE),"0")</f>
        <v>0</v>
      </c>
      <c r="V635" s="210">
        <v>500</v>
      </c>
      <c r="W635" s="210">
        <v>1675</v>
      </c>
      <c r="X635" s="246" t="s">
        <v>2200</v>
      </c>
      <c r="Y635" s="246" t="s">
        <v>1183</v>
      </c>
    </row>
    <row r="636" spans="2:25" ht="120" x14ac:dyDescent="0.25">
      <c r="B636" s="207" t="s">
        <v>161</v>
      </c>
      <c r="C636" s="66" t="s">
        <v>191</v>
      </c>
      <c r="D636" s="4" t="s">
        <v>201</v>
      </c>
      <c r="E636" s="4" t="s">
        <v>1027</v>
      </c>
      <c r="F636" s="4" t="s">
        <v>944</v>
      </c>
      <c r="G636" s="4" t="s">
        <v>1181</v>
      </c>
      <c r="H636" s="208">
        <v>1</v>
      </c>
      <c r="I636" s="4"/>
      <c r="J636" s="46" t="s">
        <v>1186</v>
      </c>
      <c r="K636" s="4" t="str">
        <f>_xlfn.IFNA(VLOOKUP($J636,WH_Data[],6,FALSE),"")</f>
        <v>MULTI-PARAMETERS MODULE, PHYSIOLOGICAL</v>
      </c>
      <c r="L636" s="4" t="str">
        <f>_xlfn.IFNA(VLOOKUP($J636,WH_Data[],3,FALSE),"")</f>
        <v>PHILIPS MEDICAL SYSTEMS AUSTRA</v>
      </c>
      <c r="M636" s="4" t="str">
        <f>_xlfn.IFNA(VLOOKUP($J636,WH_Data[],5,FALSE),"")</f>
        <v>IntelliVue X3</v>
      </c>
      <c r="N636" s="4" t="str">
        <f>_xlfn.IFNA(VLOOKUP($J636,WH_Data[],7,FALSE),"")</f>
        <v>DE61146277</v>
      </c>
      <c r="O636" s="4" t="str">
        <f>_xlfn.IFNA(VLOOKUP($J636,WH_Data[],8,FALSE),"")</f>
        <v>CCU FH</v>
      </c>
      <c r="P636" s="8">
        <v>1</v>
      </c>
      <c r="Q636" s="209">
        <f>Mon_ILR2[[#This Row],[Qty Required]]-Mon_ILR2[[#This Row],[QTY Transfer]]</f>
        <v>0</v>
      </c>
      <c r="R636" s="66" t="s">
        <v>905</v>
      </c>
      <c r="S636" s="66" t="s">
        <v>952</v>
      </c>
      <c r="T636" s="210">
        <v>1175</v>
      </c>
      <c r="U636" s="210">
        <f>_xlfn.IFNA(VLOOKUP(Mon_ILR2[[#This Row],[New Model]],PhilipsLibary[],5,FALSE),"0")</f>
        <v>0</v>
      </c>
      <c r="V636" s="210">
        <v>500</v>
      </c>
      <c r="W636" s="210">
        <v>1675</v>
      </c>
      <c r="X636" s="246" t="s">
        <v>2200</v>
      </c>
      <c r="Y636" s="246" t="s">
        <v>1183</v>
      </c>
    </row>
    <row r="637" spans="2:25" ht="120" x14ac:dyDescent="0.25">
      <c r="B637" s="207" t="s">
        <v>161</v>
      </c>
      <c r="C637" s="66" t="s">
        <v>191</v>
      </c>
      <c r="D637" s="4" t="s">
        <v>207</v>
      </c>
      <c r="E637" s="4" t="s">
        <v>1027</v>
      </c>
      <c r="F637" s="4" t="s">
        <v>944</v>
      </c>
      <c r="G637" s="4" t="s">
        <v>1181</v>
      </c>
      <c r="H637" s="208">
        <v>1</v>
      </c>
      <c r="I637" s="4"/>
      <c r="J637" s="46" t="s">
        <v>1187</v>
      </c>
      <c r="K637" s="4" t="str">
        <f>_xlfn.IFNA(VLOOKUP($J637,WH_Data[],6,FALSE),"")</f>
        <v>MULTI-PARAMETERS MODULE, PHYSIOLOGICAL</v>
      </c>
      <c r="L637" s="4" t="str">
        <f>_xlfn.IFNA(VLOOKUP($J637,WH_Data[],3,FALSE),"")</f>
        <v>PHILIPS MEDICAL SYSTEMS AUSTRA</v>
      </c>
      <c r="M637" s="4" t="str">
        <f>_xlfn.IFNA(VLOOKUP($J637,WH_Data[],5,FALSE),"")</f>
        <v>IntelliVue X3</v>
      </c>
      <c r="N637" s="4" t="str">
        <f>_xlfn.IFNA(VLOOKUP($J637,WH_Data[],7,FALSE),"")</f>
        <v>DE61146646</v>
      </c>
      <c r="O637" s="4" t="str">
        <f>_xlfn.IFNA(VLOOKUP($J637,WH_Data[],8,FALSE),"")</f>
        <v>CCU FH</v>
      </c>
      <c r="P637" s="8">
        <v>1</v>
      </c>
      <c r="Q637" s="209">
        <f>Mon_ILR2[[#This Row],[Qty Required]]-Mon_ILR2[[#This Row],[QTY Transfer]]</f>
        <v>0</v>
      </c>
      <c r="R637" s="66" t="s">
        <v>905</v>
      </c>
      <c r="S637" s="66" t="s">
        <v>952</v>
      </c>
      <c r="T637" s="210">
        <v>1175</v>
      </c>
      <c r="U637" s="210">
        <f>_xlfn.IFNA(VLOOKUP(Mon_ILR2[[#This Row],[New Model]],PhilipsLibary[],5,FALSE),"0")</f>
        <v>0</v>
      </c>
      <c r="V637" s="210">
        <v>500</v>
      </c>
      <c r="W637" s="210">
        <v>1675</v>
      </c>
      <c r="X637" s="246" t="s">
        <v>2200</v>
      </c>
      <c r="Y637" s="246" t="s">
        <v>1183</v>
      </c>
    </row>
    <row r="638" spans="2:25" ht="120" x14ac:dyDescent="0.25">
      <c r="B638" s="207" t="s">
        <v>161</v>
      </c>
      <c r="C638" s="66" t="s">
        <v>191</v>
      </c>
      <c r="D638" s="4" t="s">
        <v>207</v>
      </c>
      <c r="E638" s="4" t="s">
        <v>1027</v>
      </c>
      <c r="F638" s="4" t="s">
        <v>944</v>
      </c>
      <c r="G638" s="4" t="s">
        <v>1181</v>
      </c>
      <c r="H638" s="208">
        <v>1</v>
      </c>
      <c r="I638" s="4"/>
      <c r="J638" s="46" t="s">
        <v>1188</v>
      </c>
      <c r="K638" s="4" t="str">
        <f>_xlfn.IFNA(VLOOKUP($J638,WH_Data[],6,FALSE),"")</f>
        <v>MULTI-PARAMETERS MODULE, PHYSIOLOGICAL</v>
      </c>
      <c r="L638" s="4" t="str">
        <f>_xlfn.IFNA(VLOOKUP($J638,WH_Data[],3,FALSE),"")</f>
        <v>PHILIPS MEDICAL SYSTEMS AUSTRA</v>
      </c>
      <c r="M638" s="4" t="str">
        <f>_xlfn.IFNA(VLOOKUP($J638,WH_Data[],5,FALSE),"")</f>
        <v>IntelliVue X3</v>
      </c>
      <c r="N638" s="4" t="str">
        <f>_xlfn.IFNA(VLOOKUP($J638,WH_Data[],7,FALSE),"")</f>
        <v>DE61146625</v>
      </c>
      <c r="O638" s="4" t="str">
        <f>_xlfn.IFNA(VLOOKUP($J638,WH_Data[],8,FALSE),"")</f>
        <v>CCU FH</v>
      </c>
      <c r="P638" s="8">
        <v>1</v>
      </c>
      <c r="Q638" s="209">
        <f>Mon_ILR2[[#This Row],[Qty Required]]-Mon_ILR2[[#This Row],[QTY Transfer]]</f>
        <v>0</v>
      </c>
      <c r="R638" s="66" t="s">
        <v>905</v>
      </c>
      <c r="S638" s="66" t="s">
        <v>952</v>
      </c>
      <c r="T638" s="210">
        <v>1175</v>
      </c>
      <c r="U638" s="210">
        <f>_xlfn.IFNA(VLOOKUP(Mon_ILR2[[#This Row],[New Model]],PhilipsLibary[],5,FALSE),"0")</f>
        <v>0</v>
      </c>
      <c r="V638" s="210">
        <v>500</v>
      </c>
      <c r="W638" s="210">
        <v>1675</v>
      </c>
      <c r="X638" s="246" t="s">
        <v>2200</v>
      </c>
      <c r="Y638" s="246" t="s">
        <v>1183</v>
      </c>
    </row>
    <row r="639" spans="2:25" ht="120" x14ac:dyDescent="0.25">
      <c r="B639" s="207" t="s">
        <v>161</v>
      </c>
      <c r="C639" s="66" t="s">
        <v>191</v>
      </c>
      <c r="D639" s="4" t="s">
        <v>214</v>
      </c>
      <c r="E639" s="4" t="s">
        <v>1027</v>
      </c>
      <c r="F639" s="4" t="s">
        <v>944</v>
      </c>
      <c r="G639" s="4" t="s">
        <v>1181</v>
      </c>
      <c r="H639" s="208">
        <v>1</v>
      </c>
      <c r="I639" s="4"/>
      <c r="J639" s="46" t="s">
        <v>1189</v>
      </c>
      <c r="K639" s="4" t="str">
        <f>_xlfn.IFNA(VLOOKUP($J639,WH_Data[],6,FALSE),"")</f>
        <v>MULTI-PARAMETERS MODULE, PHYSIOLOGICAL</v>
      </c>
      <c r="L639" s="4" t="str">
        <f>_xlfn.IFNA(VLOOKUP($J639,WH_Data[],3,FALSE),"")</f>
        <v>PHILIPS MEDICAL SYSTEMS AUSTRA</v>
      </c>
      <c r="M639" s="4" t="str">
        <f>_xlfn.IFNA(VLOOKUP($J639,WH_Data[],5,FALSE),"")</f>
        <v>IntelliVue X3</v>
      </c>
      <c r="N639" s="4" t="str">
        <f>_xlfn.IFNA(VLOOKUP($J639,WH_Data[],7,FALSE),"")</f>
        <v>DE61146280</v>
      </c>
      <c r="O639" s="4" t="str">
        <f>_xlfn.IFNA(VLOOKUP($J639,WH_Data[],8,FALSE),"")</f>
        <v>CCU FH</v>
      </c>
      <c r="P639" s="8">
        <v>1</v>
      </c>
      <c r="Q639" s="209">
        <f>Mon_ILR2[[#This Row],[Qty Required]]-Mon_ILR2[[#This Row],[QTY Transfer]]</f>
        <v>0</v>
      </c>
      <c r="R639" s="66" t="s">
        <v>905</v>
      </c>
      <c r="S639" s="66" t="s">
        <v>952</v>
      </c>
      <c r="T639" s="210">
        <v>1175</v>
      </c>
      <c r="U639" s="210">
        <f>_xlfn.IFNA(VLOOKUP(Mon_ILR2[[#This Row],[New Model]],PhilipsLibary[],5,FALSE),"0")</f>
        <v>0</v>
      </c>
      <c r="V639" s="210">
        <v>500</v>
      </c>
      <c r="W639" s="210">
        <v>1675</v>
      </c>
      <c r="X639" s="246" t="s">
        <v>2200</v>
      </c>
      <c r="Y639" s="246" t="s">
        <v>1183</v>
      </c>
    </row>
    <row r="640" spans="2:25" ht="120" x14ac:dyDescent="0.25">
      <c r="B640" s="207" t="s">
        <v>161</v>
      </c>
      <c r="C640" s="66" t="s">
        <v>191</v>
      </c>
      <c r="D640" s="4" t="s">
        <v>214</v>
      </c>
      <c r="E640" s="4" t="s">
        <v>1027</v>
      </c>
      <c r="F640" s="4" t="s">
        <v>944</v>
      </c>
      <c r="G640" s="4" t="s">
        <v>1181</v>
      </c>
      <c r="H640" s="208">
        <v>1</v>
      </c>
      <c r="I640" s="4"/>
      <c r="J640" s="46" t="s">
        <v>1190</v>
      </c>
      <c r="K640" s="4" t="str">
        <f>_xlfn.IFNA(VLOOKUP($J640,WH_Data[],6,FALSE),"")</f>
        <v>MULTI-PARAMETERS MODULE, PHYSIOLOGICAL</v>
      </c>
      <c r="L640" s="4" t="str">
        <f>_xlfn.IFNA(VLOOKUP($J640,WH_Data[],3,FALSE),"")</f>
        <v>PHILIPS MEDICAL SYSTEMS AUSTRA</v>
      </c>
      <c r="M640" s="4" t="str">
        <f>_xlfn.IFNA(VLOOKUP($J640,WH_Data[],5,FALSE),"")</f>
        <v>IntelliVue X3</v>
      </c>
      <c r="N640" s="4" t="str">
        <f>_xlfn.IFNA(VLOOKUP($J640,WH_Data[],7,FALSE),"")</f>
        <v>DE694B0049</v>
      </c>
      <c r="O640" s="4" t="str">
        <f>_xlfn.IFNA(VLOOKUP($J640,WH_Data[],8,FALSE),"")</f>
        <v>CCU FH</v>
      </c>
      <c r="P640" s="8">
        <v>1</v>
      </c>
      <c r="Q640" s="209">
        <f>Mon_ILR2[[#This Row],[Qty Required]]-Mon_ILR2[[#This Row],[QTY Transfer]]</f>
        <v>0</v>
      </c>
      <c r="R640" s="66" t="s">
        <v>905</v>
      </c>
      <c r="S640" s="66" t="s">
        <v>952</v>
      </c>
      <c r="T640" s="210">
        <v>1175</v>
      </c>
      <c r="U640" s="210">
        <f>_xlfn.IFNA(VLOOKUP(Mon_ILR2[[#This Row],[New Model]],PhilipsLibary[],5,FALSE),"0")</f>
        <v>0</v>
      </c>
      <c r="V640" s="210">
        <v>500</v>
      </c>
      <c r="W640" s="210">
        <v>1675</v>
      </c>
      <c r="X640" s="246" t="s">
        <v>2200</v>
      </c>
      <c r="Y640" s="246" t="s">
        <v>1183</v>
      </c>
    </row>
    <row r="641" spans="2:25" ht="120" x14ac:dyDescent="0.25">
      <c r="B641" s="207" t="s">
        <v>161</v>
      </c>
      <c r="C641" s="66" t="s">
        <v>225</v>
      </c>
      <c r="D641" s="4" t="s">
        <v>226</v>
      </c>
      <c r="E641" s="4" t="s">
        <v>1027</v>
      </c>
      <c r="F641" s="4" t="s">
        <v>944</v>
      </c>
      <c r="G641" s="4" t="s">
        <v>1181</v>
      </c>
      <c r="H641" s="208">
        <v>1</v>
      </c>
      <c r="I641" s="4"/>
      <c r="J641" s="46" t="s">
        <v>1191</v>
      </c>
      <c r="K641" s="4" t="str">
        <f>_xlfn.IFNA(VLOOKUP($J641,WH_Data[],6,FALSE),"")</f>
        <v>MULTI-PARAMETERS MODULE, PHYSIOLOGICAL</v>
      </c>
      <c r="L641" s="4" t="str">
        <f>_xlfn.IFNA(VLOOKUP($J641,WH_Data[],3,FALSE),"")</f>
        <v>PHILIPS MEDICAL SYSTEMS AUSTRA</v>
      </c>
      <c r="M641" s="4" t="str">
        <f>_xlfn.IFNA(VLOOKUP($J641,WH_Data[],5,FALSE),"")</f>
        <v>IntelliVue X3</v>
      </c>
      <c r="N641" s="4" t="str">
        <f>_xlfn.IFNA(VLOOKUP($J641,WH_Data[],7,FALSE),"")</f>
        <v>DE694B0017</v>
      </c>
      <c r="O641" s="4" t="str">
        <f>_xlfn.IFNA(VLOOKUP($J641,WH_Data[],8,FALSE),"")</f>
        <v>CCU FH</v>
      </c>
      <c r="P641" s="8">
        <v>1</v>
      </c>
      <c r="Q641" s="209">
        <f>Mon_ILR2[[#This Row],[Qty Required]]-Mon_ILR2[[#This Row],[QTY Transfer]]</f>
        <v>0</v>
      </c>
      <c r="R641" s="66" t="s">
        <v>905</v>
      </c>
      <c r="S641" s="66" t="s">
        <v>952</v>
      </c>
      <c r="T641" s="210">
        <v>1175</v>
      </c>
      <c r="U641" s="210">
        <f>_xlfn.IFNA(VLOOKUP(Mon_ILR2[[#This Row],[New Model]],PhilipsLibary[],5,FALSE),"0")</f>
        <v>0</v>
      </c>
      <c r="V641" s="210">
        <v>500</v>
      </c>
      <c r="W641" s="210">
        <v>1675</v>
      </c>
      <c r="X641" s="246" t="s">
        <v>2200</v>
      </c>
      <c r="Y641" s="246" t="s">
        <v>1183</v>
      </c>
    </row>
    <row r="642" spans="2:25" ht="15.75" x14ac:dyDescent="0.25">
      <c r="B642" s="207" t="s">
        <v>161</v>
      </c>
      <c r="C642" s="66" t="s">
        <v>191</v>
      </c>
      <c r="D642" s="4" t="s">
        <v>229</v>
      </c>
      <c r="E642" s="4" t="s">
        <v>1027</v>
      </c>
      <c r="F642" s="4" t="s">
        <v>944</v>
      </c>
      <c r="G642" s="4" t="s">
        <v>1181</v>
      </c>
      <c r="H642" s="208">
        <v>1</v>
      </c>
      <c r="I642" s="4"/>
      <c r="J642" s="15"/>
      <c r="K642" s="4" t="str">
        <f>_xlfn.IFNA(VLOOKUP($J642,WH_Data[],6,FALSE),"")</f>
        <v/>
      </c>
      <c r="L642" s="4" t="str">
        <f>_xlfn.IFNA(VLOOKUP($J642,WH_Data[],3,FALSE),"")</f>
        <v/>
      </c>
      <c r="M642" s="4" t="str">
        <f>_xlfn.IFNA(VLOOKUP($J642,WH_Data[],5,FALSE),"")</f>
        <v/>
      </c>
      <c r="N642" s="4" t="str">
        <f>_xlfn.IFNA(VLOOKUP($J642,WH_Data[],7,FALSE),"")</f>
        <v/>
      </c>
      <c r="O642" s="4" t="str">
        <f>_xlfn.IFNA(VLOOKUP($J642,WH_Data[],8,FALSE),"")</f>
        <v/>
      </c>
      <c r="P642" s="8"/>
      <c r="Q642" s="209">
        <f>Mon_ILR2[[#This Row],[Qty Required]]-Mon_ILR2[[#This Row],[QTY Transfer]]</f>
        <v>1</v>
      </c>
      <c r="R642" s="66" t="s">
        <v>905</v>
      </c>
      <c r="S642" s="66" t="s">
        <v>946</v>
      </c>
      <c r="T642" s="210">
        <f>_xlfn.IFNA(VLOOKUP(Mon_ILR2[[#This Row],[New Model]],PhilipsLibary[],4,FALSE),"0")</f>
        <v>7999</v>
      </c>
      <c r="U642" s="210">
        <f>_xlfn.IFNA(VLOOKUP(Mon_ILR2[[#This Row],[New Model]],PhilipsLibary[],5,FALSE),"0")</f>
        <v>0</v>
      </c>
      <c r="V642" s="210">
        <f>_xlfn.IFNA(VLOOKUP(Mon_ILR2[[#This Row],[New Model]],PhilipsLibary[],5,FALSE),"0")</f>
        <v>0</v>
      </c>
      <c r="W642" s="210">
        <f>Mon_ILR2[[#This Row],[Accessory Rate]]+Mon_ILR2[[#This Row],[Mounting Rate]]+Mon_ILR2[[#This Row],[Unit Rate]]*Mon_ILR2[[#This Row],[New Quantity Required ]]</f>
        <v>7999</v>
      </c>
      <c r="X642" s="8"/>
      <c r="Y642" s="246"/>
    </row>
    <row r="643" spans="2:25" ht="15.75" x14ac:dyDescent="0.25">
      <c r="B643" s="207" t="s">
        <v>161</v>
      </c>
      <c r="C643" s="66" t="s">
        <v>191</v>
      </c>
      <c r="D643" s="4" t="s">
        <v>229</v>
      </c>
      <c r="E643" s="4" t="s">
        <v>1027</v>
      </c>
      <c r="F643" s="4" t="s">
        <v>944</v>
      </c>
      <c r="G643" s="4" t="s">
        <v>1181</v>
      </c>
      <c r="H643" s="208">
        <v>1</v>
      </c>
      <c r="I643" s="4"/>
      <c r="J643" s="15"/>
      <c r="K643" s="4" t="str">
        <f>_xlfn.IFNA(VLOOKUP($J643,WH_Data[],6,FALSE),"")</f>
        <v/>
      </c>
      <c r="L643" s="4" t="str">
        <f>_xlfn.IFNA(VLOOKUP($J643,WH_Data[],3,FALSE),"")</f>
        <v/>
      </c>
      <c r="M643" s="4" t="str">
        <f>_xlfn.IFNA(VLOOKUP($J643,WH_Data[],5,FALSE),"")</f>
        <v/>
      </c>
      <c r="N643" s="4" t="str">
        <f>_xlfn.IFNA(VLOOKUP($J643,WH_Data[],7,FALSE),"")</f>
        <v/>
      </c>
      <c r="O643" s="4" t="str">
        <f>_xlfn.IFNA(VLOOKUP($J643,WH_Data[],8,FALSE),"")</f>
        <v/>
      </c>
      <c r="P643" s="8"/>
      <c r="Q643" s="209">
        <f>Mon_ILR2[[#This Row],[Qty Required]]-Mon_ILR2[[#This Row],[QTY Transfer]]</f>
        <v>1</v>
      </c>
      <c r="R643" s="66" t="s">
        <v>905</v>
      </c>
      <c r="S643" s="66" t="s">
        <v>946</v>
      </c>
      <c r="T643" s="210">
        <f>_xlfn.IFNA(VLOOKUP(Mon_ILR2[[#This Row],[New Model]],PhilipsLibary[],4,FALSE),"0")</f>
        <v>7999</v>
      </c>
      <c r="U643" s="210">
        <f>_xlfn.IFNA(VLOOKUP(Mon_ILR2[[#This Row],[New Model]],PhilipsLibary[],5,FALSE),"0")</f>
        <v>0</v>
      </c>
      <c r="V643" s="210">
        <f>_xlfn.IFNA(VLOOKUP(Mon_ILR2[[#This Row],[New Model]],PhilipsLibary[],5,FALSE),"0")</f>
        <v>0</v>
      </c>
      <c r="W643" s="210">
        <f>Mon_ILR2[[#This Row],[Accessory Rate]]+Mon_ILR2[[#This Row],[Mounting Rate]]+Mon_ILR2[[#This Row],[Unit Rate]]*Mon_ILR2[[#This Row],[New Quantity Required ]]</f>
        <v>7999</v>
      </c>
      <c r="X643" s="8"/>
      <c r="Y643" s="246"/>
    </row>
    <row r="644" spans="2:25" ht="15.75" x14ac:dyDescent="0.25">
      <c r="B644" s="207" t="s">
        <v>161</v>
      </c>
      <c r="C644" s="66" t="s">
        <v>191</v>
      </c>
      <c r="D644" s="4" t="s">
        <v>233</v>
      </c>
      <c r="E644" s="4" t="s">
        <v>1027</v>
      </c>
      <c r="F644" s="4" t="s">
        <v>944</v>
      </c>
      <c r="G644" s="4" t="s">
        <v>1181</v>
      </c>
      <c r="H644" s="208">
        <v>1</v>
      </c>
      <c r="I644" s="4"/>
      <c r="J644" s="15"/>
      <c r="K644" s="4" t="str">
        <f>_xlfn.IFNA(VLOOKUP($J644,WH_Data[],6,FALSE),"")</f>
        <v/>
      </c>
      <c r="L644" s="4" t="str">
        <f>_xlfn.IFNA(VLOOKUP($J644,WH_Data[],3,FALSE),"")</f>
        <v/>
      </c>
      <c r="M644" s="4" t="str">
        <f>_xlfn.IFNA(VLOOKUP($J644,WH_Data[],5,FALSE),"")</f>
        <v/>
      </c>
      <c r="N644" s="4" t="str">
        <f>_xlfn.IFNA(VLOOKUP($J644,WH_Data[],7,FALSE),"")</f>
        <v/>
      </c>
      <c r="O644" s="4" t="str">
        <f>_xlfn.IFNA(VLOOKUP($J644,WH_Data[],8,FALSE),"")</f>
        <v/>
      </c>
      <c r="P644" s="8"/>
      <c r="Q644" s="209">
        <f>Mon_ILR2[[#This Row],[Qty Required]]-Mon_ILR2[[#This Row],[QTY Transfer]]</f>
        <v>1</v>
      </c>
      <c r="R644" s="66" t="s">
        <v>905</v>
      </c>
      <c r="S644" s="66" t="s">
        <v>946</v>
      </c>
      <c r="T644" s="210">
        <f>_xlfn.IFNA(VLOOKUP(Mon_ILR2[[#This Row],[New Model]],PhilipsLibary[],4,FALSE),"0")</f>
        <v>7999</v>
      </c>
      <c r="U644" s="210">
        <f>_xlfn.IFNA(VLOOKUP(Mon_ILR2[[#This Row],[New Model]],PhilipsLibary[],5,FALSE),"0")</f>
        <v>0</v>
      </c>
      <c r="V644" s="210">
        <f>_xlfn.IFNA(VLOOKUP(Mon_ILR2[[#This Row],[New Model]],PhilipsLibary[],5,FALSE),"0")</f>
        <v>0</v>
      </c>
      <c r="W644" s="210">
        <f>Mon_ILR2[[#This Row],[Accessory Rate]]+Mon_ILR2[[#This Row],[Mounting Rate]]+Mon_ILR2[[#This Row],[Unit Rate]]*Mon_ILR2[[#This Row],[New Quantity Required ]]</f>
        <v>7999</v>
      </c>
      <c r="X644" s="8"/>
      <c r="Y644" s="246"/>
    </row>
    <row r="645" spans="2:25" ht="15.75" x14ac:dyDescent="0.25">
      <c r="B645" s="207" t="s">
        <v>161</v>
      </c>
      <c r="C645" s="66" t="s">
        <v>191</v>
      </c>
      <c r="D645" s="4" t="s">
        <v>233</v>
      </c>
      <c r="E645" s="4" t="s">
        <v>1027</v>
      </c>
      <c r="F645" s="4" t="s">
        <v>944</v>
      </c>
      <c r="G645" s="4" t="s">
        <v>1181</v>
      </c>
      <c r="H645" s="208">
        <v>1</v>
      </c>
      <c r="I645" s="4"/>
      <c r="J645" s="15"/>
      <c r="K645" s="4" t="str">
        <f>_xlfn.IFNA(VLOOKUP($J645,WH_Data[],6,FALSE),"")</f>
        <v/>
      </c>
      <c r="L645" s="4" t="str">
        <f>_xlfn.IFNA(VLOOKUP($J645,WH_Data[],3,FALSE),"")</f>
        <v/>
      </c>
      <c r="M645" s="4" t="str">
        <f>_xlfn.IFNA(VLOOKUP($J645,WH_Data[],5,FALSE),"")</f>
        <v/>
      </c>
      <c r="N645" s="4" t="str">
        <f>_xlfn.IFNA(VLOOKUP($J645,WH_Data[],7,FALSE),"")</f>
        <v/>
      </c>
      <c r="O645" s="4" t="str">
        <f>_xlfn.IFNA(VLOOKUP($J645,WH_Data[],8,FALSE),"")</f>
        <v/>
      </c>
      <c r="P645" s="8"/>
      <c r="Q645" s="209">
        <f>Mon_ILR2[[#This Row],[Qty Required]]-Mon_ILR2[[#This Row],[QTY Transfer]]</f>
        <v>1</v>
      </c>
      <c r="R645" s="66" t="s">
        <v>905</v>
      </c>
      <c r="S645" s="66" t="s">
        <v>946</v>
      </c>
      <c r="T645" s="210">
        <f>_xlfn.IFNA(VLOOKUP(Mon_ILR2[[#This Row],[New Model]],PhilipsLibary[],4,FALSE),"0")</f>
        <v>7999</v>
      </c>
      <c r="U645" s="210">
        <f>_xlfn.IFNA(VLOOKUP(Mon_ILR2[[#This Row],[New Model]],PhilipsLibary[],5,FALSE),"0")</f>
        <v>0</v>
      </c>
      <c r="V645" s="210">
        <f>_xlfn.IFNA(VLOOKUP(Mon_ILR2[[#This Row],[New Model]],PhilipsLibary[],5,FALSE),"0")</f>
        <v>0</v>
      </c>
      <c r="W645" s="210">
        <f>Mon_ILR2[[#This Row],[Accessory Rate]]+Mon_ILR2[[#This Row],[Mounting Rate]]+Mon_ILR2[[#This Row],[Unit Rate]]*Mon_ILR2[[#This Row],[New Quantity Required ]]</f>
        <v>7999</v>
      </c>
      <c r="X645" s="8"/>
      <c r="Y645" s="246"/>
    </row>
    <row r="646" spans="2:25" ht="15.75" x14ac:dyDescent="0.25">
      <c r="B646" s="207" t="s">
        <v>161</v>
      </c>
      <c r="C646" s="66" t="s">
        <v>238</v>
      </c>
      <c r="D646" s="4" t="s">
        <v>239</v>
      </c>
      <c r="E646" s="4" t="s">
        <v>1027</v>
      </c>
      <c r="F646" s="4" t="s">
        <v>944</v>
      </c>
      <c r="G646" s="4" t="s">
        <v>1181</v>
      </c>
      <c r="H646" s="208">
        <v>1</v>
      </c>
      <c r="I646" s="4"/>
      <c r="J646" s="15"/>
      <c r="K646" s="4" t="str">
        <f>_xlfn.IFNA(VLOOKUP($J646,WH_Data[],6,FALSE),"")</f>
        <v/>
      </c>
      <c r="L646" s="4" t="str">
        <f>_xlfn.IFNA(VLOOKUP($J646,WH_Data[],3,FALSE),"")</f>
        <v/>
      </c>
      <c r="M646" s="4" t="str">
        <f>_xlfn.IFNA(VLOOKUP($J646,WH_Data[],5,FALSE),"")</f>
        <v/>
      </c>
      <c r="N646" s="4" t="str">
        <f>_xlfn.IFNA(VLOOKUP($J646,WH_Data[],7,FALSE),"")</f>
        <v/>
      </c>
      <c r="O646" s="4" t="str">
        <f>_xlfn.IFNA(VLOOKUP($J646,WH_Data[],8,FALSE),"")</f>
        <v/>
      </c>
      <c r="P646" s="8"/>
      <c r="Q646" s="209">
        <f>Mon_ILR2[[#This Row],[Qty Required]]-Mon_ILR2[[#This Row],[QTY Transfer]]</f>
        <v>1</v>
      </c>
      <c r="R646" s="66" t="s">
        <v>905</v>
      </c>
      <c r="S646" s="66" t="s">
        <v>946</v>
      </c>
      <c r="T646" s="210">
        <f>_xlfn.IFNA(VLOOKUP(Mon_ILR2[[#This Row],[New Model]],PhilipsLibary[],4,FALSE),"0")</f>
        <v>7999</v>
      </c>
      <c r="U646" s="210">
        <f>_xlfn.IFNA(VLOOKUP(Mon_ILR2[[#This Row],[New Model]],PhilipsLibary[],5,FALSE),"0")</f>
        <v>0</v>
      </c>
      <c r="V646" s="210">
        <f>_xlfn.IFNA(VLOOKUP(Mon_ILR2[[#This Row],[New Model]],PhilipsLibary[],5,FALSE),"0")</f>
        <v>0</v>
      </c>
      <c r="W646" s="210">
        <f>Mon_ILR2[[#This Row],[Accessory Rate]]+Mon_ILR2[[#This Row],[Mounting Rate]]+Mon_ILR2[[#This Row],[Unit Rate]]*Mon_ILR2[[#This Row],[New Quantity Required ]]</f>
        <v>7999</v>
      </c>
      <c r="X646" s="8"/>
      <c r="Y646" s="302" t="s">
        <v>2149</v>
      </c>
    </row>
    <row r="647" spans="2:25" ht="60" customHeight="1" x14ac:dyDescent="0.25">
      <c r="B647" s="207" t="s">
        <v>161</v>
      </c>
      <c r="C647" s="66" t="s">
        <v>238</v>
      </c>
      <c r="D647" s="4" t="s">
        <v>242</v>
      </c>
      <c r="E647" s="4" t="s">
        <v>1027</v>
      </c>
      <c r="F647" s="4" t="s">
        <v>944</v>
      </c>
      <c r="G647" s="4" t="s">
        <v>1181</v>
      </c>
      <c r="H647" s="208">
        <v>1</v>
      </c>
      <c r="I647" s="4"/>
      <c r="J647" s="15"/>
      <c r="K647" s="4" t="str">
        <f>_xlfn.IFNA(VLOOKUP($J647,WH_Data[],6,FALSE),"")</f>
        <v/>
      </c>
      <c r="L647" s="4" t="str">
        <f>_xlfn.IFNA(VLOOKUP($J647,WH_Data[],3,FALSE),"")</f>
        <v/>
      </c>
      <c r="M647" s="4" t="str">
        <f>_xlfn.IFNA(VLOOKUP($J647,WH_Data[],5,FALSE),"")</f>
        <v/>
      </c>
      <c r="N647" s="4" t="str">
        <f>_xlfn.IFNA(VLOOKUP($J647,WH_Data[],7,FALSE),"")</f>
        <v/>
      </c>
      <c r="O647" s="4" t="str">
        <f>_xlfn.IFNA(VLOOKUP($J647,WH_Data[],8,FALSE),"")</f>
        <v/>
      </c>
      <c r="P647" s="8"/>
      <c r="Q647" s="209">
        <f>Mon_ILR2[[#This Row],[Qty Required]]-Mon_ILR2[[#This Row],[QTY Transfer]]</f>
        <v>1</v>
      </c>
      <c r="R647" s="66" t="s">
        <v>905</v>
      </c>
      <c r="S647" s="66" t="s">
        <v>946</v>
      </c>
      <c r="T647" s="210">
        <f>_xlfn.IFNA(VLOOKUP(Mon_ILR2[[#This Row],[New Model]],PhilipsLibary[],4,FALSE),"0")</f>
        <v>7999</v>
      </c>
      <c r="U647" s="210">
        <f>_xlfn.IFNA(VLOOKUP(Mon_ILR2[[#This Row],[New Model]],PhilipsLibary[],5,FALSE),"0")</f>
        <v>0</v>
      </c>
      <c r="V647" s="210">
        <f>_xlfn.IFNA(VLOOKUP(Mon_ILR2[[#This Row],[New Model]],PhilipsLibary[],5,FALSE),"0")</f>
        <v>0</v>
      </c>
      <c r="W647" s="210">
        <f>Mon_ILR2[[#This Row],[Accessory Rate]]+Mon_ILR2[[#This Row],[Mounting Rate]]+Mon_ILR2[[#This Row],[Unit Rate]]*Mon_ILR2[[#This Row],[New Quantity Required ]]</f>
        <v>7999</v>
      </c>
      <c r="X647" s="8"/>
      <c r="Y647" s="302" t="s">
        <v>2149</v>
      </c>
    </row>
    <row r="648" spans="2:25" ht="60" customHeight="1" x14ac:dyDescent="0.25">
      <c r="B648" s="207" t="s">
        <v>161</v>
      </c>
      <c r="C648" s="66" t="s">
        <v>238</v>
      </c>
      <c r="D648" s="4" t="s">
        <v>245</v>
      </c>
      <c r="E648" s="4" t="s">
        <v>1027</v>
      </c>
      <c r="F648" s="4" t="s">
        <v>944</v>
      </c>
      <c r="G648" s="4" t="s">
        <v>1181</v>
      </c>
      <c r="H648" s="208">
        <v>1</v>
      </c>
      <c r="I648" s="4"/>
      <c r="J648" s="15"/>
      <c r="K648" s="4" t="str">
        <f>_xlfn.IFNA(VLOOKUP($J648,WH_Data[],6,FALSE),"")</f>
        <v/>
      </c>
      <c r="L648" s="4" t="str">
        <f>_xlfn.IFNA(VLOOKUP($J648,WH_Data[],3,FALSE),"")</f>
        <v/>
      </c>
      <c r="M648" s="4" t="str">
        <f>_xlfn.IFNA(VLOOKUP($J648,WH_Data[],5,FALSE),"")</f>
        <v/>
      </c>
      <c r="N648" s="4" t="str">
        <f>_xlfn.IFNA(VLOOKUP($J648,WH_Data[],7,FALSE),"")</f>
        <v/>
      </c>
      <c r="O648" s="4" t="str">
        <f>_xlfn.IFNA(VLOOKUP($J648,WH_Data[],8,FALSE),"")</f>
        <v/>
      </c>
      <c r="P648" s="8"/>
      <c r="Q648" s="209">
        <f>Mon_ILR2[[#This Row],[Qty Required]]-Mon_ILR2[[#This Row],[QTY Transfer]]</f>
        <v>1</v>
      </c>
      <c r="R648" s="66" t="s">
        <v>905</v>
      </c>
      <c r="S648" s="66" t="s">
        <v>946</v>
      </c>
      <c r="T648" s="210">
        <f>_xlfn.IFNA(VLOOKUP(Mon_ILR2[[#This Row],[New Model]],PhilipsLibary[],4,FALSE),"0")</f>
        <v>7999</v>
      </c>
      <c r="U648" s="210">
        <f>_xlfn.IFNA(VLOOKUP(Mon_ILR2[[#This Row],[New Model]],PhilipsLibary[],5,FALSE),"0")</f>
        <v>0</v>
      </c>
      <c r="V648" s="210">
        <f>_xlfn.IFNA(VLOOKUP(Mon_ILR2[[#This Row],[New Model]],PhilipsLibary[],5,FALSE),"0")</f>
        <v>0</v>
      </c>
      <c r="W648" s="210">
        <f>Mon_ILR2[[#This Row],[Accessory Rate]]+Mon_ILR2[[#This Row],[Mounting Rate]]+Mon_ILR2[[#This Row],[Unit Rate]]*Mon_ILR2[[#This Row],[New Quantity Required ]]</f>
        <v>7999</v>
      </c>
      <c r="X648" s="8"/>
      <c r="Y648" s="302" t="s">
        <v>2149</v>
      </c>
    </row>
    <row r="649" spans="2:25" ht="60" customHeight="1" x14ac:dyDescent="0.25">
      <c r="B649" s="207" t="s">
        <v>161</v>
      </c>
      <c r="C649" s="66" t="s">
        <v>238</v>
      </c>
      <c r="D649" s="4" t="s">
        <v>248</v>
      </c>
      <c r="E649" s="4" t="s">
        <v>1027</v>
      </c>
      <c r="F649" s="4" t="s">
        <v>944</v>
      </c>
      <c r="G649" s="4" t="s">
        <v>1181</v>
      </c>
      <c r="H649" s="208">
        <v>1</v>
      </c>
      <c r="I649" s="4"/>
      <c r="J649" s="15"/>
      <c r="K649" s="4" t="str">
        <f>_xlfn.IFNA(VLOOKUP($J649,WH_Data[],6,FALSE),"")</f>
        <v/>
      </c>
      <c r="L649" s="4" t="str">
        <f>_xlfn.IFNA(VLOOKUP($J649,WH_Data[],3,FALSE),"")</f>
        <v/>
      </c>
      <c r="M649" s="4" t="str">
        <f>_xlfn.IFNA(VLOOKUP($J649,WH_Data[],5,FALSE),"")</f>
        <v/>
      </c>
      <c r="N649" s="4" t="str">
        <f>_xlfn.IFNA(VLOOKUP($J649,WH_Data[],7,FALSE),"")</f>
        <v/>
      </c>
      <c r="O649" s="4" t="str">
        <f>_xlfn.IFNA(VLOOKUP($J649,WH_Data[],8,FALSE),"")</f>
        <v/>
      </c>
      <c r="P649" s="8"/>
      <c r="Q649" s="209">
        <f>Mon_ILR2[[#This Row],[Qty Required]]-Mon_ILR2[[#This Row],[QTY Transfer]]</f>
        <v>1</v>
      </c>
      <c r="R649" s="66" t="s">
        <v>905</v>
      </c>
      <c r="S649" s="66" t="s">
        <v>946</v>
      </c>
      <c r="T649" s="210">
        <f>_xlfn.IFNA(VLOOKUP(Mon_ILR2[[#This Row],[New Model]],PhilipsLibary[],4,FALSE),"0")</f>
        <v>7999</v>
      </c>
      <c r="U649" s="210">
        <f>_xlfn.IFNA(VLOOKUP(Mon_ILR2[[#This Row],[New Model]],PhilipsLibary[],5,FALSE),"0")</f>
        <v>0</v>
      </c>
      <c r="V649" s="210">
        <f>_xlfn.IFNA(VLOOKUP(Mon_ILR2[[#This Row],[New Model]],PhilipsLibary[],5,FALSE),"0")</f>
        <v>0</v>
      </c>
      <c r="W649" s="210">
        <f>Mon_ILR2[[#This Row],[Accessory Rate]]+Mon_ILR2[[#This Row],[Mounting Rate]]+Mon_ILR2[[#This Row],[Unit Rate]]*Mon_ILR2[[#This Row],[New Quantity Required ]]</f>
        <v>7999</v>
      </c>
      <c r="X649" s="8"/>
      <c r="Y649" s="302" t="s">
        <v>2149</v>
      </c>
    </row>
    <row r="650" spans="2:25" ht="40.5" customHeight="1" x14ac:dyDescent="0.25">
      <c r="B650" s="207" t="s">
        <v>161</v>
      </c>
      <c r="C650" s="66" t="s">
        <v>251</v>
      </c>
      <c r="D650" s="4" t="s">
        <v>252</v>
      </c>
      <c r="E650" s="4" t="s">
        <v>1027</v>
      </c>
      <c r="F650" s="4" t="s">
        <v>944</v>
      </c>
      <c r="G650" s="4" t="s">
        <v>1181</v>
      </c>
      <c r="H650" s="208">
        <v>1</v>
      </c>
      <c r="I650" s="4"/>
      <c r="J650" s="15"/>
      <c r="K650" s="4" t="str">
        <f>_xlfn.IFNA(VLOOKUP($J650,WH_Data[],6,FALSE),"")</f>
        <v/>
      </c>
      <c r="L650" s="4" t="str">
        <f>_xlfn.IFNA(VLOOKUP($J650,WH_Data[],3,FALSE),"")</f>
        <v/>
      </c>
      <c r="M650" s="4" t="str">
        <f>_xlfn.IFNA(VLOOKUP($J650,WH_Data[],5,FALSE),"")</f>
        <v/>
      </c>
      <c r="N650" s="4" t="str">
        <f>_xlfn.IFNA(VLOOKUP($J650,WH_Data[],7,FALSE),"")</f>
        <v/>
      </c>
      <c r="O650" s="4" t="str">
        <f>_xlfn.IFNA(VLOOKUP($J650,WH_Data[],8,FALSE),"")</f>
        <v/>
      </c>
      <c r="P650" s="8"/>
      <c r="Q650" s="209">
        <f>Mon_ILR2[[#This Row],[Qty Required]]-Mon_ILR2[[#This Row],[QTY Transfer]]</f>
        <v>1</v>
      </c>
      <c r="R650" s="66" t="s">
        <v>905</v>
      </c>
      <c r="S650" s="66" t="s">
        <v>946</v>
      </c>
      <c r="T650" s="210">
        <f>_xlfn.IFNA(VLOOKUP(Mon_ILR2[[#This Row],[New Model]],PhilipsLibary[],4,FALSE),"0")</f>
        <v>7999</v>
      </c>
      <c r="U650" s="210">
        <f>_xlfn.IFNA(VLOOKUP(Mon_ILR2[[#This Row],[New Model]],PhilipsLibary[],5,FALSE),"0")</f>
        <v>0</v>
      </c>
      <c r="V650" s="210">
        <f>_xlfn.IFNA(VLOOKUP(Mon_ILR2[[#This Row],[New Model]],PhilipsLibary[],5,FALSE),"0")</f>
        <v>0</v>
      </c>
      <c r="W650" s="210">
        <f>Mon_ILR2[[#This Row],[Accessory Rate]]+Mon_ILR2[[#This Row],[Mounting Rate]]+Mon_ILR2[[#This Row],[Unit Rate]]*Mon_ILR2[[#This Row],[New Quantity Required ]]</f>
        <v>7999</v>
      </c>
      <c r="X650" s="8"/>
      <c r="Y650" s="302" t="s">
        <v>2149</v>
      </c>
    </row>
    <row r="651" spans="2:25" ht="15.75" x14ac:dyDescent="0.25">
      <c r="B651" s="207" t="s">
        <v>161</v>
      </c>
      <c r="C651" s="66" t="s">
        <v>251</v>
      </c>
      <c r="D651" s="4" t="s">
        <v>255</v>
      </c>
      <c r="E651" s="4" t="s">
        <v>1027</v>
      </c>
      <c r="F651" s="4" t="s">
        <v>944</v>
      </c>
      <c r="G651" s="4" t="s">
        <v>1181</v>
      </c>
      <c r="H651" s="208">
        <v>1</v>
      </c>
      <c r="I651" s="4"/>
      <c r="J651" s="15"/>
      <c r="K651" s="4" t="str">
        <f>_xlfn.IFNA(VLOOKUP($J651,WH_Data[],6,FALSE),"")</f>
        <v/>
      </c>
      <c r="L651" s="4" t="str">
        <f>_xlfn.IFNA(VLOOKUP($J651,WH_Data[],3,FALSE),"")</f>
        <v/>
      </c>
      <c r="M651" s="4" t="str">
        <f>_xlfn.IFNA(VLOOKUP($J651,WH_Data[],5,FALSE),"")</f>
        <v/>
      </c>
      <c r="N651" s="4" t="str">
        <f>_xlfn.IFNA(VLOOKUP($J651,WH_Data[],7,FALSE),"")</f>
        <v/>
      </c>
      <c r="O651" s="4" t="str">
        <f>_xlfn.IFNA(VLOOKUP($J651,WH_Data[],8,FALSE),"")</f>
        <v/>
      </c>
      <c r="P651" s="8"/>
      <c r="Q651" s="209">
        <f>Mon_ILR2[[#This Row],[Qty Required]]-Mon_ILR2[[#This Row],[QTY Transfer]]</f>
        <v>1</v>
      </c>
      <c r="R651" s="66" t="s">
        <v>905</v>
      </c>
      <c r="S651" s="66" t="s">
        <v>946</v>
      </c>
      <c r="T651" s="210">
        <f>_xlfn.IFNA(VLOOKUP(Mon_ILR2[[#This Row],[New Model]],PhilipsLibary[],4,FALSE),"0")</f>
        <v>7999</v>
      </c>
      <c r="U651" s="210">
        <f>_xlfn.IFNA(VLOOKUP(Mon_ILR2[[#This Row],[New Model]],PhilipsLibary[],5,FALSE),"0")</f>
        <v>0</v>
      </c>
      <c r="V651" s="210">
        <f>_xlfn.IFNA(VLOOKUP(Mon_ILR2[[#This Row],[New Model]],PhilipsLibary[],5,FALSE),"0")</f>
        <v>0</v>
      </c>
      <c r="W651" s="210">
        <f>Mon_ILR2[[#This Row],[Accessory Rate]]+Mon_ILR2[[#This Row],[Mounting Rate]]+Mon_ILR2[[#This Row],[Unit Rate]]*Mon_ILR2[[#This Row],[New Quantity Required ]]</f>
        <v>7999</v>
      </c>
      <c r="X651" s="8"/>
      <c r="Y651" s="302" t="s">
        <v>2149</v>
      </c>
    </row>
    <row r="652" spans="2:25" ht="15.75" x14ac:dyDescent="0.25">
      <c r="B652" s="207" t="s">
        <v>161</v>
      </c>
      <c r="C652" s="66" t="s">
        <v>251</v>
      </c>
      <c r="D652" s="4" t="s">
        <v>258</v>
      </c>
      <c r="E652" s="4" t="s">
        <v>1027</v>
      </c>
      <c r="F652" s="4" t="s">
        <v>944</v>
      </c>
      <c r="G652" s="4" t="s">
        <v>1181</v>
      </c>
      <c r="H652" s="208">
        <v>1</v>
      </c>
      <c r="I652" s="4"/>
      <c r="J652" s="15"/>
      <c r="K652" s="4" t="str">
        <f>_xlfn.IFNA(VLOOKUP($J652,WH_Data[],6,FALSE),"")</f>
        <v/>
      </c>
      <c r="L652" s="4" t="str">
        <f>_xlfn.IFNA(VLOOKUP($J652,WH_Data[],3,FALSE),"")</f>
        <v/>
      </c>
      <c r="M652" s="4" t="str">
        <f>_xlfn.IFNA(VLOOKUP($J652,WH_Data[],5,FALSE),"")</f>
        <v/>
      </c>
      <c r="N652" s="4" t="str">
        <f>_xlfn.IFNA(VLOOKUP($J652,WH_Data[],7,FALSE),"")</f>
        <v/>
      </c>
      <c r="O652" s="4" t="str">
        <f>_xlfn.IFNA(VLOOKUP($J652,WH_Data[],8,FALSE),"")</f>
        <v/>
      </c>
      <c r="P652" s="8"/>
      <c r="Q652" s="209">
        <f>Mon_ILR2[[#This Row],[Qty Required]]-Mon_ILR2[[#This Row],[QTY Transfer]]</f>
        <v>1</v>
      </c>
      <c r="R652" s="66" t="s">
        <v>905</v>
      </c>
      <c r="S652" s="66" t="s">
        <v>946</v>
      </c>
      <c r="T652" s="210">
        <f>_xlfn.IFNA(VLOOKUP(Mon_ILR2[[#This Row],[New Model]],PhilipsLibary[],4,FALSE),"0")</f>
        <v>7999</v>
      </c>
      <c r="U652" s="210">
        <f>_xlfn.IFNA(VLOOKUP(Mon_ILR2[[#This Row],[New Model]],PhilipsLibary[],5,FALSE),"0")</f>
        <v>0</v>
      </c>
      <c r="V652" s="210">
        <f>_xlfn.IFNA(VLOOKUP(Mon_ILR2[[#This Row],[New Model]],PhilipsLibary[],5,FALSE),"0")</f>
        <v>0</v>
      </c>
      <c r="W652" s="210">
        <f>Mon_ILR2[[#This Row],[Accessory Rate]]+Mon_ILR2[[#This Row],[Mounting Rate]]+Mon_ILR2[[#This Row],[Unit Rate]]*Mon_ILR2[[#This Row],[New Quantity Required ]]</f>
        <v>7999</v>
      </c>
      <c r="X652" s="8"/>
      <c r="Y652" s="302" t="s">
        <v>2149</v>
      </c>
    </row>
    <row r="653" spans="2:25" ht="15.75" x14ac:dyDescent="0.25">
      <c r="B653" s="207" t="s">
        <v>161</v>
      </c>
      <c r="C653" s="66" t="s">
        <v>251</v>
      </c>
      <c r="D653" s="4" t="s">
        <v>261</v>
      </c>
      <c r="E653" s="304" t="s">
        <v>1072</v>
      </c>
      <c r="F653" s="4" t="s">
        <v>944</v>
      </c>
      <c r="G653" s="4" t="s">
        <v>1181</v>
      </c>
      <c r="H653" s="208">
        <v>1</v>
      </c>
      <c r="I653" s="4"/>
      <c r="J653" s="15"/>
      <c r="K653" s="4" t="str">
        <f>_xlfn.IFNA(VLOOKUP($J653,WH_Data[],6,FALSE),"")</f>
        <v/>
      </c>
      <c r="L653" s="4" t="str">
        <f>_xlfn.IFNA(VLOOKUP($J653,WH_Data[],3,FALSE),"")</f>
        <v/>
      </c>
      <c r="M653" s="4" t="str">
        <f>_xlfn.IFNA(VLOOKUP($J653,WH_Data[],5,FALSE),"")</f>
        <v/>
      </c>
      <c r="N653" s="4" t="str">
        <f>_xlfn.IFNA(VLOOKUP($J653,WH_Data[],7,FALSE),"")</f>
        <v/>
      </c>
      <c r="O653" s="4" t="str">
        <f>_xlfn.IFNA(VLOOKUP($J653,WH_Data[],8,FALSE),"")</f>
        <v/>
      </c>
      <c r="P653" s="8"/>
      <c r="Q653" s="209">
        <f>Mon_ILR2[[#This Row],[Qty Required]]-Mon_ILR2[[#This Row],[QTY Transfer]]</f>
        <v>1</v>
      </c>
      <c r="R653" s="66" t="s">
        <v>905</v>
      </c>
      <c r="S653" s="66" t="s">
        <v>946</v>
      </c>
      <c r="T653" s="210">
        <f>_xlfn.IFNA(VLOOKUP(Mon_ILR2[[#This Row],[New Model]],PhilipsLibary[],4,FALSE),"0")</f>
        <v>7999</v>
      </c>
      <c r="U653" s="210">
        <f>_xlfn.IFNA(VLOOKUP(Mon_ILR2[[#This Row],[New Model]],PhilipsLibary[],5,FALSE),"0")</f>
        <v>0</v>
      </c>
      <c r="V653" s="210">
        <f>_xlfn.IFNA(VLOOKUP(Mon_ILR2[[#This Row],[New Model]],PhilipsLibary[],5,FALSE),"0")</f>
        <v>0</v>
      </c>
      <c r="W653" s="210">
        <f>Mon_ILR2[[#This Row],[Accessory Rate]]+Mon_ILR2[[#This Row],[Mounting Rate]]+Mon_ILR2[[#This Row],[Unit Rate]]*Mon_ILR2[[#This Row],[New Quantity Required ]]</f>
        <v>7999</v>
      </c>
      <c r="X653" s="8"/>
      <c r="Y653" s="302" t="s">
        <v>2149</v>
      </c>
    </row>
    <row r="654" spans="2:25" ht="15.75" x14ac:dyDescent="0.25">
      <c r="B654" s="207" t="s">
        <v>161</v>
      </c>
      <c r="C654" s="66" t="s">
        <v>191</v>
      </c>
      <c r="D654" s="4" t="s">
        <v>264</v>
      </c>
      <c r="E654" s="4" t="s">
        <v>1027</v>
      </c>
      <c r="F654" s="4" t="s">
        <v>944</v>
      </c>
      <c r="G654" s="4" t="s">
        <v>1181</v>
      </c>
      <c r="H654" s="208">
        <v>1</v>
      </c>
      <c r="I654" s="4"/>
      <c r="J654" s="15"/>
      <c r="K654" s="4" t="str">
        <f>_xlfn.IFNA(VLOOKUP($J654,WH_Data[],6,FALSE),"")</f>
        <v/>
      </c>
      <c r="L654" s="4" t="str">
        <f>_xlfn.IFNA(VLOOKUP($J654,WH_Data[],3,FALSE),"")</f>
        <v/>
      </c>
      <c r="M654" s="4" t="str">
        <f>_xlfn.IFNA(VLOOKUP($J654,WH_Data[],5,FALSE),"")</f>
        <v/>
      </c>
      <c r="N654" s="4" t="str">
        <f>_xlfn.IFNA(VLOOKUP($J654,WH_Data[],7,FALSE),"")</f>
        <v/>
      </c>
      <c r="O654" s="4" t="str">
        <f>_xlfn.IFNA(VLOOKUP($J654,WH_Data[],8,FALSE),"")</f>
        <v/>
      </c>
      <c r="P654" s="8"/>
      <c r="Q654" s="209">
        <f>Mon_ILR2[[#This Row],[Qty Required]]-Mon_ILR2[[#This Row],[QTY Transfer]]</f>
        <v>1</v>
      </c>
      <c r="R654" s="66" t="s">
        <v>905</v>
      </c>
      <c r="S654" s="66" t="s">
        <v>946</v>
      </c>
      <c r="T654" s="210">
        <f>_xlfn.IFNA(VLOOKUP(Mon_ILR2[[#This Row],[New Model]],PhilipsLibary[],4,FALSE),"0")</f>
        <v>7999</v>
      </c>
      <c r="U654" s="210">
        <f>_xlfn.IFNA(VLOOKUP(Mon_ILR2[[#This Row],[New Model]],PhilipsLibary[],5,FALSE),"0")</f>
        <v>0</v>
      </c>
      <c r="V654" s="210">
        <f>_xlfn.IFNA(VLOOKUP(Mon_ILR2[[#This Row],[New Model]],PhilipsLibary[],5,FALSE),"0")</f>
        <v>0</v>
      </c>
      <c r="W654" s="210">
        <f>Mon_ILR2[[#This Row],[Accessory Rate]]+Mon_ILR2[[#This Row],[Mounting Rate]]+Mon_ILR2[[#This Row],[Unit Rate]]*Mon_ILR2[[#This Row],[New Quantity Required ]]</f>
        <v>7999</v>
      </c>
      <c r="X654" s="8"/>
      <c r="Y654" s="246"/>
    </row>
    <row r="655" spans="2:25" ht="15.75" x14ac:dyDescent="0.25">
      <c r="B655" s="207" t="s">
        <v>161</v>
      </c>
      <c r="C655" s="66" t="s">
        <v>191</v>
      </c>
      <c r="D655" s="4" t="s">
        <v>264</v>
      </c>
      <c r="E655" s="4" t="s">
        <v>1027</v>
      </c>
      <c r="F655" s="4" t="s">
        <v>944</v>
      </c>
      <c r="G655" s="4" t="s">
        <v>1181</v>
      </c>
      <c r="H655" s="208">
        <v>1</v>
      </c>
      <c r="I655" s="4"/>
      <c r="J655" s="15"/>
      <c r="K655" s="4" t="str">
        <f>_xlfn.IFNA(VLOOKUP($J655,WH_Data[],6,FALSE),"")</f>
        <v/>
      </c>
      <c r="L655" s="4" t="str">
        <f>_xlfn.IFNA(VLOOKUP($J655,WH_Data[],3,FALSE),"")</f>
        <v/>
      </c>
      <c r="M655" s="4" t="str">
        <f>_xlfn.IFNA(VLOOKUP($J655,WH_Data[],5,FALSE),"")</f>
        <v/>
      </c>
      <c r="N655" s="4" t="str">
        <f>_xlfn.IFNA(VLOOKUP($J655,WH_Data[],7,FALSE),"")</f>
        <v/>
      </c>
      <c r="O655" s="4" t="str">
        <f>_xlfn.IFNA(VLOOKUP($J655,WH_Data[],8,FALSE),"")</f>
        <v/>
      </c>
      <c r="P655" s="8"/>
      <c r="Q655" s="209">
        <f>Mon_ILR2[[#This Row],[Qty Required]]-Mon_ILR2[[#This Row],[QTY Transfer]]</f>
        <v>1</v>
      </c>
      <c r="R655" s="66" t="s">
        <v>905</v>
      </c>
      <c r="S655" s="66" t="s">
        <v>946</v>
      </c>
      <c r="T655" s="210">
        <f>_xlfn.IFNA(VLOOKUP(Mon_ILR2[[#This Row],[New Model]],PhilipsLibary[],4,FALSE),"0")</f>
        <v>7999</v>
      </c>
      <c r="U655" s="210">
        <f>_xlfn.IFNA(VLOOKUP(Mon_ILR2[[#This Row],[New Model]],PhilipsLibary[],5,FALSE),"0")</f>
        <v>0</v>
      </c>
      <c r="V655" s="210">
        <f>_xlfn.IFNA(VLOOKUP(Mon_ILR2[[#This Row],[New Model]],PhilipsLibary[],5,FALSE),"0")</f>
        <v>0</v>
      </c>
      <c r="W655" s="210">
        <f>Mon_ILR2[[#This Row],[Accessory Rate]]+Mon_ILR2[[#This Row],[Mounting Rate]]+Mon_ILR2[[#This Row],[Unit Rate]]*Mon_ILR2[[#This Row],[New Quantity Required ]]</f>
        <v>7999</v>
      </c>
      <c r="X655" s="8"/>
      <c r="Y655" s="246"/>
    </row>
    <row r="656" spans="2:25" ht="15.75" x14ac:dyDescent="0.25">
      <c r="B656" s="207" t="s">
        <v>161</v>
      </c>
      <c r="C656" s="66" t="s">
        <v>191</v>
      </c>
      <c r="D656" s="4" t="s">
        <v>270</v>
      </c>
      <c r="E656" s="4" t="s">
        <v>1027</v>
      </c>
      <c r="F656" s="4" t="s">
        <v>944</v>
      </c>
      <c r="G656" s="4" t="s">
        <v>1181</v>
      </c>
      <c r="H656" s="208">
        <v>1</v>
      </c>
      <c r="I656" s="4"/>
      <c r="J656" s="15"/>
      <c r="K656" s="4" t="str">
        <f>_xlfn.IFNA(VLOOKUP($J656,WH_Data[],6,FALSE),"")</f>
        <v/>
      </c>
      <c r="L656" s="4" t="str">
        <f>_xlfn.IFNA(VLOOKUP($J656,WH_Data[],3,FALSE),"")</f>
        <v/>
      </c>
      <c r="M656" s="4" t="str">
        <f>_xlfn.IFNA(VLOOKUP($J656,WH_Data[],5,FALSE),"")</f>
        <v/>
      </c>
      <c r="N656" s="4" t="str">
        <f>_xlfn.IFNA(VLOOKUP($J656,WH_Data[],7,FALSE),"")</f>
        <v/>
      </c>
      <c r="O656" s="4" t="str">
        <f>_xlfn.IFNA(VLOOKUP($J656,WH_Data[],8,FALSE),"")</f>
        <v/>
      </c>
      <c r="P656" s="8"/>
      <c r="Q656" s="209">
        <f>Mon_ILR2[[#This Row],[Qty Required]]-Mon_ILR2[[#This Row],[QTY Transfer]]</f>
        <v>1</v>
      </c>
      <c r="R656" s="66" t="s">
        <v>905</v>
      </c>
      <c r="S656" s="66" t="s">
        <v>946</v>
      </c>
      <c r="T656" s="210">
        <f>_xlfn.IFNA(VLOOKUP(Mon_ILR2[[#This Row],[New Model]],PhilipsLibary[],4,FALSE),"0")</f>
        <v>7999</v>
      </c>
      <c r="U656" s="210">
        <f>_xlfn.IFNA(VLOOKUP(Mon_ILR2[[#This Row],[New Model]],PhilipsLibary[],5,FALSE),"0")</f>
        <v>0</v>
      </c>
      <c r="V656" s="210">
        <f>_xlfn.IFNA(VLOOKUP(Mon_ILR2[[#This Row],[New Model]],PhilipsLibary[],5,FALSE),"0")</f>
        <v>0</v>
      </c>
      <c r="W656" s="210">
        <f>Mon_ILR2[[#This Row],[Accessory Rate]]+Mon_ILR2[[#This Row],[Mounting Rate]]+Mon_ILR2[[#This Row],[Unit Rate]]*Mon_ILR2[[#This Row],[New Quantity Required ]]</f>
        <v>7999</v>
      </c>
      <c r="X656" s="8"/>
      <c r="Y656" s="246"/>
    </row>
    <row r="657" spans="2:41" ht="15.75" x14ac:dyDescent="0.25">
      <c r="B657" s="207" t="s">
        <v>161</v>
      </c>
      <c r="C657" s="66" t="s">
        <v>191</v>
      </c>
      <c r="D657" s="4" t="s">
        <v>270</v>
      </c>
      <c r="E657" s="4" t="s">
        <v>1027</v>
      </c>
      <c r="F657" s="4" t="s">
        <v>944</v>
      </c>
      <c r="G657" s="4" t="s">
        <v>1181</v>
      </c>
      <c r="H657" s="208">
        <v>1</v>
      </c>
      <c r="I657" s="4"/>
      <c r="J657" s="15"/>
      <c r="K657" s="4" t="str">
        <f>_xlfn.IFNA(VLOOKUP($J657,WH_Data[],6,FALSE),"")</f>
        <v/>
      </c>
      <c r="L657" s="4" t="str">
        <f>_xlfn.IFNA(VLOOKUP($J657,WH_Data[],3,FALSE),"")</f>
        <v/>
      </c>
      <c r="M657" s="4" t="str">
        <f>_xlfn.IFNA(VLOOKUP($J657,WH_Data[],5,FALSE),"")</f>
        <v/>
      </c>
      <c r="N657" s="4" t="str">
        <f>_xlfn.IFNA(VLOOKUP($J657,WH_Data[],7,FALSE),"")</f>
        <v/>
      </c>
      <c r="O657" s="4" t="str">
        <f>_xlfn.IFNA(VLOOKUP($J657,WH_Data[],8,FALSE),"")</f>
        <v/>
      </c>
      <c r="P657" s="8"/>
      <c r="Q657" s="209">
        <f>Mon_ILR2[[#This Row],[Qty Required]]-Mon_ILR2[[#This Row],[QTY Transfer]]</f>
        <v>1</v>
      </c>
      <c r="R657" s="66" t="s">
        <v>905</v>
      </c>
      <c r="S657" s="66" t="s">
        <v>946</v>
      </c>
      <c r="T657" s="210">
        <f>_xlfn.IFNA(VLOOKUP(Mon_ILR2[[#This Row],[New Model]],PhilipsLibary[],4,FALSE),"0")</f>
        <v>7999</v>
      </c>
      <c r="U657" s="210">
        <f>_xlfn.IFNA(VLOOKUP(Mon_ILR2[[#This Row],[New Model]],PhilipsLibary[],5,FALSE),"0")</f>
        <v>0</v>
      </c>
      <c r="V657" s="210">
        <f>_xlfn.IFNA(VLOOKUP(Mon_ILR2[[#This Row],[New Model]],PhilipsLibary[],5,FALSE),"0")</f>
        <v>0</v>
      </c>
      <c r="W657" s="210">
        <f>Mon_ILR2[[#This Row],[Accessory Rate]]+Mon_ILR2[[#This Row],[Mounting Rate]]+Mon_ILR2[[#This Row],[Unit Rate]]*Mon_ILR2[[#This Row],[New Quantity Required ]]</f>
        <v>7999</v>
      </c>
      <c r="X657" s="8"/>
      <c r="Y657" s="246"/>
    </row>
    <row r="658" spans="2:41" ht="90" x14ac:dyDescent="0.25">
      <c r="B658" s="207" t="s">
        <v>275</v>
      </c>
      <c r="C658" s="66" t="s">
        <v>174</v>
      </c>
      <c r="D658" s="4" t="s">
        <v>295</v>
      </c>
      <c r="E658" s="4" t="s">
        <v>1027</v>
      </c>
      <c r="F658" s="4" t="s">
        <v>944</v>
      </c>
      <c r="G658" s="4" t="s">
        <v>1181</v>
      </c>
      <c r="H658" s="208">
        <v>1</v>
      </c>
      <c r="I658" s="4"/>
      <c r="J658" s="46" t="s">
        <v>1192</v>
      </c>
      <c r="K658" s="4" t="str">
        <f>_xlfn.IFNA(VLOOKUP($J658,WH_Data[],6,FALSE),"")</f>
        <v>MULTI-PARAMETERS MODULE, PHYSIOLOGICAL</v>
      </c>
      <c r="L658" s="4" t="str">
        <f>_xlfn.IFNA(VLOOKUP($J658,WH_Data[],3,FALSE),"")</f>
        <v>PHILIPS MEDICAL SYSTEMS AUSTRA</v>
      </c>
      <c r="M658" s="4" t="str">
        <f>_xlfn.IFNA(VLOOKUP($J658,WH_Data[],5,FALSE),"")</f>
        <v>IntelliVue X3</v>
      </c>
      <c r="N658" s="4" t="str">
        <f>_xlfn.IFNA(VLOOKUP($J658,WH_Data[],7,FALSE),"")</f>
        <v>DE694A9970</v>
      </c>
      <c r="O658" s="4" t="str">
        <f>_xlfn.IFNA(VLOOKUP($J658,WH_Data[],8,FALSE),"")</f>
        <v>3A - FH</v>
      </c>
      <c r="P658" s="8">
        <v>1</v>
      </c>
      <c r="Q658" s="209">
        <f>Mon_ILR2[[#This Row],[Qty Required]]-Mon_ILR2[[#This Row],[QTY Transfer]]</f>
        <v>0</v>
      </c>
      <c r="R658" s="66" t="s">
        <v>905</v>
      </c>
      <c r="S658" s="66" t="s">
        <v>952</v>
      </c>
      <c r="T658" s="210">
        <v>1175</v>
      </c>
      <c r="U658" s="303">
        <v>777</v>
      </c>
      <c r="V658" s="210">
        <v>500</v>
      </c>
      <c r="W658" s="303">
        <v>2452</v>
      </c>
      <c r="X658" s="246" t="s">
        <v>954</v>
      </c>
      <c r="Y658" s="289" t="s">
        <v>2166</v>
      </c>
      <c r="Z658" s="6" t="s">
        <v>128</v>
      </c>
      <c r="AA658" s="6" t="s">
        <v>46</v>
      </c>
      <c r="AB658" s="6" t="s">
        <v>47</v>
      </c>
      <c r="AC658" s="6" t="s">
        <v>48</v>
      </c>
      <c r="AD658" s="6" t="s">
        <v>49</v>
      </c>
      <c r="AE658" s="6" t="s">
        <v>50</v>
      </c>
      <c r="AF658" s="6" t="s">
        <v>50</v>
      </c>
      <c r="AG658" s="6" t="s">
        <v>50</v>
      </c>
      <c r="AH658" s="6" t="s">
        <v>50</v>
      </c>
      <c r="AI658" s="6" t="s">
        <v>132</v>
      </c>
      <c r="AJ658" s="6" t="s">
        <v>50</v>
      </c>
      <c r="AK658" s="6" t="s">
        <v>50</v>
      </c>
      <c r="AL658" s="6" t="s">
        <v>52</v>
      </c>
      <c r="AM658" s="6" t="s">
        <v>53</v>
      </c>
      <c r="AN658" s="6" t="s">
        <v>133</v>
      </c>
      <c r="AO658" s="6" t="s">
        <v>54</v>
      </c>
    </row>
    <row r="659" spans="2:41" ht="15.75" x14ac:dyDescent="0.25">
      <c r="B659" s="207" t="s">
        <v>275</v>
      </c>
      <c r="C659" s="66" t="s">
        <v>276</v>
      </c>
      <c r="D659" s="4" t="s">
        <v>277</v>
      </c>
      <c r="E659" s="4" t="s">
        <v>1072</v>
      </c>
      <c r="F659" s="4" t="s">
        <v>944</v>
      </c>
      <c r="G659" s="4" t="s">
        <v>1181</v>
      </c>
      <c r="H659" s="208">
        <v>1</v>
      </c>
      <c r="I659" s="4"/>
      <c r="J659" s="15"/>
      <c r="K659" s="4" t="str">
        <f>_xlfn.IFNA(VLOOKUP($J659,WH_Data[],6,FALSE),"")</f>
        <v/>
      </c>
      <c r="L659" s="4" t="str">
        <f>_xlfn.IFNA(VLOOKUP($J659,WH_Data[],3,FALSE),"")</f>
        <v/>
      </c>
      <c r="M659" s="4" t="str">
        <f>_xlfn.IFNA(VLOOKUP($J659,WH_Data[],5,FALSE),"")</f>
        <v/>
      </c>
      <c r="N659" s="4" t="str">
        <f>_xlfn.IFNA(VLOOKUP($J659,WH_Data[],7,FALSE),"")</f>
        <v/>
      </c>
      <c r="O659" s="4" t="str">
        <f>_xlfn.IFNA(VLOOKUP($J659,WH_Data[],8,FALSE),"")</f>
        <v/>
      </c>
      <c r="P659" s="8"/>
      <c r="Q659" s="209">
        <f>Mon_ILR2[[#This Row],[Qty Required]]-Mon_ILR2[[#This Row],[QTY Transfer]]</f>
        <v>1</v>
      </c>
      <c r="R659" s="66" t="s">
        <v>905</v>
      </c>
      <c r="S659" s="66" t="s">
        <v>946</v>
      </c>
      <c r="T659" s="210">
        <f>_xlfn.IFNA(VLOOKUP(Mon_ILR2[[#This Row],[New Model]],PhilipsLibary[],4,FALSE),"0")</f>
        <v>7999</v>
      </c>
      <c r="U659" s="210">
        <f>_xlfn.IFNA(VLOOKUP(Mon_ILR2[[#This Row],[New Model]],PhilipsLibary[],5,FALSE),"0")</f>
        <v>0</v>
      </c>
      <c r="V659" s="210">
        <f>_xlfn.IFNA(VLOOKUP(Mon_ILR2[[#This Row],[New Model]],PhilipsLibary[],5,FALSE),"0")</f>
        <v>0</v>
      </c>
      <c r="W659" s="210">
        <f>Mon_ILR2[[#This Row],[Accessory Rate]]+Mon_ILR2[[#This Row],[Mounting Rate]]+Mon_ILR2[[#This Row],[Unit Rate]]*Mon_ILR2[[#This Row],[New Quantity Required ]]</f>
        <v>7999</v>
      </c>
      <c r="X659" s="8"/>
      <c r="Y659" s="246"/>
    </row>
    <row r="660" spans="2:41" ht="15.75" x14ac:dyDescent="0.25">
      <c r="B660" s="207" t="s">
        <v>275</v>
      </c>
      <c r="C660" s="66" t="s">
        <v>276</v>
      </c>
      <c r="D660" s="4" t="s">
        <v>282</v>
      </c>
      <c r="E660" s="4" t="s">
        <v>1072</v>
      </c>
      <c r="F660" s="4" t="s">
        <v>944</v>
      </c>
      <c r="G660" s="4" t="s">
        <v>1181</v>
      </c>
      <c r="H660" s="208">
        <v>1</v>
      </c>
      <c r="I660" s="4"/>
      <c r="J660" s="15"/>
      <c r="K660" s="4" t="str">
        <f>_xlfn.IFNA(VLOOKUP($J660,WH_Data[],6,FALSE),"")</f>
        <v/>
      </c>
      <c r="L660" s="4" t="str">
        <f>_xlfn.IFNA(VLOOKUP($J660,WH_Data[],3,FALSE),"")</f>
        <v/>
      </c>
      <c r="M660" s="4" t="str">
        <f>_xlfn.IFNA(VLOOKUP($J660,WH_Data[],5,FALSE),"")</f>
        <v/>
      </c>
      <c r="N660" s="4" t="str">
        <f>_xlfn.IFNA(VLOOKUP($J660,WH_Data[],7,FALSE),"")</f>
        <v/>
      </c>
      <c r="O660" s="4" t="str">
        <f>_xlfn.IFNA(VLOOKUP($J660,WH_Data[],8,FALSE),"")</f>
        <v/>
      </c>
      <c r="P660" s="8"/>
      <c r="Q660" s="209">
        <f>Mon_ILR2[[#This Row],[Qty Required]]-Mon_ILR2[[#This Row],[QTY Transfer]]</f>
        <v>1</v>
      </c>
      <c r="R660" s="66" t="s">
        <v>905</v>
      </c>
      <c r="S660" s="66" t="s">
        <v>946</v>
      </c>
      <c r="T660" s="210">
        <f>_xlfn.IFNA(VLOOKUP(Mon_ILR2[[#This Row],[New Model]],PhilipsLibary[],4,FALSE),"0")</f>
        <v>7999</v>
      </c>
      <c r="U660" s="210">
        <f>_xlfn.IFNA(VLOOKUP(Mon_ILR2[[#This Row],[New Model]],PhilipsLibary[],5,FALSE),"0")</f>
        <v>0</v>
      </c>
      <c r="V660" s="210">
        <f>_xlfn.IFNA(VLOOKUP(Mon_ILR2[[#This Row],[New Model]],PhilipsLibary[],5,FALSE),"0")</f>
        <v>0</v>
      </c>
      <c r="W660" s="210">
        <f>Mon_ILR2[[#This Row],[Accessory Rate]]+Mon_ILR2[[#This Row],[Mounting Rate]]+Mon_ILR2[[#This Row],[Unit Rate]]*Mon_ILR2[[#This Row],[New Quantity Required ]]</f>
        <v>7999</v>
      </c>
      <c r="X660" s="8"/>
      <c r="Y660" s="246"/>
    </row>
    <row r="661" spans="2:41" ht="15.75" x14ac:dyDescent="0.25">
      <c r="B661" s="207" t="s">
        <v>275</v>
      </c>
      <c r="C661" s="66" t="s">
        <v>276</v>
      </c>
      <c r="D661" s="4" t="s">
        <v>285</v>
      </c>
      <c r="E661" s="4" t="s">
        <v>1072</v>
      </c>
      <c r="F661" s="4" t="s">
        <v>944</v>
      </c>
      <c r="G661" s="4" t="s">
        <v>1181</v>
      </c>
      <c r="H661" s="208">
        <v>1</v>
      </c>
      <c r="I661" s="4"/>
      <c r="J661" s="15"/>
      <c r="K661" s="4" t="str">
        <f>_xlfn.IFNA(VLOOKUP($J661,WH_Data[],6,FALSE),"")</f>
        <v/>
      </c>
      <c r="L661" s="4" t="str">
        <f>_xlfn.IFNA(VLOOKUP($J661,WH_Data[],3,FALSE),"")</f>
        <v/>
      </c>
      <c r="M661" s="4" t="str">
        <f>_xlfn.IFNA(VLOOKUP($J661,WH_Data[],5,FALSE),"")</f>
        <v/>
      </c>
      <c r="N661" s="4" t="str">
        <f>_xlfn.IFNA(VLOOKUP($J661,WH_Data[],7,FALSE),"")</f>
        <v/>
      </c>
      <c r="O661" s="4" t="str">
        <f>_xlfn.IFNA(VLOOKUP($J661,WH_Data[],8,FALSE),"")</f>
        <v/>
      </c>
      <c r="P661" s="8"/>
      <c r="Q661" s="209">
        <f>Mon_ILR2[[#This Row],[Qty Required]]-Mon_ILR2[[#This Row],[QTY Transfer]]</f>
        <v>1</v>
      </c>
      <c r="R661" s="66" t="s">
        <v>905</v>
      </c>
      <c r="S661" s="66" t="s">
        <v>946</v>
      </c>
      <c r="T661" s="210">
        <f>_xlfn.IFNA(VLOOKUP(Mon_ILR2[[#This Row],[New Model]],PhilipsLibary[],4,FALSE),"0")</f>
        <v>7999</v>
      </c>
      <c r="U661" s="210">
        <f>_xlfn.IFNA(VLOOKUP(Mon_ILR2[[#This Row],[New Model]],PhilipsLibary[],5,FALSE),"0")</f>
        <v>0</v>
      </c>
      <c r="V661" s="210">
        <f>_xlfn.IFNA(VLOOKUP(Mon_ILR2[[#This Row],[New Model]],PhilipsLibary[],5,FALSE),"0")</f>
        <v>0</v>
      </c>
      <c r="W661" s="210">
        <f>Mon_ILR2[[#This Row],[Accessory Rate]]+Mon_ILR2[[#This Row],[Mounting Rate]]+Mon_ILR2[[#This Row],[Unit Rate]]*Mon_ILR2[[#This Row],[New Quantity Required ]]</f>
        <v>7999</v>
      </c>
      <c r="X661" s="8"/>
      <c r="Y661" s="246"/>
    </row>
    <row r="662" spans="2:41" ht="15.75" x14ac:dyDescent="0.25">
      <c r="B662" s="207" t="s">
        <v>275</v>
      </c>
      <c r="C662" s="66" t="s">
        <v>288</v>
      </c>
      <c r="D662" s="4" t="s">
        <v>289</v>
      </c>
      <c r="E662" s="4" t="s">
        <v>1072</v>
      </c>
      <c r="F662" s="4" t="s">
        <v>944</v>
      </c>
      <c r="G662" s="4" t="s">
        <v>1181</v>
      </c>
      <c r="H662" s="208">
        <v>1</v>
      </c>
      <c r="I662" s="4"/>
      <c r="J662" s="15"/>
      <c r="K662" s="4" t="str">
        <f>_xlfn.IFNA(VLOOKUP($J662,WH_Data[],6,FALSE),"")</f>
        <v/>
      </c>
      <c r="L662" s="4" t="str">
        <f>_xlfn.IFNA(VLOOKUP($J662,WH_Data[],3,FALSE),"")</f>
        <v/>
      </c>
      <c r="M662" s="4" t="str">
        <f>_xlfn.IFNA(VLOOKUP($J662,WH_Data[],5,FALSE),"")</f>
        <v/>
      </c>
      <c r="N662" s="4" t="str">
        <f>_xlfn.IFNA(VLOOKUP($J662,WH_Data[],7,FALSE),"")</f>
        <v/>
      </c>
      <c r="O662" s="4" t="str">
        <f>_xlfn.IFNA(VLOOKUP($J662,WH_Data[],8,FALSE),"")</f>
        <v/>
      </c>
      <c r="P662" s="8"/>
      <c r="Q662" s="209">
        <f>Mon_ILR2[[#This Row],[Qty Required]]-Mon_ILR2[[#This Row],[QTY Transfer]]</f>
        <v>1</v>
      </c>
      <c r="R662" s="66" t="s">
        <v>905</v>
      </c>
      <c r="S662" s="66" t="s">
        <v>946</v>
      </c>
      <c r="T662" s="210">
        <f>_xlfn.IFNA(VLOOKUP(Mon_ILR2[[#This Row],[New Model]],PhilipsLibary[],4,FALSE),"0")</f>
        <v>7999</v>
      </c>
      <c r="U662" s="210">
        <f>_xlfn.IFNA(VLOOKUP(Mon_ILR2[[#This Row],[New Model]],PhilipsLibary[],5,FALSE),"0")</f>
        <v>0</v>
      </c>
      <c r="V662" s="210">
        <f>_xlfn.IFNA(VLOOKUP(Mon_ILR2[[#This Row],[New Model]],PhilipsLibary[],5,FALSE),"0")</f>
        <v>0</v>
      </c>
      <c r="W662" s="210">
        <f>Mon_ILR2[[#This Row],[Accessory Rate]]+Mon_ILR2[[#This Row],[Mounting Rate]]+Mon_ILR2[[#This Row],[Unit Rate]]*Mon_ILR2[[#This Row],[New Quantity Required ]]</f>
        <v>7999</v>
      </c>
      <c r="X662" s="8"/>
      <c r="Y662" s="246"/>
    </row>
    <row r="663" spans="2:41" ht="15.75" x14ac:dyDescent="0.25">
      <c r="B663" s="207" t="s">
        <v>275</v>
      </c>
      <c r="C663" s="66" t="s">
        <v>276</v>
      </c>
      <c r="D663" s="4" t="s">
        <v>292</v>
      </c>
      <c r="E663" s="4" t="s">
        <v>1072</v>
      </c>
      <c r="F663" s="4" t="s">
        <v>944</v>
      </c>
      <c r="G663" s="4" t="s">
        <v>1181</v>
      </c>
      <c r="H663" s="208">
        <v>1</v>
      </c>
      <c r="I663" s="4"/>
      <c r="J663" s="15"/>
      <c r="K663" s="4" t="str">
        <f>_xlfn.IFNA(VLOOKUP($J663,WH_Data[],6,FALSE),"")</f>
        <v/>
      </c>
      <c r="L663" s="4" t="str">
        <f>_xlfn.IFNA(VLOOKUP($J663,WH_Data[],3,FALSE),"")</f>
        <v/>
      </c>
      <c r="M663" s="4" t="str">
        <f>_xlfn.IFNA(VLOOKUP($J663,WH_Data[],5,FALSE),"")</f>
        <v/>
      </c>
      <c r="N663" s="4" t="str">
        <f>_xlfn.IFNA(VLOOKUP($J663,WH_Data[],7,FALSE),"")</f>
        <v/>
      </c>
      <c r="O663" s="4" t="str">
        <f>_xlfn.IFNA(VLOOKUP($J663,WH_Data[],8,FALSE),"")</f>
        <v/>
      </c>
      <c r="P663" s="8"/>
      <c r="Q663" s="209">
        <f>Mon_ILR2[[#This Row],[Qty Required]]-Mon_ILR2[[#This Row],[QTY Transfer]]</f>
        <v>1</v>
      </c>
      <c r="R663" s="66" t="s">
        <v>905</v>
      </c>
      <c r="S663" s="66" t="s">
        <v>946</v>
      </c>
      <c r="T663" s="210">
        <f>_xlfn.IFNA(VLOOKUP(Mon_ILR2[[#This Row],[New Model]],PhilipsLibary[],4,FALSE),"0")</f>
        <v>7999</v>
      </c>
      <c r="U663" s="210">
        <f>_xlfn.IFNA(VLOOKUP(Mon_ILR2[[#This Row],[New Model]],PhilipsLibary[],5,FALSE),"0")</f>
        <v>0</v>
      </c>
      <c r="V663" s="210">
        <f>_xlfn.IFNA(VLOOKUP(Mon_ILR2[[#This Row],[New Model]],PhilipsLibary[],5,FALSE),"0")</f>
        <v>0</v>
      </c>
      <c r="W663" s="210">
        <f>Mon_ILR2[[#This Row],[Accessory Rate]]+Mon_ILR2[[#This Row],[Mounting Rate]]+Mon_ILR2[[#This Row],[Unit Rate]]*Mon_ILR2[[#This Row],[New Quantity Required ]]</f>
        <v>7999</v>
      </c>
      <c r="X663" s="8"/>
      <c r="Y663" s="246"/>
    </row>
    <row r="664" spans="2:41" ht="90" x14ac:dyDescent="0.25">
      <c r="B664" s="207" t="s">
        <v>275</v>
      </c>
      <c r="C664" s="66" t="s">
        <v>174</v>
      </c>
      <c r="D664" s="4" t="s">
        <v>295</v>
      </c>
      <c r="E664" s="4" t="s">
        <v>1027</v>
      </c>
      <c r="F664" s="4" t="s">
        <v>944</v>
      </c>
      <c r="G664" s="4" t="s">
        <v>1181</v>
      </c>
      <c r="H664" s="208">
        <v>1</v>
      </c>
      <c r="I664" s="4"/>
      <c r="J664" s="46" t="s">
        <v>1193</v>
      </c>
      <c r="K664" s="4" t="str">
        <f>_xlfn.IFNA(VLOOKUP($J664,WH_Data[],6,FALSE),"")</f>
        <v>MULTI-PARAMETERS MODULE, PHYSIOLOGICAL</v>
      </c>
      <c r="L664" s="4" t="str">
        <f>_xlfn.IFNA(VLOOKUP($J664,WH_Data[],3,FALSE),"")</f>
        <v>PHILIPS MEDICAL SYSTEMS AUSTRA</v>
      </c>
      <c r="M664" s="4" t="str">
        <f>_xlfn.IFNA(VLOOKUP($J664,WH_Data[],5,FALSE),"")</f>
        <v>IntelliVue X3</v>
      </c>
      <c r="N664" s="4" t="str">
        <f>_xlfn.IFNA(VLOOKUP($J664,WH_Data[],7,FALSE),"")</f>
        <v>DE61146754</v>
      </c>
      <c r="O664" s="4" t="str">
        <f>_xlfn.IFNA(VLOOKUP($J664,WH_Data[],8,FALSE),"")</f>
        <v>LOANED TO CCU (BED 4) - WO R0253445</v>
      </c>
      <c r="P664" s="8">
        <v>1</v>
      </c>
      <c r="Q664" s="209">
        <f>Mon_ILR2[[#This Row],[Qty Required]]-Mon_ILR2[[#This Row],[QTY Transfer]]</f>
        <v>0</v>
      </c>
      <c r="R664" s="66" t="s">
        <v>905</v>
      </c>
      <c r="S664" s="66" t="s">
        <v>952</v>
      </c>
      <c r="T664" s="210">
        <v>1175</v>
      </c>
      <c r="U664" s="303">
        <v>777</v>
      </c>
      <c r="V664" s="210">
        <v>500</v>
      </c>
      <c r="W664" s="303">
        <v>2452</v>
      </c>
      <c r="X664" s="246" t="s">
        <v>954</v>
      </c>
      <c r="Y664" s="289" t="s">
        <v>2166</v>
      </c>
    </row>
    <row r="665" spans="2:41" ht="90" x14ac:dyDescent="0.25">
      <c r="B665" s="207" t="s">
        <v>275</v>
      </c>
      <c r="C665" s="66" t="s">
        <v>661</v>
      </c>
      <c r="D665" s="4" t="s">
        <v>662</v>
      </c>
      <c r="E665" s="4" t="s">
        <v>1027</v>
      </c>
      <c r="F665" s="4" t="s">
        <v>944</v>
      </c>
      <c r="G665" s="4" t="s">
        <v>1181</v>
      </c>
      <c r="H665" s="208">
        <v>1</v>
      </c>
      <c r="I665" s="4"/>
      <c r="J665" s="46" t="s">
        <v>1194</v>
      </c>
      <c r="K665" s="4" t="str">
        <f>_xlfn.IFNA(VLOOKUP($J665,WH_Data[],6,FALSE),"")</f>
        <v>MULTI-PARAMETERS MODULE, PHYSIOLOGICAL</v>
      </c>
      <c r="L665" s="4" t="str">
        <f>_xlfn.IFNA(VLOOKUP($J665,WH_Data[],3,FALSE),"")</f>
        <v>PHILIPS MEDICAL SYSTEMS AUSTRA</v>
      </c>
      <c r="M665" s="4" t="str">
        <f>_xlfn.IFNA(VLOOKUP($J665,WH_Data[],5,FALSE),"")</f>
        <v>IntelliVue X3</v>
      </c>
      <c r="N665" s="4" t="str">
        <f>_xlfn.IFNA(VLOOKUP($J665,WH_Data[],7,FALSE),"")</f>
        <v>DE694B0029</v>
      </c>
      <c r="O665" s="4" t="str">
        <f>_xlfn.IFNA(VLOOKUP($J665,WH_Data[],8,FALSE),"")</f>
        <v>ED - SSU -  3A - FH</v>
      </c>
      <c r="P665" s="8">
        <v>1</v>
      </c>
      <c r="Q665" s="209">
        <f>Mon_ILR2[[#This Row],[Qty Required]]-Mon_ILR2[[#This Row],[QTY Transfer]]</f>
        <v>0</v>
      </c>
      <c r="R665" s="66" t="s">
        <v>905</v>
      </c>
      <c r="S665" s="66" t="s">
        <v>952</v>
      </c>
      <c r="T665" s="210">
        <v>1175</v>
      </c>
      <c r="U665" s="210">
        <f>_xlfn.IFNA(VLOOKUP(Mon_ILR2[[#This Row],[New Model]],PhilipsLibary[],5,FALSE),"0")</f>
        <v>0</v>
      </c>
      <c r="V665" s="210">
        <v>500</v>
      </c>
      <c r="W665" s="210">
        <v>1675</v>
      </c>
      <c r="X665" s="246" t="s">
        <v>954</v>
      </c>
      <c r="Y665" s="246" t="s">
        <v>1183</v>
      </c>
    </row>
    <row r="666" spans="2:41" ht="90" x14ac:dyDescent="0.25">
      <c r="B666" s="207" t="s">
        <v>275</v>
      </c>
      <c r="C666" s="66" t="s">
        <v>661</v>
      </c>
      <c r="D666" s="4" t="s">
        <v>663</v>
      </c>
      <c r="E666" s="4" t="s">
        <v>1027</v>
      </c>
      <c r="F666" s="4" t="s">
        <v>944</v>
      </c>
      <c r="G666" s="4" t="s">
        <v>1181</v>
      </c>
      <c r="H666" s="208">
        <v>1</v>
      </c>
      <c r="I666" s="4"/>
      <c r="J666" s="46" t="s">
        <v>1195</v>
      </c>
      <c r="K666" s="4" t="str">
        <f>_xlfn.IFNA(VLOOKUP($J666,WH_Data[],6,FALSE),"")</f>
        <v>MULTI-PARAMETERS MODULE, PHYSIOLOGICAL</v>
      </c>
      <c r="L666" s="4" t="str">
        <f>_xlfn.IFNA(VLOOKUP($J666,WH_Data[],3,FALSE),"")</f>
        <v>PHILIPS MEDICAL SYSTEMS AUSTRA</v>
      </c>
      <c r="M666" s="4" t="str">
        <f>_xlfn.IFNA(VLOOKUP($J666,WH_Data[],5,FALSE),"")</f>
        <v>IntelliVue X3</v>
      </c>
      <c r="N666" s="4" t="str">
        <f>_xlfn.IFNA(VLOOKUP($J666,WH_Data[],7,FALSE),"")</f>
        <v>DE694A9956</v>
      </c>
      <c r="O666" s="4" t="str">
        <f>_xlfn.IFNA(VLOOKUP($J666,WH_Data[],8,FALSE),"")</f>
        <v>ED - SSU - 3A - FH</v>
      </c>
      <c r="P666" s="8">
        <v>1</v>
      </c>
      <c r="Q666" s="209">
        <f>Mon_ILR2[[#This Row],[Qty Required]]-Mon_ILR2[[#This Row],[QTY Transfer]]</f>
        <v>0</v>
      </c>
      <c r="R666" s="66" t="s">
        <v>905</v>
      </c>
      <c r="S666" s="66" t="s">
        <v>952</v>
      </c>
      <c r="T666" s="210">
        <v>1175</v>
      </c>
      <c r="U666" s="210">
        <f>_xlfn.IFNA(VLOOKUP(Mon_ILR2[[#This Row],[New Model]],PhilipsLibary[],5,FALSE),"0")</f>
        <v>0</v>
      </c>
      <c r="V666" s="210">
        <v>500</v>
      </c>
      <c r="W666" s="210">
        <v>1675</v>
      </c>
      <c r="X666" s="246" t="s">
        <v>954</v>
      </c>
      <c r="Y666" s="246" t="s">
        <v>1183</v>
      </c>
    </row>
    <row r="667" spans="2:41" ht="90" x14ac:dyDescent="0.25">
      <c r="B667" s="207" t="s">
        <v>275</v>
      </c>
      <c r="C667" s="66" t="s">
        <v>661</v>
      </c>
      <c r="D667" s="4" t="s">
        <v>664</v>
      </c>
      <c r="E667" s="4" t="s">
        <v>1027</v>
      </c>
      <c r="F667" s="4" t="s">
        <v>944</v>
      </c>
      <c r="G667" s="4" t="s">
        <v>1181</v>
      </c>
      <c r="H667" s="208">
        <v>1</v>
      </c>
      <c r="I667" s="4"/>
      <c r="J667" s="46" t="s">
        <v>1196</v>
      </c>
      <c r="K667" s="4" t="str">
        <f>_xlfn.IFNA(VLOOKUP($J667,WH_Data[],6,FALSE),"")</f>
        <v>MULTI-PARAMETERS MODULE, PHYSIOLOGICAL</v>
      </c>
      <c r="L667" s="4" t="str">
        <f>_xlfn.IFNA(VLOOKUP($J667,WH_Data[],3,FALSE),"")</f>
        <v>PHILIPS MEDICAL SYSTEMS AUSTRA</v>
      </c>
      <c r="M667" s="4" t="str">
        <f>_xlfn.IFNA(VLOOKUP($J667,WH_Data[],5,FALSE),"")</f>
        <v>IntelliVue X3</v>
      </c>
      <c r="N667" s="4" t="str">
        <f>_xlfn.IFNA(VLOOKUP($J667,WH_Data[],7,FALSE),"")</f>
        <v>DE694B1615</v>
      </c>
      <c r="O667" s="4" t="str">
        <f>_xlfn.IFNA(VLOOKUP($J667,WH_Data[],8,FALSE),"")</f>
        <v>ED - FH</v>
      </c>
      <c r="P667" s="8">
        <v>1</v>
      </c>
      <c r="Q667" s="209">
        <f>Mon_ILR2[[#This Row],[Qty Required]]-Mon_ILR2[[#This Row],[QTY Transfer]]</f>
        <v>0</v>
      </c>
      <c r="R667" s="66" t="s">
        <v>905</v>
      </c>
      <c r="S667" s="66" t="s">
        <v>952</v>
      </c>
      <c r="T667" s="210">
        <v>1175</v>
      </c>
      <c r="U667" s="210">
        <f>_xlfn.IFNA(VLOOKUP(Mon_ILR2[[#This Row],[New Model]],PhilipsLibary[],5,FALSE),"0")</f>
        <v>0</v>
      </c>
      <c r="V667" s="210">
        <v>500</v>
      </c>
      <c r="W667" s="210">
        <v>1675</v>
      </c>
      <c r="X667" s="246" t="s">
        <v>954</v>
      </c>
      <c r="Y667" s="246" t="s">
        <v>1183</v>
      </c>
    </row>
    <row r="668" spans="2:41" ht="90" x14ac:dyDescent="0.25">
      <c r="B668" s="207" t="s">
        <v>275</v>
      </c>
      <c r="C668" s="66" t="s">
        <v>661</v>
      </c>
      <c r="D668" s="4" t="s">
        <v>665</v>
      </c>
      <c r="E668" s="4" t="s">
        <v>1027</v>
      </c>
      <c r="F668" s="4" t="s">
        <v>944</v>
      </c>
      <c r="G668" s="4" t="s">
        <v>1181</v>
      </c>
      <c r="H668" s="208">
        <v>1</v>
      </c>
      <c r="I668" s="4"/>
      <c r="J668" s="46" t="s">
        <v>1197</v>
      </c>
      <c r="K668" s="4" t="str">
        <f>_xlfn.IFNA(VLOOKUP($J668,WH_Data[],6,FALSE),"")</f>
        <v>MULTI-PARAMETERS MODULE, PHYSIOLOGICAL</v>
      </c>
      <c r="L668" s="4" t="str">
        <f>_xlfn.IFNA(VLOOKUP($J668,WH_Data[],3,FALSE),"")</f>
        <v>PHILIPS MEDICAL SYSTEMS AUSTRA</v>
      </c>
      <c r="M668" s="4" t="str">
        <f>_xlfn.IFNA(VLOOKUP($J668,WH_Data[],5,FALSE),"")</f>
        <v>IntelliVue X3</v>
      </c>
      <c r="N668" s="4" t="str">
        <f>_xlfn.IFNA(VLOOKUP($J668,WH_Data[],7,FALSE),"")</f>
        <v>DE694B0008</v>
      </c>
      <c r="O668" s="4" t="str">
        <f>_xlfn.IFNA(VLOOKUP($J668,WH_Data[],8,FALSE),"")</f>
        <v>ED - SSU - 3A - FH</v>
      </c>
      <c r="P668" s="8">
        <v>1</v>
      </c>
      <c r="Q668" s="209">
        <f>Mon_ILR2[[#This Row],[Qty Required]]-Mon_ILR2[[#This Row],[QTY Transfer]]</f>
        <v>0</v>
      </c>
      <c r="R668" s="66" t="s">
        <v>905</v>
      </c>
      <c r="S668" s="66" t="s">
        <v>952</v>
      </c>
      <c r="T668" s="210">
        <v>1175</v>
      </c>
      <c r="U668" s="210">
        <f>_xlfn.IFNA(VLOOKUP(Mon_ILR2[[#This Row],[New Model]],PhilipsLibary[],5,FALSE),"0")</f>
        <v>0</v>
      </c>
      <c r="V668" s="210">
        <v>500</v>
      </c>
      <c r="W668" s="210">
        <v>1675</v>
      </c>
      <c r="X668" s="246" t="s">
        <v>954</v>
      </c>
      <c r="Y668" s="246" t="s">
        <v>1183</v>
      </c>
    </row>
    <row r="669" spans="2:41" ht="90" x14ac:dyDescent="0.25">
      <c r="B669" s="207" t="s">
        <v>275</v>
      </c>
      <c r="C669" s="66" t="s">
        <v>661</v>
      </c>
      <c r="D669" s="4" t="s">
        <v>666</v>
      </c>
      <c r="E669" s="4" t="s">
        <v>1027</v>
      </c>
      <c r="F669" s="4" t="s">
        <v>944</v>
      </c>
      <c r="G669" s="4" t="s">
        <v>1181</v>
      </c>
      <c r="H669" s="208">
        <v>1</v>
      </c>
      <c r="I669" s="4"/>
      <c r="J669" s="46" t="s">
        <v>1198</v>
      </c>
      <c r="K669" s="4" t="str">
        <f>_xlfn.IFNA(VLOOKUP($J669,WH_Data[],6,FALSE),"")</f>
        <v>MULTI-PARAMETERS MODULE, PHYSIOLOGICAL</v>
      </c>
      <c r="L669" s="4" t="str">
        <f>_xlfn.IFNA(VLOOKUP($J669,WH_Data[],3,FALSE),"")</f>
        <v>PHILIPS MEDICAL SYSTEMS AUSTRA</v>
      </c>
      <c r="M669" s="4" t="str">
        <f>_xlfn.IFNA(VLOOKUP($J669,WH_Data[],5,FALSE),"")</f>
        <v>IntelliVue X3</v>
      </c>
      <c r="N669" s="4" t="str">
        <f>_xlfn.IFNA(VLOOKUP($J669,WH_Data[],7,FALSE),"")</f>
        <v>DE694A9963</v>
      </c>
      <c r="O669" s="4" t="str">
        <f>_xlfn.IFNA(VLOOKUP($J669,WH_Data[],8,FALSE),"")</f>
        <v>ED - SSU - 3A - FH</v>
      </c>
      <c r="P669" s="8">
        <v>1</v>
      </c>
      <c r="Q669" s="209">
        <f>Mon_ILR2[[#This Row],[Qty Required]]-Mon_ILR2[[#This Row],[QTY Transfer]]</f>
        <v>0</v>
      </c>
      <c r="R669" s="66" t="s">
        <v>905</v>
      </c>
      <c r="S669" s="66" t="s">
        <v>952</v>
      </c>
      <c r="T669" s="210">
        <v>1175</v>
      </c>
      <c r="U669" s="210">
        <f>_xlfn.IFNA(VLOOKUP(Mon_ILR2[[#This Row],[New Model]],PhilipsLibary[],5,FALSE),"0")</f>
        <v>0</v>
      </c>
      <c r="V669" s="210">
        <v>500</v>
      </c>
      <c r="W669" s="210">
        <v>1675</v>
      </c>
      <c r="X669" s="246" t="s">
        <v>954</v>
      </c>
      <c r="Y669" s="246" t="s">
        <v>1183</v>
      </c>
    </row>
    <row r="670" spans="2:41" ht="90" x14ac:dyDescent="0.25">
      <c r="B670" s="207" t="s">
        <v>275</v>
      </c>
      <c r="C670" s="66" t="s">
        <v>661</v>
      </c>
      <c r="D670" s="4" t="s">
        <v>667</v>
      </c>
      <c r="E670" s="4" t="s">
        <v>1027</v>
      </c>
      <c r="F670" s="4" t="s">
        <v>944</v>
      </c>
      <c r="G670" s="4" t="s">
        <v>1181</v>
      </c>
      <c r="H670" s="208">
        <v>1</v>
      </c>
      <c r="I670" s="4"/>
      <c r="J670" s="46" t="s">
        <v>1199</v>
      </c>
      <c r="K670" s="4" t="str">
        <f>_xlfn.IFNA(VLOOKUP($J670,WH_Data[],6,FALSE),"")</f>
        <v>MULTI-PARAMETERS MODULE, PHYSIOLOGICAL</v>
      </c>
      <c r="L670" s="4" t="str">
        <f>_xlfn.IFNA(VLOOKUP($J670,WH_Data[],3,FALSE),"")</f>
        <v>PHILIPS MEDICAL SYSTEMS AUSTRA</v>
      </c>
      <c r="M670" s="4" t="str">
        <f>_xlfn.IFNA(VLOOKUP($J670,WH_Data[],5,FALSE),"")</f>
        <v>IntelliVue X3</v>
      </c>
      <c r="N670" s="4" t="str">
        <f>_xlfn.IFNA(VLOOKUP($J670,WH_Data[],7,FALSE),"")</f>
        <v>DE694A9967</v>
      </c>
      <c r="O670" s="4" t="str">
        <f>_xlfn.IFNA(VLOOKUP($J670,WH_Data[],8,FALSE),"")</f>
        <v>ED - SSU - 3A - FH</v>
      </c>
      <c r="P670" s="8">
        <v>1</v>
      </c>
      <c r="Q670" s="209">
        <f>Mon_ILR2[[#This Row],[Qty Required]]-Mon_ILR2[[#This Row],[QTY Transfer]]</f>
        <v>0</v>
      </c>
      <c r="R670" s="66" t="s">
        <v>905</v>
      </c>
      <c r="S670" s="66" t="s">
        <v>952</v>
      </c>
      <c r="T670" s="210">
        <v>1175</v>
      </c>
      <c r="U670" s="210">
        <f>_xlfn.IFNA(VLOOKUP(Mon_ILR2[[#This Row],[New Model]],PhilipsLibary[],5,FALSE),"0")</f>
        <v>0</v>
      </c>
      <c r="V670" s="210">
        <v>500</v>
      </c>
      <c r="W670" s="210">
        <v>1675</v>
      </c>
      <c r="X670" s="246" t="s">
        <v>954</v>
      </c>
      <c r="Y670" s="246" t="s">
        <v>1183</v>
      </c>
    </row>
    <row r="671" spans="2:41" ht="90" x14ac:dyDescent="0.25">
      <c r="B671" s="207" t="s">
        <v>275</v>
      </c>
      <c r="C671" s="66" t="s">
        <v>668</v>
      </c>
      <c r="D671" s="4" t="s">
        <v>669</v>
      </c>
      <c r="E671" s="4" t="s">
        <v>1027</v>
      </c>
      <c r="F671" s="4" t="s">
        <v>944</v>
      </c>
      <c r="G671" s="4" t="s">
        <v>1181</v>
      </c>
      <c r="H671" s="208">
        <v>1</v>
      </c>
      <c r="I671" s="4"/>
      <c r="J671" s="46" t="s">
        <v>1200</v>
      </c>
      <c r="K671" s="4" t="str">
        <f>_xlfn.IFNA(VLOOKUP($J671,WH_Data[],6,FALSE),"")</f>
        <v>MULTI-PARAMETERS MODULE, PHYSIOLOGICAL</v>
      </c>
      <c r="L671" s="4" t="str">
        <f>_xlfn.IFNA(VLOOKUP($J671,WH_Data[],3,FALSE),"")</f>
        <v>PHILIPS MEDICAL SYSTEMS AUSTRA</v>
      </c>
      <c r="M671" s="4" t="str">
        <f>_xlfn.IFNA(VLOOKUP($J671,WH_Data[],5,FALSE),"")</f>
        <v>IntelliVue X3</v>
      </c>
      <c r="N671" s="4" t="str">
        <f>_xlfn.IFNA(VLOOKUP($J671,WH_Data[],7,FALSE),"")</f>
        <v>DE694A9829</v>
      </c>
      <c r="O671" s="4" t="str">
        <f>_xlfn.IFNA(VLOOKUP($J671,WH_Data[],8,FALSE),"")</f>
        <v>ED - SSU - 3A - FH</v>
      </c>
      <c r="P671" s="8">
        <v>1</v>
      </c>
      <c r="Q671" s="209">
        <f>Mon_ILR2[[#This Row],[Qty Required]]-Mon_ILR2[[#This Row],[QTY Transfer]]</f>
        <v>0</v>
      </c>
      <c r="R671" s="66" t="s">
        <v>905</v>
      </c>
      <c r="S671" s="66" t="s">
        <v>952</v>
      </c>
      <c r="T671" s="210">
        <v>1175</v>
      </c>
      <c r="U671" s="210">
        <f>_xlfn.IFNA(VLOOKUP(Mon_ILR2[[#This Row],[New Model]],PhilipsLibary[],5,FALSE),"0")</f>
        <v>0</v>
      </c>
      <c r="V671" s="210">
        <v>500</v>
      </c>
      <c r="W671" s="210">
        <v>1675</v>
      </c>
      <c r="X671" s="246" t="s">
        <v>954</v>
      </c>
      <c r="Y671" s="246" t="s">
        <v>1183</v>
      </c>
    </row>
    <row r="672" spans="2:41" ht="90" x14ac:dyDescent="0.25">
      <c r="B672" s="207" t="s">
        <v>275</v>
      </c>
      <c r="C672" s="66" t="s">
        <v>670</v>
      </c>
      <c r="D672" s="4" t="s">
        <v>671</v>
      </c>
      <c r="E672" s="4" t="s">
        <v>1027</v>
      </c>
      <c r="F672" s="4" t="s">
        <v>944</v>
      </c>
      <c r="G672" s="4" t="s">
        <v>1181</v>
      </c>
      <c r="H672" s="208">
        <v>1</v>
      </c>
      <c r="I672" s="4"/>
      <c r="J672" s="46" t="s">
        <v>1201</v>
      </c>
      <c r="K672" s="4" t="str">
        <f>_xlfn.IFNA(VLOOKUP($J672,WH_Data[],6,FALSE),"")</f>
        <v>MULTI-PARAMETERS MODULE, PHYSIOLOGICAL</v>
      </c>
      <c r="L672" s="4" t="str">
        <f>_xlfn.IFNA(VLOOKUP($J672,WH_Data[],3,FALSE),"")</f>
        <v>PHILIPS MEDICAL SYSTEMS AUSTRA</v>
      </c>
      <c r="M672" s="4" t="str">
        <f>_xlfn.IFNA(VLOOKUP($J672,WH_Data[],5,FALSE),"")</f>
        <v>IntelliVue X3</v>
      </c>
      <c r="N672" s="4" t="str">
        <f>_xlfn.IFNA(VLOOKUP($J672,WH_Data[],7,FALSE),"")</f>
        <v>DE752M8007</v>
      </c>
      <c r="O672" s="4" t="str">
        <f>_xlfn.IFNA(VLOOKUP($J672,WH_Data[],8,FALSE),"")</f>
        <v>ED - FH</v>
      </c>
      <c r="P672" s="8">
        <v>1</v>
      </c>
      <c r="Q672" s="209">
        <f>Mon_ILR2[[#This Row],[Qty Required]]-Mon_ILR2[[#This Row],[QTY Transfer]]</f>
        <v>0</v>
      </c>
      <c r="R672" s="66" t="s">
        <v>905</v>
      </c>
      <c r="S672" s="66" t="s">
        <v>952</v>
      </c>
      <c r="T672" s="210">
        <v>1175</v>
      </c>
      <c r="U672" s="210">
        <f>_xlfn.IFNA(VLOOKUP(Mon_ILR2[[#This Row],[New Model]],PhilipsLibary[],5,FALSE),"0")</f>
        <v>0</v>
      </c>
      <c r="V672" s="210">
        <v>500</v>
      </c>
      <c r="W672" s="210">
        <v>1675</v>
      </c>
      <c r="X672" s="246" t="s">
        <v>954</v>
      </c>
      <c r="Y672" s="246" t="s">
        <v>1183</v>
      </c>
    </row>
    <row r="673" spans="2:25" ht="90" x14ac:dyDescent="0.25">
      <c r="B673" s="207" t="s">
        <v>275</v>
      </c>
      <c r="C673" s="66" t="s">
        <v>672</v>
      </c>
      <c r="D673" s="4" t="s">
        <v>673</v>
      </c>
      <c r="E673" s="4" t="s">
        <v>1027</v>
      </c>
      <c r="F673" s="4" t="s">
        <v>944</v>
      </c>
      <c r="G673" s="4" t="s">
        <v>1181</v>
      </c>
      <c r="H673" s="208">
        <v>1</v>
      </c>
      <c r="I673" s="4"/>
      <c r="J673" s="46" t="s">
        <v>1202</v>
      </c>
      <c r="K673" s="4" t="str">
        <f>_xlfn.IFNA(VLOOKUP($J673,WH_Data[],6,FALSE),"")</f>
        <v>MULTI-PARAMETERS MODULE, PHYSIOLOGICAL</v>
      </c>
      <c r="L673" s="4" t="str">
        <f>_xlfn.IFNA(VLOOKUP($J673,WH_Data[],3,FALSE),"")</f>
        <v>PHILIPS MEDICAL SYSTEMS AUSTRA</v>
      </c>
      <c r="M673" s="4" t="str">
        <f>_xlfn.IFNA(VLOOKUP($J673,WH_Data[],5,FALSE),"")</f>
        <v>IntelliVue X3</v>
      </c>
      <c r="N673" s="4" t="str">
        <f>_xlfn.IFNA(VLOOKUP($J673,WH_Data[],7,FALSE),"")</f>
        <v>DE7730A5U4</v>
      </c>
      <c r="O673" s="4" t="str">
        <f>_xlfn.IFNA(VLOOKUP($J673,WH_Data[],8,FALSE),"")</f>
        <v>ED FH</v>
      </c>
      <c r="P673" s="8">
        <v>1</v>
      </c>
      <c r="Q673" s="209">
        <f>Mon_ILR2[[#This Row],[Qty Required]]-Mon_ILR2[[#This Row],[QTY Transfer]]</f>
        <v>0</v>
      </c>
      <c r="R673" s="66" t="s">
        <v>905</v>
      </c>
      <c r="S673" s="66" t="s">
        <v>952</v>
      </c>
      <c r="T673" s="210">
        <v>1175</v>
      </c>
      <c r="U673" s="210">
        <f>_xlfn.IFNA(VLOOKUP(Mon_ILR2[[#This Row],[New Model]],PhilipsLibary[],5,FALSE),"0")</f>
        <v>0</v>
      </c>
      <c r="V673" s="210">
        <v>500</v>
      </c>
      <c r="W673" s="210">
        <v>1675</v>
      </c>
      <c r="X673" s="246" t="s">
        <v>954</v>
      </c>
      <c r="Y673" s="246" t="s">
        <v>1183</v>
      </c>
    </row>
    <row r="674" spans="2:25" ht="90" x14ac:dyDescent="0.25">
      <c r="B674" s="207" t="s">
        <v>275</v>
      </c>
      <c r="C674" s="66" t="s">
        <v>672</v>
      </c>
      <c r="D674" s="4" t="s">
        <v>674</v>
      </c>
      <c r="E674" s="4" t="s">
        <v>1027</v>
      </c>
      <c r="F674" s="4" t="s">
        <v>944</v>
      </c>
      <c r="G674" s="4" t="s">
        <v>1181</v>
      </c>
      <c r="H674" s="208">
        <v>1</v>
      </c>
      <c r="I674" s="4"/>
      <c r="J674" s="46" t="s">
        <v>1203</v>
      </c>
      <c r="K674" s="4" t="str">
        <f>_xlfn.IFNA(VLOOKUP($J674,WH_Data[],6,FALSE),"")</f>
        <v>MULTI-PARAMETERS MODULE, PHYSIOLOGICAL</v>
      </c>
      <c r="L674" s="4" t="str">
        <f>_xlfn.IFNA(VLOOKUP($J674,WH_Data[],3,FALSE),"")</f>
        <v>PHILIPS MEDICAL SYSTEMS AUSTRA</v>
      </c>
      <c r="M674" s="4" t="str">
        <f>_xlfn.IFNA(VLOOKUP($J674,WH_Data[],5,FALSE),"")</f>
        <v>IntelliVue X3</v>
      </c>
      <c r="N674" s="4" t="str">
        <f>_xlfn.IFNA(VLOOKUP($J674,WH_Data[],7,FALSE),"")</f>
        <v>DE7730A5TV</v>
      </c>
      <c r="O674" s="4" t="str">
        <f>_xlfn.IFNA(VLOOKUP($J674,WH_Data[],8,FALSE),"")</f>
        <v>ED FH</v>
      </c>
      <c r="P674" s="8">
        <v>1</v>
      </c>
      <c r="Q674" s="209">
        <f>Mon_ILR2[[#This Row],[Qty Required]]-Mon_ILR2[[#This Row],[QTY Transfer]]</f>
        <v>0</v>
      </c>
      <c r="R674" s="66" t="s">
        <v>905</v>
      </c>
      <c r="S674" s="66" t="s">
        <v>952</v>
      </c>
      <c r="T674" s="210">
        <v>1175</v>
      </c>
      <c r="U674" s="210">
        <f>_xlfn.IFNA(VLOOKUP(Mon_ILR2[[#This Row],[New Model]],PhilipsLibary[],5,FALSE),"0")</f>
        <v>0</v>
      </c>
      <c r="V674" s="210">
        <v>500</v>
      </c>
      <c r="W674" s="210">
        <v>1675</v>
      </c>
      <c r="X674" s="246" t="s">
        <v>954</v>
      </c>
      <c r="Y674" s="246" t="s">
        <v>1183</v>
      </c>
    </row>
    <row r="675" spans="2:25" ht="90" x14ac:dyDescent="0.25">
      <c r="B675" s="207" t="s">
        <v>275</v>
      </c>
      <c r="C675" s="66" t="s">
        <v>672</v>
      </c>
      <c r="D675" s="4" t="s">
        <v>675</v>
      </c>
      <c r="E675" s="4" t="s">
        <v>1027</v>
      </c>
      <c r="F675" s="4" t="s">
        <v>944</v>
      </c>
      <c r="G675" s="4" t="s">
        <v>1181</v>
      </c>
      <c r="H675" s="208">
        <v>1</v>
      </c>
      <c r="I675" s="4"/>
      <c r="J675" s="46" t="s">
        <v>1204</v>
      </c>
      <c r="K675" s="4" t="str">
        <f>_xlfn.IFNA(VLOOKUP($J675,WH_Data[],6,FALSE),"")</f>
        <v>MULTI-PARAMETERS MODULE, PHYSIOLOGICAL</v>
      </c>
      <c r="L675" s="4" t="str">
        <f>_xlfn.IFNA(VLOOKUP($J675,WH_Data[],3,FALSE),"")</f>
        <v>PHILIPS MEDICAL SYSTEMS AUSTRA</v>
      </c>
      <c r="M675" s="4" t="str">
        <f>_xlfn.IFNA(VLOOKUP($J675,WH_Data[],5,FALSE),"")</f>
        <v>IntelliVue X3</v>
      </c>
      <c r="N675" s="4" t="str">
        <f>_xlfn.IFNA(VLOOKUP($J675,WH_Data[],7,FALSE),"")</f>
        <v>DE7730A5LY</v>
      </c>
      <c r="O675" s="4" t="str">
        <f>_xlfn.IFNA(VLOOKUP($J675,WH_Data[],8,FALSE),"")</f>
        <v>ED FH</v>
      </c>
      <c r="P675" s="8">
        <v>1</v>
      </c>
      <c r="Q675" s="209">
        <f>Mon_ILR2[[#This Row],[Qty Required]]-Mon_ILR2[[#This Row],[QTY Transfer]]</f>
        <v>0</v>
      </c>
      <c r="R675" s="66" t="s">
        <v>905</v>
      </c>
      <c r="S675" s="66" t="s">
        <v>952</v>
      </c>
      <c r="T675" s="210">
        <v>1175</v>
      </c>
      <c r="U675" s="210">
        <f>_xlfn.IFNA(VLOOKUP(Mon_ILR2[[#This Row],[New Model]],PhilipsLibary[],5,FALSE),"0")</f>
        <v>0</v>
      </c>
      <c r="V675" s="210">
        <v>500</v>
      </c>
      <c r="W675" s="210">
        <v>1675</v>
      </c>
      <c r="X675" s="246" t="s">
        <v>954</v>
      </c>
      <c r="Y675" s="246" t="s">
        <v>1183</v>
      </c>
    </row>
    <row r="676" spans="2:25" ht="90" x14ac:dyDescent="0.25">
      <c r="B676" s="207" t="s">
        <v>275</v>
      </c>
      <c r="C676" s="66" t="s">
        <v>676</v>
      </c>
      <c r="D676" s="4" t="s">
        <v>677</v>
      </c>
      <c r="E676" s="4" t="s">
        <v>1027</v>
      </c>
      <c r="F676" s="4" t="s">
        <v>944</v>
      </c>
      <c r="G676" s="4" t="s">
        <v>1181</v>
      </c>
      <c r="H676" s="208">
        <v>1</v>
      </c>
      <c r="I676" s="4"/>
      <c r="J676" s="46" t="s">
        <v>1205</v>
      </c>
      <c r="K676" s="4" t="str">
        <f>_xlfn.IFNA(VLOOKUP($J676,WH_Data[],6,FALSE),"")</f>
        <v>MULTI-PARAMETERS MODULE, PHYSIOLOGICAL</v>
      </c>
      <c r="L676" s="4" t="str">
        <f>_xlfn.IFNA(VLOOKUP($J676,WH_Data[],3,FALSE),"")</f>
        <v>PHILIPS MEDICAL SYSTEMS AUSTRA</v>
      </c>
      <c r="M676" s="4" t="str">
        <f>_xlfn.IFNA(VLOOKUP($J676,WH_Data[],5,FALSE),"")</f>
        <v>IntelliVue X3</v>
      </c>
      <c r="N676" s="4" t="str">
        <f>_xlfn.IFNA(VLOOKUP($J676,WH_Data[],7,FALSE),"")</f>
        <v>DE7730A556</v>
      </c>
      <c r="O676" s="4" t="str">
        <f>_xlfn.IFNA(VLOOKUP($J676,WH_Data[],8,FALSE),"")</f>
        <v>ED FH</v>
      </c>
      <c r="P676" s="8">
        <v>1</v>
      </c>
      <c r="Q676" s="209">
        <f>Mon_ILR2[[#This Row],[Qty Required]]-Mon_ILR2[[#This Row],[QTY Transfer]]</f>
        <v>0</v>
      </c>
      <c r="R676" s="66" t="s">
        <v>905</v>
      </c>
      <c r="S676" s="66" t="s">
        <v>952</v>
      </c>
      <c r="T676" s="210">
        <v>1175</v>
      </c>
      <c r="U676" s="210">
        <f>_xlfn.IFNA(VLOOKUP(Mon_ILR2[[#This Row],[New Model]],PhilipsLibary[],5,FALSE),"0")</f>
        <v>0</v>
      </c>
      <c r="V676" s="210">
        <v>500</v>
      </c>
      <c r="W676" s="210">
        <v>1675</v>
      </c>
      <c r="X676" s="246" t="s">
        <v>954</v>
      </c>
      <c r="Y676" s="289" t="s">
        <v>2172</v>
      </c>
    </row>
    <row r="677" spans="2:25" ht="90" x14ac:dyDescent="0.25">
      <c r="B677" s="207" t="s">
        <v>275</v>
      </c>
      <c r="C677" s="66" t="s">
        <v>676</v>
      </c>
      <c r="D677" s="4" t="s">
        <v>678</v>
      </c>
      <c r="E677" s="4" t="s">
        <v>1027</v>
      </c>
      <c r="F677" s="4" t="s">
        <v>944</v>
      </c>
      <c r="G677" s="4" t="s">
        <v>1181</v>
      </c>
      <c r="H677" s="208">
        <v>1</v>
      </c>
      <c r="I677" s="4"/>
      <c r="J677" s="46" t="s">
        <v>1206</v>
      </c>
      <c r="K677" s="4" t="str">
        <f>_xlfn.IFNA(VLOOKUP($J677,WH_Data[],6,FALSE),"")</f>
        <v>MULTI-PARAMETERS MODULE, PHYSIOLOGICAL</v>
      </c>
      <c r="L677" s="4" t="str">
        <f>_xlfn.IFNA(VLOOKUP($J677,WH_Data[],3,FALSE),"")</f>
        <v>PHILIPS MEDICAL SYSTEMS AUSTRA</v>
      </c>
      <c r="M677" s="4" t="str">
        <f>_xlfn.IFNA(VLOOKUP($J677,WH_Data[],5,FALSE),"")</f>
        <v>IntelliVue X3</v>
      </c>
      <c r="N677" s="4" t="str">
        <f>_xlfn.IFNA(VLOOKUP($J677,WH_Data[],7,FALSE),"")</f>
        <v>DE7730A5MA</v>
      </c>
      <c r="O677" s="4" t="str">
        <f>_xlfn.IFNA(VLOOKUP($J677,WH_Data[],8,FALSE),"")</f>
        <v>ED FH</v>
      </c>
      <c r="P677" s="8">
        <v>1</v>
      </c>
      <c r="Q677" s="209">
        <f>Mon_ILR2[[#This Row],[Qty Required]]-Mon_ILR2[[#This Row],[QTY Transfer]]</f>
        <v>0</v>
      </c>
      <c r="R677" s="66" t="s">
        <v>905</v>
      </c>
      <c r="S677" s="66" t="s">
        <v>952</v>
      </c>
      <c r="T677" s="210">
        <v>1175</v>
      </c>
      <c r="U677" s="210">
        <f>_xlfn.IFNA(VLOOKUP(Mon_ILR2[[#This Row],[New Model]],PhilipsLibary[],5,FALSE),"0")</f>
        <v>0</v>
      </c>
      <c r="V677" s="210">
        <v>500</v>
      </c>
      <c r="W677" s="210">
        <v>1675</v>
      </c>
      <c r="X677" s="246" t="s">
        <v>954</v>
      </c>
      <c r="Y677" s="289" t="s">
        <v>2172</v>
      </c>
    </row>
    <row r="678" spans="2:25" ht="90" x14ac:dyDescent="0.25">
      <c r="B678" s="207" t="s">
        <v>275</v>
      </c>
      <c r="C678" s="66" t="s">
        <v>672</v>
      </c>
      <c r="D678" s="4" t="s">
        <v>679</v>
      </c>
      <c r="E678" s="4" t="s">
        <v>1027</v>
      </c>
      <c r="F678" s="4" t="s">
        <v>944</v>
      </c>
      <c r="G678" s="4" t="s">
        <v>1181</v>
      </c>
      <c r="H678" s="208">
        <v>1</v>
      </c>
      <c r="I678" s="4"/>
      <c r="J678" s="46" t="s">
        <v>1207</v>
      </c>
      <c r="K678" s="4" t="str">
        <f>_xlfn.IFNA(VLOOKUP($J678,WH_Data[],6,FALSE),"")</f>
        <v>MULTI-PARAMETERS MODULE, PHYSIOLOGICAL</v>
      </c>
      <c r="L678" s="4" t="str">
        <f>_xlfn.IFNA(VLOOKUP($J678,WH_Data[],3,FALSE),"")</f>
        <v>PHILIPS MEDICAL SYSTEMS AUSTRA</v>
      </c>
      <c r="M678" s="4" t="str">
        <f>_xlfn.IFNA(VLOOKUP($J678,WH_Data[],5,FALSE),"")</f>
        <v>IntelliVue X3</v>
      </c>
      <c r="N678" s="4" t="str">
        <f>_xlfn.IFNA(VLOOKUP($J678,WH_Data[],7,FALSE),"")</f>
        <v>DE7730A58Y</v>
      </c>
      <c r="O678" s="4" t="str">
        <f>_xlfn.IFNA(VLOOKUP($J678,WH_Data[],8,FALSE),"")</f>
        <v>ED FH</v>
      </c>
      <c r="P678" s="8">
        <v>1</v>
      </c>
      <c r="Q678" s="209">
        <f>Mon_ILR2[[#This Row],[Qty Required]]-Mon_ILR2[[#This Row],[QTY Transfer]]</f>
        <v>0</v>
      </c>
      <c r="R678" s="66" t="s">
        <v>905</v>
      </c>
      <c r="S678" s="66" t="s">
        <v>952</v>
      </c>
      <c r="T678" s="210">
        <v>1175</v>
      </c>
      <c r="U678" s="210">
        <f>_xlfn.IFNA(VLOOKUP(Mon_ILR2[[#This Row],[New Model]],PhilipsLibary[],5,FALSE),"0")</f>
        <v>0</v>
      </c>
      <c r="V678" s="210">
        <v>500</v>
      </c>
      <c r="W678" s="210">
        <v>1675</v>
      </c>
      <c r="X678" s="246" t="s">
        <v>954</v>
      </c>
      <c r="Y678" s="246" t="s">
        <v>1183</v>
      </c>
    </row>
    <row r="679" spans="2:25" ht="90" x14ac:dyDescent="0.25">
      <c r="B679" s="207" t="s">
        <v>275</v>
      </c>
      <c r="C679" s="66" t="s">
        <v>672</v>
      </c>
      <c r="D679" s="4" t="s">
        <v>680</v>
      </c>
      <c r="E679" s="4" t="s">
        <v>1027</v>
      </c>
      <c r="F679" s="4" t="s">
        <v>944</v>
      </c>
      <c r="G679" s="4" t="s">
        <v>1181</v>
      </c>
      <c r="H679" s="208">
        <v>1</v>
      </c>
      <c r="I679" s="4"/>
      <c r="J679" s="46" t="s">
        <v>1208</v>
      </c>
      <c r="K679" s="4" t="str">
        <f>_xlfn.IFNA(VLOOKUP($J679,WH_Data[],6,FALSE),"")</f>
        <v>MULTI-PARAMETERS MODULE, PHYSIOLOGICAL</v>
      </c>
      <c r="L679" s="4" t="str">
        <f>_xlfn.IFNA(VLOOKUP($J679,WH_Data[],3,FALSE),"")</f>
        <v>PHILIPS MEDICAL SYSTEMS AUSTRA</v>
      </c>
      <c r="M679" s="4" t="str">
        <f>_xlfn.IFNA(VLOOKUP($J679,WH_Data[],5,FALSE),"")</f>
        <v>IntelliVue X3</v>
      </c>
      <c r="N679" s="4" t="str">
        <f>_xlfn.IFNA(VLOOKUP($J679,WH_Data[],7,FALSE),"")</f>
        <v>DE7730A5LZ</v>
      </c>
      <c r="O679" s="4" t="str">
        <f>_xlfn.IFNA(VLOOKUP($J679,WH_Data[],8,FALSE),"")</f>
        <v>ED FH</v>
      </c>
      <c r="P679" s="8">
        <v>1</v>
      </c>
      <c r="Q679" s="209">
        <f>Mon_ILR2[[#This Row],[Qty Required]]-Mon_ILR2[[#This Row],[QTY Transfer]]</f>
        <v>0</v>
      </c>
      <c r="R679" s="66" t="s">
        <v>905</v>
      </c>
      <c r="S679" s="66" t="s">
        <v>952</v>
      </c>
      <c r="T679" s="210">
        <v>1175</v>
      </c>
      <c r="U679" s="210">
        <f>_xlfn.IFNA(VLOOKUP(Mon_ILR2[[#This Row],[New Model]],PhilipsLibary[],5,FALSE),"0")</f>
        <v>0</v>
      </c>
      <c r="V679" s="210">
        <v>500</v>
      </c>
      <c r="W679" s="210">
        <v>1675</v>
      </c>
      <c r="X679" s="246" t="s">
        <v>954</v>
      </c>
      <c r="Y679" s="246" t="s">
        <v>1183</v>
      </c>
    </row>
    <row r="680" spans="2:25" ht="90" x14ac:dyDescent="0.25">
      <c r="B680" s="207" t="s">
        <v>275</v>
      </c>
      <c r="C680" s="66" t="s">
        <v>670</v>
      </c>
      <c r="D680" s="4" t="s">
        <v>686</v>
      </c>
      <c r="E680" s="4" t="s">
        <v>1027</v>
      </c>
      <c r="F680" s="4" t="s">
        <v>944</v>
      </c>
      <c r="G680" s="4" t="s">
        <v>1181</v>
      </c>
      <c r="H680" s="208">
        <v>1</v>
      </c>
      <c r="I680" s="4"/>
      <c r="J680" s="46" t="s">
        <v>1209</v>
      </c>
      <c r="K680" s="4" t="str">
        <f>_xlfn.IFNA(VLOOKUP($J680,WH_Data[],6,FALSE),"")</f>
        <v>MULTI-PARAMETERS MODULE, PHYSIOLOGICAL</v>
      </c>
      <c r="L680" s="4" t="str">
        <f>_xlfn.IFNA(VLOOKUP($J680,WH_Data[],3,FALSE),"")</f>
        <v>PHILIPS MEDICAL SYSTEMS AUSTRA</v>
      </c>
      <c r="M680" s="4" t="str">
        <f>_xlfn.IFNA(VLOOKUP($J680,WH_Data[],5,FALSE),"")</f>
        <v>IntelliVue X3</v>
      </c>
      <c r="N680" s="4" t="str">
        <f>_xlfn.IFNA(VLOOKUP($J680,WH_Data[],7,FALSE),"")</f>
        <v>DE7730A58T</v>
      </c>
      <c r="O680" s="4" t="str">
        <f>_xlfn.IFNA(VLOOKUP($J680,WH_Data[],8,FALSE),"")</f>
        <v>ED FH</v>
      </c>
      <c r="P680" s="8">
        <v>1</v>
      </c>
      <c r="Q680" s="209">
        <f>Mon_ILR2[[#This Row],[Qty Required]]-Mon_ILR2[[#This Row],[QTY Transfer]]</f>
        <v>0</v>
      </c>
      <c r="R680" s="66" t="s">
        <v>905</v>
      </c>
      <c r="S680" s="66" t="s">
        <v>952</v>
      </c>
      <c r="T680" s="210">
        <v>1175</v>
      </c>
      <c r="U680" s="210">
        <f>_xlfn.IFNA(VLOOKUP(Mon_ILR2[[#This Row],[New Model]],PhilipsLibary[],5,FALSE),"0")</f>
        <v>0</v>
      </c>
      <c r="V680" s="210">
        <v>500</v>
      </c>
      <c r="W680" s="210">
        <v>1675</v>
      </c>
      <c r="X680" s="246" t="s">
        <v>954</v>
      </c>
      <c r="Y680" s="246" t="s">
        <v>1183</v>
      </c>
    </row>
    <row r="681" spans="2:25" ht="90" x14ac:dyDescent="0.25">
      <c r="B681" s="207" t="s">
        <v>275</v>
      </c>
      <c r="C681" s="66" t="s">
        <v>672</v>
      </c>
      <c r="D681" s="4" t="s">
        <v>687</v>
      </c>
      <c r="E681" s="4" t="s">
        <v>1027</v>
      </c>
      <c r="F681" s="4" t="s">
        <v>944</v>
      </c>
      <c r="G681" s="4" t="s">
        <v>1181</v>
      </c>
      <c r="H681" s="208">
        <v>1</v>
      </c>
      <c r="I681" s="4"/>
      <c r="J681" s="46" t="s">
        <v>1210</v>
      </c>
      <c r="K681" s="4" t="str">
        <f>_xlfn.IFNA(VLOOKUP($J681,WH_Data[],6,FALSE),"")</f>
        <v>MULTI-PARAMETERS MODULE, PHYSIOLOGICAL</v>
      </c>
      <c r="L681" s="4" t="str">
        <f>_xlfn.IFNA(VLOOKUP($J681,WH_Data[],3,FALSE),"")</f>
        <v>PHILIPS MEDICAL SYSTEMS AUSTRA</v>
      </c>
      <c r="M681" s="4" t="str">
        <f>_xlfn.IFNA(VLOOKUP($J681,WH_Data[],5,FALSE),"")</f>
        <v>IntelliVue X3</v>
      </c>
      <c r="N681" s="4" t="str">
        <f>_xlfn.IFNA(VLOOKUP($J681,WH_Data[],7,FALSE),"")</f>
        <v>DE7730A58B</v>
      </c>
      <c r="O681" s="4" t="str">
        <f>_xlfn.IFNA(VLOOKUP($J681,WH_Data[],8,FALSE),"")</f>
        <v>ED FH</v>
      </c>
      <c r="P681" s="8">
        <v>1</v>
      </c>
      <c r="Q681" s="209">
        <f>Mon_ILR2[[#This Row],[Qty Required]]-Mon_ILR2[[#This Row],[QTY Transfer]]</f>
        <v>0</v>
      </c>
      <c r="R681" s="66" t="s">
        <v>905</v>
      </c>
      <c r="S681" s="66" t="s">
        <v>952</v>
      </c>
      <c r="T681" s="210">
        <v>1175</v>
      </c>
      <c r="U681" s="210">
        <f>_xlfn.IFNA(VLOOKUP(Mon_ILR2[[#This Row],[New Model]],PhilipsLibary[],5,FALSE),"0")</f>
        <v>0</v>
      </c>
      <c r="V681" s="210">
        <v>500</v>
      </c>
      <c r="W681" s="210">
        <v>1675</v>
      </c>
      <c r="X681" s="246" t="s">
        <v>954</v>
      </c>
      <c r="Y681" s="246" t="s">
        <v>1183</v>
      </c>
    </row>
    <row r="682" spans="2:25" ht="90" x14ac:dyDescent="0.25">
      <c r="B682" s="207" t="s">
        <v>275</v>
      </c>
      <c r="C682" s="66" t="s">
        <v>36</v>
      </c>
      <c r="D682" s="4" t="s">
        <v>690</v>
      </c>
      <c r="E682" s="4" t="s">
        <v>1027</v>
      </c>
      <c r="F682" s="4" t="s">
        <v>944</v>
      </c>
      <c r="G682" s="4" t="s">
        <v>1181</v>
      </c>
      <c r="H682" s="208">
        <v>1</v>
      </c>
      <c r="I682" s="4"/>
      <c r="J682" s="46" t="s">
        <v>1211</v>
      </c>
      <c r="K682" s="4" t="str">
        <f>_xlfn.IFNA(VLOOKUP($J682,WH_Data[],6,FALSE),"")</f>
        <v>MULTI-PARAMETERS MODULE, PHYSIOLOGICAL</v>
      </c>
      <c r="L682" s="4" t="str">
        <f>_xlfn.IFNA(VLOOKUP($J682,WH_Data[],3,FALSE),"")</f>
        <v>PHILIPS MEDICAL SYSTEMS AUSTRA</v>
      </c>
      <c r="M682" s="4" t="str">
        <f>_xlfn.IFNA(VLOOKUP($J682,WH_Data[],5,FALSE),"")</f>
        <v>IntelliVue X3</v>
      </c>
      <c r="N682" s="4" t="str">
        <f>_xlfn.IFNA(VLOOKUP($J682,WH_Data[],7,FALSE),"")</f>
        <v>DE7730A5LW</v>
      </c>
      <c r="O682" s="4" t="str">
        <f>_xlfn.IFNA(VLOOKUP($J682,WH_Data[],8,FALSE),"")</f>
        <v>ED FH</v>
      </c>
      <c r="P682" s="8">
        <v>1</v>
      </c>
      <c r="Q682" s="209">
        <f>Mon_ILR2[[#This Row],[Qty Required]]-Mon_ILR2[[#This Row],[QTY Transfer]]</f>
        <v>0</v>
      </c>
      <c r="R682" s="66" t="s">
        <v>905</v>
      </c>
      <c r="S682" s="66" t="s">
        <v>952</v>
      </c>
      <c r="T682" s="210">
        <v>1175</v>
      </c>
      <c r="U682" s="210">
        <f>_xlfn.IFNA(VLOOKUP(Mon_ILR2[[#This Row],[New Model]],PhilipsLibary[],5,FALSE),"0")</f>
        <v>0</v>
      </c>
      <c r="V682" s="210">
        <v>500</v>
      </c>
      <c r="W682" s="210">
        <v>1675</v>
      </c>
      <c r="X682" s="246" t="s">
        <v>954</v>
      </c>
      <c r="Y682" s="246" t="s">
        <v>1183</v>
      </c>
    </row>
    <row r="683" spans="2:25" ht="90" x14ac:dyDescent="0.25">
      <c r="B683" s="207" t="s">
        <v>275</v>
      </c>
      <c r="C683" s="66" t="s">
        <v>36</v>
      </c>
      <c r="D683" s="4" t="s">
        <v>691</v>
      </c>
      <c r="E683" s="4" t="s">
        <v>1027</v>
      </c>
      <c r="F683" s="4" t="s">
        <v>944</v>
      </c>
      <c r="G683" s="4" t="s">
        <v>1181</v>
      </c>
      <c r="H683" s="208">
        <v>1</v>
      </c>
      <c r="I683" s="4"/>
      <c r="J683" s="46" t="s">
        <v>1212</v>
      </c>
      <c r="K683" s="4" t="str">
        <f>_xlfn.IFNA(VLOOKUP($J683,WH_Data[],6,FALSE),"")</f>
        <v>MULTI-PARAMETERS MODULE, PHYSIOLOGICAL</v>
      </c>
      <c r="L683" s="4" t="str">
        <f>_xlfn.IFNA(VLOOKUP($J683,WH_Data[],3,FALSE),"")</f>
        <v>PHILIPS MEDICAL SYSTEMS AUSTRA</v>
      </c>
      <c r="M683" s="4" t="str">
        <f>_xlfn.IFNA(VLOOKUP($J683,WH_Data[],5,FALSE),"")</f>
        <v>IntelliVue X3</v>
      </c>
      <c r="N683" s="4" t="str">
        <f>_xlfn.IFNA(VLOOKUP($J683,WH_Data[],7,FALSE),"")</f>
        <v>DE7730A5FY</v>
      </c>
      <c r="O683" s="4" t="str">
        <f>_xlfn.IFNA(VLOOKUP($J683,WH_Data[],8,FALSE),"")</f>
        <v>ED FH</v>
      </c>
      <c r="P683" s="8">
        <v>1</v>
      </c>
      <c r="Q683" s="209">
        <f>Mon_ILR2[[#This Row],[Qty Required]]-Mon_ILR2[[#This Row],[QTY Transfer]]</f>
        <v>0</v>
      </c>
      <c r="R683" s="66" t="s">
        <v>905</v>
      </c>
      <c r="S683" s="66" t="s">
        <v>952</v>
      </c>
      <c r="T683" s="210">
        <v>1175</v>
      </c>
      <c r="U683" s="210">
        <f>_xlfn.IFNA(VLOOKUP(Mon_ILR2[[#This Row],[New Model]],PhilipsLibary[],5,FALSE),"0")</f>
        <v>0</v>
      </c>
      <c r="V683" s="210">
        <v>500</v>
      </c>
      <c r="W683" s="210">
        <v>1675</v>
      </c>
      <c r="X683" s="246" t="s">
        <v>954</v>
      </c>
      <c r="Y683" s="246" t="s">
        <v>1183</v>
      </c>
    </row>
    <row r="684" spans="2:25" ht="90" x14ac:dyDescent="0.25">
      <c r="B684" s="207" t="s">
        <v>275</v>
      </c>
      <c r="C684" s="66" t="s">
        <v>382</v>
      </c>
      <c r="D684" s="4" t="s">
        <v>692</v>
      </c>
      <c r="E684" s="4" t="s">
        <v>1027</v>
      </c>
      <c r="F684" s="4" t="s">
        <v>944</v>
      </c>
      <c r="G684" s="4" t="s">
        <v>1181</v>
      </c>
      <c r="H684" s="208">
        <v>1</v>
      </c>
      <c r="I684" s="4"/>
      <c r="J684" s="46" t="s">
        <v>1213</v>
      </c>
      <c r="K684" s="4" t="str">
        <f>_xlfn.IFNA(VLOOKUP($J684,WH_Data[],6,FALSE),"")</f>
        <v>MULTI-PARAMETERS MODULE, PHYSIOLOGICAL</v>
      </c>
      <c r="L684" s="4" t="str">
        <f>_xlfn.IFNA(VLOOKUP($J684,WH_Data[],3,FALSE),"")</f>
        <v>PHILIPS MEDICAL SYSTEMS AUSTRA</v>
      </c>
      <c r="M684" s="4" t="str">
        <f>_xlfn.IFNA(VLOOKUP($J684,WH_Data[],5,FALSE),"")</f>
        <v>IntelliVue X3</v>
      </c>
      <c r="N684" s="4" t="str">
        <f>_xlfn.IFNA(VLOOKUP($J684,WH_Data[],7,FALSE),"")</f>
        <v>DE7730A58C</v>
      </c>
      <c r="O684" s="4" t="str">
        <f>_xlfn.IFNA(VLOOKUP($J684,WH_Data[],8,FALSE),"")</f>
        <v>ED FH</v>
      </c>
      <c r="P684" s="8">
        <v>1</v>
      </c>
      <c r="Q684" s="209">
        <f>Mon_ILR2[[#This Row],[Qty Required]]-Mon_ILR2[[#This Row],[QTY Transfer]]</f>
        <v>0</v>
      </c>
      <c r="R684" s="66" t="s">
        <v>905</v>
      </c>
      <c r="S684" s="66" t="s">
        <v>952</v>
      </c>
      <c r="T684" s="210">
        <v>1175</v>
      </c>
      <c r="U684" s="210">
        <f>_xlfn.IFNA(VLOOKUP(Mon_ILR2[[#This Row],[New Model]],PhilipsLibary[],5,FALSE),"0")</f>
        <v>0</v>
      </c>
      <c r="V684" s="210">
        <v>500</v>
      </c>
      <c r="W684" s="210">
        <v>1675</v>
      </c>
      <c r="X684" s="246" t="s">
        <v>954</v>
      </c>
      <c r="Y684" s="246" t="s">
        <v>1183</v>
      </c>
    </row>
    <row r="685" spans="2:25" ht="90" x14ac:dyDescent="0.25">
      <c r="B685" s="207" t="s">
        <v>275</v>
      </c>
      <c r="C685" s="66" t="s">
        <v>693</v>
      </c>
      <c r="D685" s="4" t="s">
        <v>694</v>
      </c>
      <c r="E685" s="4" t="s">
        <v>1027</v>
      </c>
      <c r="F685" s="4" t="s">
        <v>944</v>
      </c>
      <c r="G685" s="4" t="s">
        <v>1181</v>
      </c>
      <c r="H685" s="208">
        <v>1</v>
      </c>
      <c r="I685" s="4"/>
      <c r="J685" s="46" t="s">
        <v>1214</v>
      </c>
      <c r="K685" s="4" t="str">
        <f>_xlfn.IFNA(VLOOKUP($J685,WH_Data[],6,FALSE),"")</f>
        <v>MULTI-PARAMETERS MODULE, PHYSIOLOGICAL</v>
      </c>
      <c r="L685" s="4" t="str">
        <f>_xlfn.IFNA(VLOOKUP($J685,WH_Data[],3,FALSE),"")</f>
        <v>PHILIPS MEDICAL SYSTEMS AUSTRA</v>
      </c>
      <c r="M685" s="4" t="str">
        <f>_xlfn.IFNA(VLOOKUP($J685,WH_Data[],5,FALSE),"")</f>
        <v>IntelliVue X3</v>
      </c>
      <c r="N685" s="4" t="str">
        <f>_xlfn.IFNA(VLOOKUP($J685,WH_Data[],7,FALSE),"")</f>
        <v>DE7730A5FU</v>
      </c>
      <c r="O685" s="4" t="str">
        <f>_xlfn.IFNA(VLOOKUP($J685,WH_Data[],8,FALSE),"")</f>
        <v>ED FH</v>
      </c>
      <c r="P685" s="8">
        <v>1</v>
      </c>
      <c r="Q685" s="209">
        <f>Mon_ILR2[[#This Row],[Qty Required]]-Mon_ILR2[[#This Row],[QTY Transfer]]</f>
        <v>0</v>
      </c>
      <c r="R685" s="66" t="s">
        <v>905</v>
      </c>
      <c r="S685" s="66" t="s">
        <v>952</v>
      </c>
      <c r="T685" s="210">
        <v>1175</v>
      </c>
      <c r="U685" s="210">
        <f>_xlfn.IFNA(VLOOKUP(Mon_ILR2[[#This Row],[New Model]],PhilipsLibary[],5,FALSE),"0")</f>
        <v>0</v>
      </c>
      <c r="V685" s="210">
        <v>500</v>
      </c>
      <c r="W685" s="210">
        <v>1675</v>
      </c>
      <c r="X685" s="246" t="s">
        <v>954</v>
      </c>
      <c r="Y685" s="246" t="s">
        <v>1183</v>
      </c>
    </row>
    <row r="686" spans="2:25" ht="90" x14ac:dyDescent="0.25">
      <c r="B686" s="207" t="s">
        <v>275</v>
      </c>
      <c r="C686" s="66" t="s">
        <v>693</v>
      </c>
      <c r="D686" s="4" t="s">
        <v>695</v>
      </c>
      <c r="E686" s="4" t="s">
        <v>1027</v>
      </c>
      <c r="F686" s="4" t="s">
        <v>944</v>
      </c>
      <c r="G686" s="4" t="s">
        <v>1181</v>
      </c>
      <c r="H686" s="208">
        <v>1</v>
      </c>
      <c r="I686" s="4"/>
      <c r="J686" s="46" t="s">
        <v>1215</v>
      </c>
      <c r="K686" s="4" t="str">
        <f>_xlfn.IFNA(VLOOKUP($J686,WH_Data[],6,FALSE),"")</f>
        <v>MULTI-PARAMETERS MODULE, PHYSIOLOGICAL</v>
      </c>
      <c r="L686" s="4" t="str">
        <f>_xlfn.IFNA(VLOOKUP($J686,WH_Data[],3,FALSE),"")</f>
        <v>PHILIPS MEDICAL SYSTEMS AUSTRA</v>
      </c>
      <c r="M686" s="4" t="str">
        <f>_xlfn.IFNA(VLOOKUP($J686,WH_Data[],5,FALSE),"")</f>
        <v>IntelliVue X3</v>
      </c>
      <c r="N686" s="4" t="str">
        <f>_xlfn.IFNA(VLOOKUP($J686,WH_Data[],7,FALSE),"")</f>
        <v>DE7730A561</v>
      </c>
      <c r="O686" s="4" t="str">
        <f>_xlfn.IFNA(VLOOKUP($J686,WH_Data[],8,FALSE),"")</f>
        <v>ED FH</v>
      </c>
      <c r="P686" s="8">
        <v>1</v>
      </c>
      <c r="Q686" s="209">
        <f>Mon_ILR2[[#This Row],[Qty Required]]-Mon_ILR2[[#This Row],[QTY Transfer]]</f>
        <v>0</v>
      </c>
      <c r="R686" s="66" t="s">
        <v>905</v>
      </c>
      <c r="S686" s="66" t="s">
        <v>952</v>
      </c>
      <c r="T686" s="210">
        <v>1175</v>
      </c>
      <c r="U686" s="210">
        <f>_xlfn.IFNA(VLOOKUP(Mon_ILR2[[#This Row],[New Model]],PhilipsLibary[],5,FALSE),"0")</f>
        <v>0</v>
      </c>
      <c r="V686" s="210">
        <v>500</v>
      </c>
      <c r="W686" s="210">
        <v>1675</v>
      </c>
      <c r="X686" s="246" t="s">
        <v>954</v>
      </c>
      <c r="Y686" s="246" t="s">
        <v>1183</v>
      </c>
    </row>
    <row r="687" spans="2:25" ht="90" x14ac:dyDescent="0.25">
      <c r="B687" s="207" t="s">
        <v>275</v>
      </c>
      <c r="C687" s="66" t="s">
        <v>693</v>
      </c>
      <c r="D687" s="4" t="s">
        <v>696</v>
      </c>
      <c r="E687" s="4" t="s">
        <v>1027</v>
      </c>
      <c r="F687" s="4" t="s">
        <v>944</v>
      </c>
      <c r="G687" s="4" t="s">
        <v>1181</v>
      </c>
      <c r="H687" s="208">
        <v>1</v>
      </c>
      <c r="I687" s="4"/>
      <c r="J687" s="46" t="s">
        <v>1216</v>
      </c>
      <c r="K687" s="4" t="str">
        <f>_xlfn.IFNA(VLOOKUP($J687,WH_Data[],6,FALSE),"")</f>
        <v>MULTI-PARAMETERS MODULE, PHYSIOLOGICAL</v>
      </c>
      <c r="L687" s="4" t="str">
        <f>_xlfn.IFNA(VLOOKUP($J687,WH_Data[],3,FALSE),"")</f>
        <v>PHILIPS MEDICAL SYSTEMS AUSTRA</v>
      </c>
      <c r="M687" s="4" t="str">
        <f>_xlfn.IFNA(VLOOKUP($J687,WH_Data[],5,FALSE),"")</f>
        <v>IntelliVue X3</v>
      </c>
      <c r="N687" s="4" t="str">
        <f>_xlfn.IFNA(VLOOKUP($J687,WH_Data[],7,FALSE),"")</f>
        <v>DE7730A54Z</v>
      </c>
      <c r="O687" s="4" t="str">
        <f>_xlfn.IFNA(VLOOKUP($J687,WH_Data[],8,FALSE),"")</f>
        <v>ED FH</v>
      </c>
      <c r="P687" s="8">
        <v>1</v>
      </c>
      <c r="Q687" s="209">
        <f>Mon_ILR2[[#This Row],[Qty Required]]-Mon_ILR2[[#This Row],[QTY Transfer]]</f>
        <v>0</v>
      </c>
      <c r="R687" s="66" t="s">
        <v>905</v>
      </c>
      <c r="S687" s="66" t="s">
        <v>952</v>
      </c>
      <c r="T687" s="210">
        <v>1175</v>
      </c>
      <c r="U687" s="210">
        <f>_xlfn.IFNA(VLOOKUP(Mon_ILR2[[#This Row],[New Model]],PhilipsLibary[],5,FALSE),"0")</f>
        <v>0</v>
      </c>
      <c r="V687" s="210">
        <v>500</v>
      </c>
      <c r="W687" s="210">
        <v>1675</v>
      </c>
      <c r="X687" s="246" t="s">
        <v>954</v>
      </c>
      <c r="Y687" s="246" t="s">
        <v>1183</v>
      </c>
    </row>
    <row r="688" spans="2:25" ht="90" x14ac:dyDescent="0.25">
      <c r="B688" s="207" t="s">
        <v>275</v>
      </c>
      <c r="C688" s="66" t="s">
        <v>693</v>
      </c>
      <c r="D688" s="4" t="s">
        <v>697</v>
      </c>
      <c r="E688" s="4" t="s">
        <v>1027</v>
      </c>
      <c r="F688" s="4" t="s">
        <v>944</v>
      </c>
      <c r="G688" s="4" t="s">
        <v>1181</v>
      </c>
      <c r="H688" s="208">
        <v>1</v>
      </c>
      <c r="I688" s="4"/>
      <c r="J688" s="46" t="s">
        <v>1217</v>
      </c>
      <c r="K688" s="4" t="str">
        <f>_xlfn.IFNA(VLOOKUP($J688,WH_Data[],6,FALSE),"")</f>
        <v>MULTI-PARAMETERS MODULE, PHYSIOLOGICAL</v>
      </c>
      <c r="L688" s="4" t="str">
        <f>_xlfn.IFNA(VLOOKUP($J688,WH_Data[],3,FALSE),"")</f>
        <v>PHILIPS MEDICAL SYSTEMS AUSTRA</v>
      </c>
      <c r="M688" s="4" t="str">
        <f>_xlfn.IFNA(VLOOKUP($J688,WH_Data[],5,FALSE),"")</f>
        <v>IntelliVue X3</v>
      </c>
      <c r="N688" s="4" t="str">
        <f>_xlfn.IFNA(VLOOKUP($J688,WH_Data[],7,FALSE),"")</f>
        <v>DE61146284</v>
      </c>
      <c r="O688" s="4" t="str">
        <f>_xlfn.IFNA(VLOOKUP($J688,WH_Data[],8,FALSE),"")</f>
        <v>Cath Lab FH</v>
      </c>
      <c r="P688" s="8">
        <v>1</v>
      </c>
      <c r="Q688" s="209">
        <f>Mon_ILR2[[#This Row],[Qty Required]]-Mon_ILR2[[#This Row],[QTY Transfer]]</f>
        <v>0</v>
      </c>
      <c r="R688" s="66" t="s">
        <v>905</v>
      </c>
      <c r="S688" s="66" t="s">
        <v>952</v>
      </c>
      <c r="T688" s="210">
        <v>1175</v>
      </c>
      <c r="U688" s="210">
        <f>_xlfn.IFNA(VLOOKUP(Mon_ILR2[[#This Row],[New Model]],PhilipsLibary[],5,FALSE),"0")</f>
        <v>0</v>
      </c>
      <c r="V688" s="210">
        <v>500</v>
      </c>
      <c r="W688" s="210">
        <v>1675</v>
      </c>
      <c r="X688" s="246" t="s">
        <v>954</v>
      </c>
      <c r="Y688" s="246" t="s">
        <v>1183</v>
      </c>
    </row>
    <row r="689" spans="2:25" ht="90" x14ac:dyDescent="0.25">
      <c r="B689" s="207" t="s">
        <v>275</v>
      </c>
      <c r="C689" s="66" t="s">
        <v>693</v>
      </c>
      <c r="D689" s="4" t="s">
        <v>698</v>
      </c>
      <c r="E689" s="4" t="s">
        <v>1027</v>
      </c>
      <c r="F689" s="4" t="s">
        <v>944</v>
      </c>
      <c r="G689" s="4" t="s">
        <v>1181</v>
      </c>
      <c r="H689" s="208">
        <v>1</v>
      </c>
      <c r="I689" s="4"/>
      <c r="J689" s="46" t="s">
        <v>1218</v>
      </c>
      <c r="K689" s="4" t="str">
        <f>_xlfn.IFNA(VLOOKUP($J689,WH_Data[],6,FALSE),"")</f>
        <v>MULTI-PARAMETERS MODULE, PHYSIOLOGICAL</v>
      </c>
      <c r="L689" s="4" t="str">
        <f>_xlfn.IFNA(VLOOKUP($J689,WH_Data[],3,FALSE),"")</f>
        <v>PHILIPS MEDICAL SYSTEMS AUSTRA</v>
      </c>
      <c r="M689" s="4" t="str">
        <f>_xlfn.IFNA(VLOOKUP($J689,WH_Data[],5,FALSE),"")</f>
        <v>IntelliVue X3</v>
      </c>
      <c r="N689" s="4" t="str">
        <f>_xlfn.IFNA(VLOOKUP($J689,WH_Data[],7,FALSE),"")</f>
        <v>DE61146373</v>
      </c>
      <c r="O689" s="4" t="str">
        <f>_xlfn.IFNA(VLOOKUP($J689,WH_Data[],8,FALSE),"")</f>
        <v>Cath Lab FH</v>
      </c>
      <c r="P689" s="8">
        <v>1</v>
      </c>
      <c r="Q689" s="209">
        <f>Mon_ILR2[[#This Row],[Qty Required]]-Mon_ILR2[[#This Row],[QTY Transfer]]</f>
        <v>0</v>
      </c>
      <c r="R689" s="66" t="s">
        <v>905</v>
      </c>
      <c r="S689" s="66" t="s">
        <v>952</v>
      </c>
      <c r="T689" s="210">
        <v>1175</v>
      </c>
      <c r="U689" s="210">
        <f>_xlfn.IFNA(VLOOKUP(Mon_ILR2[[#This Row],[New Model]],PhilipsLibary[],5,FALSE),"0")</f>
        <v>0</v>
      </c>
      <c r="V689" s="210">
        <v>500</v>
      </c>
      <c r="W689" s="210">
        <v>1675</v>
      </c>
      <c r="X689" s="246" t="s">
        <v>954</v>
      </c>
      <c r="Y689" s="246" t="s">
        <v>1183</v>
      </c>
    </row>
    <row r="690" spans="2:25" ht="90" x14ac:dyDescent="0.25">
      <c r="B690" s="207" t="s">
        <v>275</v>
      </c>
      <c r="C690" s="66" t="s">
        <v>693</v>
      </c>
      <c r="D690" s="4" t="s">
        <v>699</v>
      </c>
      <c r="E690" s="4" t="s">
        <v>1027</v>
      </c>
      <c r="F690" s="4" t="s">
        <v>944</v>
      </c>
      <c r="G690" s="4" t="s">
        <v>1181</v>
      </c>
      <c r="H690" s="208">
        <v>1</v>
      </c>
      <c r="I690" s="4"/>
      <c r="J690" s="46" t="s">
        <v>1219</v>
      </c>
      <c r="K690" s="4" t="str">
        <f>_xlfn.IFNA(VLOOKUP($J690,WH_Data[],6,FALSE),"")</f>
        <v>MULTI-PARAMETERS MODULE, PHYSIOLOGICAL</v>
      </c>
      <c r="L690" s="4" t="str">
        <f>_xlfn.IFNA(VLOOKUP($J690,WH_Data[],3,FALSE),"")</f>
        <v>PHILIPS MEDICAL SYSTEMS AUSTRA</v>
      </c>
      <c r="M690" s="4" t="str">
        <f>_xlfn.IFNA(VLOOKUP($J690,WH_Data[],5,FALSE),"")</f>
        <v>IntelliVue X3</v>
      </c>
      <c r="N690" s="4" t="str">
        <f>_xlfn.IFNA(VLOOKUP($J690,WH_Data[],7,FALSE),"")</f>
        <v>DE694H5731</v>
      </c>
      <c r="O690" s="4" t="str">
        <f>_xlfn.IFNA(VLOOKUP($J690,WH_Data[],8,FALSE),"")</f>
        <v>ICU FH</v>
      </c>
      <c r="P690" s="8">
        <v>1</v>
      </c>
      <c r="Q690" s="209">
        <f>Mon_ILR2[[#This Row],[Qty Required]]-Mon_ILR2[[#This Row],[QTY Transfer]]</f>
        <v>0</v>
      </c>
      <c r="R690" s="66" t="s">
        <v>905</v>
      </c>
      <c r="S690" s="66" t="s">
        <v>952</v>
      </c>
      <c r="T690" s="210">
        <v>1175</v>
      </c>
      <c r="U690" s="210">
        <f>_xlfn.IFNA(VLOOKUP(Mon_ILR2[[#This Row],[New Model]],PhilipsLibary[],5,FALSE),"0")</f>
        <v>0</v>
      </c>
      <c r="V690" s="210">
        <v>500</v>
      </c>
      <c r="W690" s="210">
        <v>1675</v>
      </c>
      <c r="X690" s="246" t="s">
        <v>954</v>
      </c>
      <c r="Y690" s="246" t="s">
        <v>1183</v>
      </c>
    </row>
    <row r="691" spans="2:25" ht="90" x14ac:dyDescent="0.25">
      <c r="B691" s="207" t="s">
        <v>275</v>
      </c>
      <c r="C691" s="66" t="s">
        <v>700</v>
      </c>
      <c r="D691" s="4" t="s">
        <v>701</v>
      </c>
      <c r="E691" s="4" t="s">
        <v>1027</v>
      </c>
      <c r="F691" s="4" t="s">
        <v>944</v>
      </c>
      <c r="G691" s="4" t="s">
        <v>1181</v>
      </c>
      <c r="H691" s="208">
        <v>1</v>
      </c>
      <c r="I691" s="4"/>
      <c r="J691" s="46" t="s">
        <v>1220</v>
      </c>
      <c r="K691" s="4" t="str">
        <f>_xlfn.IFNA(VLOOKUP($J691,WH_Data[],6,FALSE),"")</f>
        <v>MULTI-PARAMETERS MODULE, PHYSIOLOGICAL</v>
      </c>
      <c r="L691" s="4" t="str">
        <f>_xlfn.IFNA(VLOOKUP($J691,WH_Data[],3,FALSE),"")</f>
        <v>PHILIPS MEDICAL SYSTEMS AUSTRA</v>
      </c>
      <c r="M691" s="4" t="str">
        <f>_xlfn.IFNA(VLOOKUP($J691,WH_Data[],5,FALSE),"")</f>
        <v>IntelliVue X3</v>
      </c>
      <c r="N691" s="4" t="str">
        <f>_xlfn.IFNA(VLOOKUP($J691,WH_Data[],7,FALSE),"")</f>
        <v>DE694H5723</v>
      </c>
      <c r="O691" s="4" t="str">
        <f>_xlfn.IFNA(VLOOKUP($J691,WH_Data[],8,FALSE),"")</f>
        <v>ICU FH</v>
      </c>
      <c r="P691" s="8">
        <v>1</v>
      </c>
      <c r="Q691" s="209">
        <f>Mon_ILR2[[#This Row],[Qty Required]]-Mon_ILR2[[#This Row],[QTY Transfer]]</f>
        <v>0</v>
      </c>
      <c r="R691" s="66" t="s">
        <v>905</v>
      </c>
      <c r="S691" s="66" t="s">
        <v>952</v>
      </c>
      <c r="T691" s="210">
        <v>1175</v>
      </c>
      <c r="U691" s="210">
        <f>_xlfn.IFNA(VLOOKUP(Mon_ILR2[[#This Row],[New Model]],PhilipsLibary[],5,FALSE),"0")</f>
        <v>0</v>
      </c>
      <c r="V691" s="210">
        <v>500</v>
      </c>
      <c r="W691" s="210">
        <v>1675</v>
      </c>
      <c r="X691" s="246" t="s">
        <v>954</v>
      </c>
      <c r="Y691" s="246" t="s">
        <v>1183</v>
      </c>
    </row>
    <row r="692" spans="2:25" ht="90" x14ac:dyDescent="0.25">
      <c r="B692" s="207" t="s">
        <v>275</v>
      </c>
      <c r="C692" s="66" t="s">
        <v>693</v>
      </c>
      <c r="D692" s="4" t="s">
        <v>702</v>
      </c>
      <c r="E692" s="4" t="s">
        <v>1027</v>
      </c>
      <c r="F692" s="4" t="s">
        <v>944</v>
      </c>
      <c r="G692" s="4" t="s">
        <v>1181</v>
      </c>
      <c r="H692" s="208">
        <v>1</v>
      </c>
      <c r="I692" s="4"/>
      <c r="J692" s="46" t="s">
        <v>1221</v>
      </c>
      <c r="K692" s="4" t="str">
        <f>_xlfn.IFNA(VLOOKUP($J692,WH_Data[],6,FALSE),"")</f>
        <v>MULTI-PARAMETERS MODULE, PHYSIOLOGICAL</v>
      </c>
      <c r="L692" s="4" t="str">
        <f>_xlfn.IFNA(VLOOKUP($J692,WH_Data[],3,FALSE),"")</f>
        <v>PHILIPS MEDICAL SYSTEMS AUSTRA</v>
      </c>
      <c r="M692" s="4" t="str">
        <f>_xlfn.IFNA(VLOOKUP($J692,WH_Data[],5,FALSE),"")</f>
        <v>IntelliVue X3</v>
      </c>
      <c r="N692" s="4" t="str">
        <f>_xlfn.IFNA(VLOOKUP($J692,WH_Data[],7,FALSE),"")</f>
        <v>DE694H5713</v>
      </c>
      <c r="O692" s="4" t="str">
        <f>_xlfn.IFNA(VLOOKUP($J692,WH_Data[],8,FALSE),"")</f>
        <v>ICU FH</v>
      </c>
      <c r="P692" s="8">
        <v>1</v>
      </c>
      <c r="Q692" s="209">
        <f>Mon_ILR2[[#This Row],[Qty Required]]-Mon_ILR2[[#This Row],[QTY Transfer]]</f>
        <v>0</v>
      </c>
      <c r="R692" s="66" t="s">
        <v>905</v>
      </c>
      <c r="S692" s="66" t="s">
        <v>952</v>
      </c>
      <c r="T692" s="210">
        <v>1175</v>
      </c>
      <c r="U692" s="210">
        <f>_xlfn.IFNA(VLOOKUP(Mon_ILR2[[#This Row],[New Model]],PhilipsLibary[],5,FALSE),"0")</f>
        <v>0</v>
      </c>
      <c r="V692" s="210">
        <v>500</v>
      </c>
      <c r="W692" s="210">
        <v>1675</v>
      </c>
      <c r="X692" s="246" t="s">
        <v>954</v>
      </c>
      <c r="Y692" s="246" t="s">
        <v>1183</v>
      </c>
    </row>
    <row r="693" spans="2:25" ht="90" x14ac:dyDescent="0.25">
      <c r="B693" s="207" t="s">
        <v>275</v>
      </c>
      <c r="C693" s="66" t="s">
        <v>693</v>
      </c>
      <c r="D693" s="4" t="s">
        <v>703</v>
      </c>
      <c r="E693" s="4" t="s">
        <v>1027</v>
      </c>
      <c r="F693" s="4" t="s">
        <v>944</v>
      </c>
      <c r="G693" s="4" t="s">
        <v>1181</v>
      </c>
      <c r="H693" s="208">
        <v>1</v>
      </c>
      <c r="I693" s="4"/>
      <c r="J693" s="46" t="s">
        <v>1222</v>
      </c>
      <c r="K693" s="4" t="str">
        <f>_xlfn.IFNA(VLOOKUP($J693,WH_Data[],6,FALSE),"")</f>
        <v>MULTI-PARAMETERS MODULE, PHYSIOLOGICAL</v>
      </c>
      <c r="L693" s="4" t="str">
        <f>_xlfn.IFNA(VLOOKUP($J693,WH_Data[],3,FALSE),"")</f>
        <v>PHILIPS MEDICAL SYSTEMS AUSTRA</v>
      </c>
      <c r="M693" s="4" t="str">
        <f>_xlfn.IFNA(VLOOKUP($J693,WH_Data[],5,FALSE),"")</f>
        <v>IntelliVue X3</v>
      </c>
      <c r="N693" s="4" t="str">
        <f>_xlfn.IFNA(VLOOKUP($J693,WH_Data[],7,FALSE),"")</f>
        <v>DE694H5868</v>
      </c>
      <c r="O693" s="4" t="str">
        <f>_xlfn.IFNA(VLOOKUP($J693,WH_Data[],8,FALSE),"")</f>
        <v>ICU FH</v>
      </c>
      <c r="P693" s="8">
        <v>1</v>
      </c>
      <c r="Q693" s="209">
        <f>Mon_ILR2[[#This Row],[Qty Required]]-Mon_ILR2[[#This Row],[QTY Transfer]]</f>
        <v>0</v>
      </c>
      <c r="R693" s="66" t="s">
        <v>905</v>
      </c>
      <c r="S693" s="66" t="s">
        <v>952</v>
      </c>
      <c r="T693" s="210">
        <v>1175</v>
      </c>
      <c r="U693" s="210">
        <f>_xlfn.IFNA(VLOOKUP(Mon_ILR2[[#This Row],[New Model]],PhilipsLibary[],5,FALSE),"0")</f>
        <v>0</v>
      </c>
      <c r="V693" s="210">
        <v>500</v>
      </c>
      <c r="W693" s="210">
        <v>1675</v>
      </c>
      <c r="X693" s="246" t="s">
        <v>954</v>
      </c>
      <c r="Y693" s="246" t="s">
        <v>1183</v>
      </c>
    </row>
    <row r="694" spans="2:25" ht="90" x14ac:dyDescent="0.25">
      <c r="B694" s="207" t="s">
        <v>275</v>
      </c>
      <c r="C694" s="66" t="s">
        <v>693</v>
      </c>
      <c r="D694" s="4" t="s">
        <v>704</v>
      </c>
      <c r="E694" s="4" t="s">
        <v>1027</v>
      </c>
      <c r="F694" s="4" t="s">
        <v>944</v>
      </c>
      <c r="G694" s="4" t="s">
        <v>1181</v>
      </c>
      <c r="H694" s="208">
        <v>1</v>
      </c>
      <c r="I694" s="4"/>
      <c r="J694" s="46" t="s">
        <v>1223</v>
      </c>
      <c r="K694" s="4" t="str">
        <f>_xlfn.IFNA(VLOOKUP($J694,WH_Data[],6,FALSE),"")</f>
        <v>MULTI-PARAMETERS MODULE, PHYSIOLOGICAL</v>
      </c>
      <c r="L694" s="4" t="str">
        <f>_xlfn.IFNA(VLOOKUP($J694,WH_Data[],3,FALSE),"")</f>
        <v>PHILIPS MEDICAL SYSTEMS AUSTRA</v>
      </c>
      <c r="M694" s="4" t="str">
        <f>_xlfn.IFNA(VLOOKUP($J694,WH_Data[],5,FALSE),"")</f>
        <v>IntelliVue X3</v>
      </c>
      <c r="N694" s="4" t="str">
        <f>_xlfn.IFNA(VLOOKUP($J694,WH_Data[],7,FALSE),"")</f>
        <v>DE694H5782</v>
      </c>
      <c r="O694" s="4" t="str">
        <f>_xlfn.IFNA(VLOOKUP($J694,WH_Data[],8,FALSE),"")</f>
        <v>EOU- Cubicle 2</v>
      </c>
      <c r="P694" s="8">
        <v>1</v>
      </c>
      <c r="Q694" s="209">
        <f>Mon_ILR2[[#This Row],[Qty Required]]-Mon_ILR2[[#This Row],[QTY Transfer]]</f>
        <v>0</v>
      </c>
      <c r="R694" s="66" t="s">
        <v>905</v>
      </c>
      <c r="S694" s="66" t="s">
        <v>952</v>
      </c>
      <c r="T694" s="210">
        <v>1175</v>
      </c>
      <c r="U694" s="210">
        <f>_xlfn.IFNA(VLOOKUP(Mon_ILR2[[#This Row],[New Model]],PhilipsLibary[],5,FALSE),"0")</f>
        <v>0</v>
      </c>
      <c r="V694" s="210">
        <v>500</v>
      </c>
      <c r="W694" s="210">
        <v>1675</v>
      </c>
      <c r="X694" s="246" t="s">
        <v>954</v>
      </c>
      <c r="Y694" s="246" t="s">
        <v>1183</v>
      </c>
    </row>
    <row r="695" spans="2:25" ht="90" x14ac:dyDescent="0.25">
      <c r="B695" s="207" t="s">
        <v>275</v>
      </c>
      <c r="C695" s="66" t="s">
        <v>705</v>
      </c>
      <c r="D695" s="4" t="s">
        <v>706</v>
      </c>
      <c r="E695" s="4" t="s">
        <v>1027</v>
      </c>
      <c r="F695" s="4" t="s">
        <v>944</v>
      </c>
      <c r="G695" s="4" t="s">
        <v>1181</v>
      </c>
      <c r="H695" s="208">
        <v>1</v>
      </c>
      <c r="I695" s="4"/>
      <c r="J695" s="46" t="s">
        <v>1224</v>
      </c>
      <c r="K695" s="4" t="str">
        <f>_xlfn.IFNA(VLOOKUP($J695,WH_Data[],6,FALSE),"")</f>
        <v>MULTI-PARAMETERS MODULE, PHYSIOLOGICAL</v>
      </c>
      <c r="L695" s="4" t="str">
        <f>_xlfn.IFNA(VLOOKUP($J695,WH_Data[],3,FALSE),"")</f>
        <v>PHILIPS MEDICAL SYSTEMS AUSTRA</v>
      </c>
      <c r="M695" s="4" t="str">
        <f>_xlfn.IFNA(VLOOKUP($J695,WH_Data[],5,FALSE),"")</f>
        <v>IntelliVue X3</v>
      </c>
      <c r="N695" s="4" t="str">
        <f>_xlfn.IFNA(VLOOKUP($J695,WH_Data[],7,FALSE),"")</f>
        <v>DE694A9832</v>
      </c>
      <c r="O695" s="4" t="str">
        <f>_xlfn.IFNA(VLOOKUP($J695,WH_Data[],8,FALSE),"")</f>
        <v>3A - FH</v>
      </c>
      <c r="P695" s="8">
        <v>1</v>
      </c>
      <c r="Q695" s="209">
        <f>Mon_ILR2[[#This Row],[Qty Required]]-Mon_ILR2[[#This Row],[QTY Transfer]]</f>
        <v>0</v>
      </c>
      <c r="R695" s="66" t="s">
        <v>905</v>
      </c>
      <c r="S695" s="66" t="s">
        <v>952</v>
      </c>
      <c r="T695" s="210">
        <v>1175</v>
      </c>
      <c r="U695" s="210">
        <f>_xlfn.IFNA(VLOOKUP(Mon_ILR2[[#This Row],[New Model]],PhilipsLibary[],5,FALSE),"0")</f>
        <v>0</v>
      </c>
      <c r="V695" s="210">
        <v>500</v>
      </c>
      <c r="W695" s="210">
        <v>1675</v>
      </c>
      <c r="X695" s="246" t="s">
        <v>954</v>
      </c>
      <c r="Y695" s="246" t="s">
        <v>1183</v>
      </c>
    </row>
    <row r="696" spans="2:25" ht="90" x14ac:dyDescent="0.25">
      <c r="B696" s="207" t="s">
        <v>275</v>
      </c>
      <c r="C696" s="66" t="s">
        <v>693</v>
      </c>
      <c r="D696" s="4" t="s">
        <v>707</v>
      </c>
      <c r="E696" s="4" t="s">
        <v>1027</v>
      </c>
      <c r="F696" s="4" t="s">
        <v>944</v>
      </c>
      <c r="G696" s="4" t="s">
        <v>1181</v>
      </c>
      <c r="H696" s="208">
        <v>1</v>
      </c>
      <c r="I696" s="4"/>
      <c r="J696" s="46" t="s">
        <v>1225</v>
      </c>
      <c r="K696" s="4" t="str">
        <f>_xlfn.IFNA(VLOOKUP($J696,WH_Data[],6,FALSE),"")</f>
        <v>MULTI-PARAMETERS MODULE, PHYSIOLOGICAL</v>
      </c>
      <c r="L696" s="4" t="str">
        <f>_xlfn.IFNA(VLOOKUP($J696,WH_Data[],3,FALSE),"")</f>
        <v>PHILIPS MEDICAL SYSTEMS AUSTRA</v>
      </c>
      <c r="M696" s="4" t="str">
        <f>_xlfn.IFNA(VLOOKUP($J696,WH_Data[],5,FALSE),"")</f>
        <v>IntelliVue X3</v>
      </c>
      <c r="N696" s="4" t="str">
        <f>_xlfn.IFNA(VLOOKUP($J696,WH_Data[],7,FALSE),"")</f>
        <v>DE694B0206</v>
      </c>
      <c r="O696" s="4" t="str">
        <f>_xlfn.IFNA(VLOOKUP($J696,WH_Data[],8,FALSE),"")</f>
        <v>3A - FH</v>
      </c>
      <c r="P696" s="8">
        <v>1</v>
      </c>
      <c r="Q696" s="209">
        <f>Mon_ILR2[[#This Row],[Qty Required]]-Mon_ILR2[[#This Row],[QTY Transfer]]</f>
        <v>0</v>
      </c>
      <c r="R696" s="66" t="s">
        <v>905</v>
      </c>
      <c r="S696" s="66" t="s">
        <v>952</v>
      </c>
      <c r="T696" s="210">
        <v>1175</v>
      </c>
      <c r="U696" s="210">
        <f>_xlfn.IFNA(VLOOKUP(Mon_ILR2[[#This Row],[New Model]],PhilipsLibary[],5,FALSE),"0")</f>
        <v>0</v>
      </c>
      <c r="V696" s="210">
        <v>500</v>
      </c>
      <c r="W696" s="210">
        <v>1675</v>
      </c>
      <c r="X696" s="246" t="s">
        <v>954</v>
      </c>
      <c r="Y696" s="246" t="s">
        <v>1183</v>
      </c>
    </row>
    <row r="697" spans="2:25" ht="90" x14ac:dyDescent="0.25">
      <c r="B697" s="207" t="s">
        <v>275</v>
      </c>
      <c r="C697" s="66" t="s">
        <v>708</v>
      </c>
      <c r="D697" s="4" t="s">
        <v>709</v>
      </c>
      <c r="E697" s="4" t="s">
        <v>1027</v>
      </c>
      <c r="F697" s="4" t="s">
        <v>944</v>
      </c>
      <c r="G697" s="4" t="s">
        <v>1181</v>
      </c>
      <c r="H697" s="208">
        <v>1</v>
      </c>
      <c r="I697" s="4"/>
      <c r="J697" s="46" t="s">
        <v>1226</v>
      </c>
      <c r="K697" s="4" t="str">
        <f>_xlfn.IFNA(VLOOKUP($J697,WH_Data[],6,FALSE),"")</f>
        <v>MULTI-PARAMETERS MODULE, PHYSIOLOGICAL</v>
      </c>
      <c r="L697" s="4" t="str">
        <f>_xlfn.IFNA(VLOOKUP($J697,WH_Data[],3,FALSE),"")</f>
        <v>PHILIPS MEDICAL SYSTEMS AUSTRA</v>
      </c>
      <c r="M697" s="4" t="str">
        <f>_xlfn.IFNA(VLOOKUP($J697,WH_Data[],5,FALSE),"")</f>
        <v>IntelliVue X3</v>
      </c>
      <c r="N697" s="4" t="str">
        <f>_xlfn.IFNA(VLOOKUP($J697,WH_Data[],7,FALSE),"")</f>
        <v>DE694D6075</v>
      </c>
      <c r="O697" s="4" t="str">
        <f>_xlfn.IFNA(VLOOKUP($J697,WH_Data[],8,FALSE),"")</f>
        <v>ICU FH</v>
      </c>
      <c r="P697" s="8">
        <v>1</v>
      </c>
      <c r="Q697" s="209">
        <f>Mon_ILR2[[#This Row],[Qty Required]]-Mon_ILR2[[#This Row],[QTY Transfer]]</f>
        <v>0</v>
      </c>
      <c r="R697" s="66" t="s">
        <v>905</v>
      </c>
      <c r="S697" s="66" t="s">
        <v>952</v>
      </c>
      <c r="T697" s="210">
        <v>1175</v>
      </c>
      <c r="U697" s="210">
        <f>_xlfn.IFNA(VLOOKUP(Mon_ILR2[[#This Row],[New Model]],PhilipsLibary[],5,FALSE),"0")</f>
        <v>0</v>
      </c>
      <c r="V697" s="210">
        <v>500</v>
      </c>
      <c r="W697" s="210">
        <v>1675</v>
      </c>
      <c r="X697" s="246" t="s">
        <v>954</v>
      </c>
      <c r="Y697" s="246" t="s">
        <v>1183</v>
      </c>
    </row>
    <row r="698" spans="2:25" ht="90" x14ac:dyDescent="0.25">
      <c r="B698" s="207" t="s">
        <v>275</v>
      </c>
      <c r="C698" s="66" t="s">
        <v>693</v>
      </c>
      <c r="D698" s="4" t="s">
        <v>710</v>
      </c>
      <c r="E698" s="4" t="s">
        <v>1027</v>
      </c>
      <c r="F698" s="4" t="s">
        <v>944</v>
      </c>
      <c r="G698" s="4" t="s">
        <v>1181</v>
      </c>
      <c r="H698" s="208">
        <v>1</v>
      </c>
      <c r="I698" s="4"/>
      <c r="J698" s="46" t="s">
        <v>1227</v>
      </c>
      <c r="K698" s="4" t="str">
        <f>_xlfn.IFNA(VLOOKUP($J698,WH_Data[],6,FALSE),"")</f>
        <v>MULTI-PARAMETERS MODULE, PHYSIOLOGICAL</v>
      </c>
      <c r="L698" s="4" t="str">
        <f>_xlfn.IFNA(VLOOKUP($J698,WH_Data[],3,FALSE),"")</f>
        <v>PHILIPS MEDICAL SYSTEMS AUSTRA</v>
      </c>
      <c r="M698" s="4" t="str">
        <f>_xlfn.IFNA(VLOOKUP($J698,WH_Data[],5,FALSE),"")</f>
        <v>IntelliVue X3</v>
      </c>
      <c r="N698" s="4" t="str">
        <f>_xlfn.IFNA(VLOOKUP($J698,WH_Data[],7,FALSE),"")</f>
        <v>DE694D6097</v>
      </c>
      <c r="O698" s="4" t="str">
        <f>_xlfn.IFNA(VLOOKUP($J698,WH_Data[],8,FALSE),"")</f>
        <v>ICU FH</v>
      </c>
      <c r="P698" s="8">
        <v>1</v>
      </c>
      <c r="Q698" s="209">
        <f>Mon_ILR2[[#This Row],[Qty Required]]-Mon_ILR2[[#This Row],[QTY Transfer]]</f>
        <v>0</v>
      </c>
      <c r="R698" s="66" t="s">
        <v>905</v>
      </c>
      <c r="S698" s="66" t="s">
        <v>952</v>
      </c>
      <c r="T698" s="210">
        <v>1175</v>
      </c>
      <c r="U698" s="210">
        <f>_xlfn.IFNA(VLOOKUP(Mon_ILR2[[#This Row],[New Model]],PhilipsLibary[],5,FALSE),"0")</f>
        <v>0</v>
      </c>
      <c r="V698" s="210">
        <v>500</v>
      </c>
      <c r="W698" s="210">
        <v>1675</v>
      </c>
      <c r="X698" s="246" t="s">
        <v>954</v>
      </c>
      <c r="Y698" s="246" t="s">
        <v>1183</v>
      </c>
    </row>
    <row r="699" spans="2:25" ht="90" x14ac:dyDescent="0.25">
      <c r="B699" s="207" t="s">
        <v>275</v>
      </c>
      <c r="C699" s="66" t="s">
        <v>693</v>
      </c>
      <c r="D699" s="4" t="s">
        <v>711</v>
      </c>
      <c r="E699" s="4" t="s">
        <v>1027</v>
      </c>
      <c r="F699" s="4" t="s">
        <v>944</v>
      </c>
      <c r="G699" s="4" t="s">
        <v>1181</v>
      </c>
      <c r="H699" s="208">
        <v>1</v>
      </c>
      <c r="I699" s="4"/>
      <c r="J699" s="46" t="s">
        <v>1228</v>
      </c>
      <c r="K699" s="4" t="str">
        <f>_xlfn.IFNA(VLOOKUP($J699,WH_Data[],6,FALSE),"")</f>
        <v>MULTI-PARAMETERS MODULE, PHYSIOLOGICAL</v>
      </c>
      <c r="L699" s="4" t="str">
        <f>_xlfn.IFNA(VLOOKUP($J699,WH_Data[],3,FALSE),"")</f>
        <v>PHILIPS MEDICAL SYSTEMS AUSTRA</v>
      </c>
      <c r="M699" s="4" t="str">
        <f>_xlfn.IFNA(VLOOKUP($J699,WH_Data[],5,FALSE),"")</f>
        <v>IntelliVue X3</v>
      </c>
      <c r="N699" s="4" t="str">
        <f>_xlfn.IFNA(VLOOKUP($J699,WH_Data[],7,FALSE),"")</f>
        <v>DE694D6091</v>
      </c>
      <c r="O699" s="4" t="str">
        <f>_xlfn.IFNA(VLOOKUP($J699,WH_Data[],8,FALSE),"")</f>
        <v>ICU FH</v>
      </c>
      <c r="P699" s="8">
        <v>1</v>
      </c>
      <c r="Q699" s="209">
        <f>Mon_ILR2[[#This Row],[Qty Required]]-Mon_ILR2[[#This Row],[QTY Transfer]]</f>
        <v>0</v>
      </c>
      <c r="R699" s="66" t="s">
        <v>905</v>
      </c>
      <c r="S699" s="66" t="s">
        <v>952</v>
      </c>
      <c r="T699" s="210">
        <v>1175</v>
      </c>
      <c r="U699" s="210">
        <f>_xlfn.IFNA(VLOOKUP(Mon_ILR2[[#This Row],[New Model]],PhilipsLibary[],5,FALSE),"0")</f>
        <v>0</v>
      </c>
      <c r="V699" s="210">
        <v>500</v>
      </c>
      <c r="W699" s="210">
        <v>1675</v>
      </c>
      <c r="X699" s="246" t="s">
        <v>954</v>
      </c>
      <c r="Y699" s="246" t="s">
        <v>1183</v>
      </c>
    </row>
    <row r="700" spans="2:25" ht="15.75" x14ac:dyDescent="0.25">
      <c r="B700" s="207" t="s">
        <v>275</v>
      </c>
      <c r="C700" s="66" t="s">
        <v>705</v>
      </c>
      <c r="D700" s="4" t="s">
        <v>712</v>
      </c>
      <c r="E700" s="4" t="s">
        <v>1027</v>
      </c>
      <c r="F700" s="4" t="s">
        <v>944</v>
      </c>
      <c r="G700" s="4" t="s">
        <v>1181</v>
      </c>
      <c r="H700" s="208">
        <v>1</v>
      </c>
      <c r="I700" s="4"/>
      <c r="J700" s="15"/>
      <c r="K700" s="4" t="str">
        <f>_xlfn.IFNA(VLOOKUP($J700,WH_Data[],6,FALSE),"")</f>
        <v/>
      </c>
      <c r="L700" s="4" t="str">
        <f>_xlfn.IFNA(VLOOKUP($J700,WH_Data[],3,FALSE),"")</f>
        <v/>
      </c>
      <c r="M700" s="4" t="str">
        <f>_xlfn.IFNA(VLOOKUP($J700,WH_Data[],5,FALSE),"")</f>
        <v/>
      </c>
      <c r="N700" s="4" t="str">
        <f>_xlfn.IFNA(VLOOKUP($J700,WH_Data[],7,FALSE),"")</f>
        <v/>
      </c>
      <c r="O700" s="4" t="str">
        <f>_xlfn.IFNA(VLOOKUP($J700,WH_Data[],8,FALSE),"")</f>
        <v/>
      </c>
      <c r="P700" s="8"/>
      <c r="Q700" s="209">
        <f>Mon_ILR2[[#This Row],[Qty Required]]-Mon_ILR2[[#This Row],[QTY Transfer]]</f>
        <v>1</v>
      </c>
      <c r="R700" s="66" t="s">
        <v>905</v>
      </c>
      <c r="S700" s="66" t="s">
        <v>946</v>
      </c>
      <c r="T700" s="210">
        <f>_xlfn.IFNA(VLOOKUP(Mon_ILR2[[#This Row],[New Model]],PhilipsLibary[],4,FALSE),"0")</f>
        <v>7999</v>
      </c>
      <c r="U700" s="210">
        <f>_xlfn.IFNA(VLOOKUP(Mon_ILR2[[#This Row],[New Model]],PhilipsLibary[],5,FALSE),"0")</f>
        <v>0</v>
      </c>
      <c r="V700" s="210">
        <f>_xlfn.IFNA(VLOOKUP(Mon_ILR2[[#This Row],[New Model]],PhilipsLibary[],5,FALSE),"0")</f>
        <v>0</v>
      </c>
      <c r="W700" s="210">
        <f>Mon_ILR2[[#This Row],[Accessory Rate]]+Mon_ILR2[[#This Row],[Mounting Rate]]+Mon_ILR2[[#This Row],[Unit Rate]]*Mon_ILR2[[#This Row],[New Quantity Required ]]</f>
        <v>7999</v>
      </c>
      <c r="X700" s="8"/>
      <c r="Y700" s="246"/>
    </row>
    <row r="701" spans="2:25" ht="15.75" x14ac:dyDescent="0.25">
      <c r="B701" s="207" t="s">
        <v>275</v>
      </c>
      <c r="C701" s="66" t="s">
        <v>708</v>
      </c>
      <c r="D701" s="4" t="s">
        <v>713</v>
      </c>
      <c r="E701" s="4" t="s">
        <v>1027</v>
      </c>
      <c r="F701" s="4" t="s">
        <v>944</v>
      </c>
      <c r="G701" s="4" t="s">
        <v>1181</v>
      </c>
      <c r="H701" s="208">
        <v>1</v>
      </c>
      <c r="I701" s="4"/>
      <c r="J701" s="15"/>
      <c r="K701" s="4" t="str">
        <f>_xlfn.IFNA(VLOOKUP($J701,WH_Data[],6,FALSE),"")</f>
        <v/>
      </c>
      <c r="L701" s="4" t="str">
        <f>_xlfn.IFNA(VLOOKUP($J701,WH_Data[],3,FALSE),"")</f>
        <v/>
      </c>
      <c r="M701" s="4" t="str">
        <f>_xlfn.IFNA(VLOOKUP($J701,WH_Data[],5,FALSE),"")</f>
        <v/>
      </c>
      <c r="N701" s="4" t="str">
        <f>_xlfn.IFNA(VLOOKUP($J701,WH_Data[],7,FALSE),"")</f>
        <v/>
      </c>
      <c r="O701" s="4" t="str">
        <f>_xlfn.IFNA(VLOOKUP($J701,WH_Data[],8,FALSE),"")</f>
        <v/>
      </c>
      <c r="P701" s="8"/>
      <c r="Q701" s="209">
        <f>Mon_ILR2[[#This Row],[Qty Required]]-Mon_ILR2[[#This Row],[QTY Transfer]]</f>
        <v>1</v>
      </c>
      <c r="R701" s="66" t="s">
        <v>905</v>
      </c>
      <c r="S701" s="66" t="s">
        <v>946</v>
      </c>
      <c r="T701" s="210">
        <f>_xlfn.IFNA(VLOOKUP(Mon_ILR2[[#This Row],[New Model]],PhilipsLibary[],4,FALSE),"0")</f>
        <v>7999</v>
      </c>
      <c r="U701" s="210">
        <f>_xlfn.IFNA(VLOOKUP(Mon_ILR2[[#This Row],[New Model]],PhilipsLibary[],5,FALSE),"0")</f>
        <v>0</v>
      </c>
      <c r="V701" s="210">
        <f>_xlfn.IFNA(VLOOKUP(Mon_ILR2[[#This Row],[New Model]],PhilipsLibary[],5,FALSE),"0")</f>
        <v>0</v>
      </c>
      <c r="W701" s="210">
        <f>Mon_ILR2[[#This Row],[Accessory Rate]]+Mon_ILR2[[#This Row],[Mounting Rate]]+Mon_ILR2[[#This Row],[Unit Rate]]*Mon_ILR2[[#This Row],[New Quantity Required ]]</f>
        <v>7999</v>
      </c>
      <c r="X701" s="8"/>
      <c r="Y701" s="246"/>
    </row>
    <row r="702" spans="2:25" ht="15.75" x14ac:dyDescent="0.25">
      <c r="B702" s="207" t="s">
        <v>275</v>
      </c>
      <c r="C702" s="66" t="s">
        <v>693</v>
      </c>
      <c r="D702" s="4" t="s">
        <v>714</v>
      </c>
      <c r="E702" s="4" t="s">
        <v>1027</v>
      </c>
      <c r="F702" s="4" t="s">
        <v>944</v>
      </c>
      <c r="G702" s="4" t="s">
        <v>1181</v>
      </c>
      <c r="H702" s="208">
        <v>1</v>
      </c>
      <c r="I702" s="4"/>
      <c r="J702" s="15"/>
      <c r="K702" s="4" t="str">
        <f>_xlfn.IFNA(VLOOKUP($J702,WH_Data[],6,FALSE),"")</f>
        <v/>
      </c>
      <c r="L702" s="4" t="str">
        <f>_xlfn.IFNA(VLOOKUP($J702,WH_Data[],3,FALSE),"")</f>
        <v/>
      </c>
      <c r="M702" s="4" t="str">
        <f>_xlfn.IFNA(VLOOKUP($J702,WH_Data[],5,FALSE),"")</f>
        <v/>
      </c>
      <c r="N702" s="4" t="str">
        <f>_xlfn.IFNA(VLOOKUP($J702,WH_Data[],7,FALSE),"")</f>
        <v/>
      </c>
      <c r="O702" s="4" t="str">
        <f>_xlfn.IFNA(VLOOKUP($J702,WH_Data[],8,FALSE),"")</f>
        <v/>
      </c>
      <c r="P702" s="8"/>
      <c r="Q702" s="209">
        <f>Mon_ILR2[[#This Row],[Qty Required]]-Mon_ILR2[[#This Row],[QTY Transfer]]</f>
        <v>1</v>
      </c>
      <c r="R702" s="66" t="s">
        <v>905</v>
      </c>
      <c r="S702" s="66" t="s">
        <v>946</v>
      </c>
      <c r="T702" s="210">
        <f>_xlfn.IFNA(VLOOKUP(Mon_ILR2[[#This Row],[New Model]],PhilipsLibary[],4,FALSE),"0")</f>
        <v>7999</v>
      </c>
      <c r="U702" s="210">
        <f>_xlfn.IFNA(VLOOKUP(Mon_ILR2[[#This Row],[New Model]],PhilipsLibary[],5,FALSE),"0")</f>
        <v>0</v>
      </c>
      <c r="V702" s="210">
        <f>_xlfn.IFNA(VLOOKUP(Mon_ILR2[[#This Row],[New Model]],PhilipsLibary[],5,FALSE),"0")</f>
        <v>0</v>
      </c>
      <c r="W702" s="210">
        <f>Mon_ILR2[[#This Row],[Accessory Rate]]+Mon_ILR2[[#This Row],[Mounting Rate]]+Mon_ILR2[[#This Row],[Unit Rate]]*Mon_ILR2[[#This Row],[New Quantity Required ]]</f>
        <v>7999</v>
      </c>
      <c r="X702" s="8"/>
      <c r="Y702" s="246"/>
    </row>
    <row r="703" spans="2:25" ht="15.75" x14ac:dyDescent="0.25">
      <c r="B703" s="207" t="s">
        <v>275</v>
      </c>
      <c r="C703" s="66" t="s">
        <v>693</v>
      </c>
      <c r="D703" s="4" t="s">
        <v>715</v>
      </c>
      <c r="E703" s="4" t="s">
        <v>1027</v>
      </c>
      <c r="F703" s="4" t="s">
        <v>944</v>
      </c>
      <c r="G703" s="4" t="s">
        <v>1181</v>
      </c>
      <c r="H703" s="208">
        <v>1</v>
      </c>
      <c r="I703" s="4"/>
      <c r="J703" s="15"/>
      <c r="K703" s="4" t="str">
        <f>_xlfn.IFNA(VLOOKUP($J703,WH_Data[],6,FALSE),"")</f>
        <v/>
      </c>
      <c r="L703" s="4" t="str">
        <f>_xlfn.IFNA(VLOOKUP($J703,WH_Data[],3,FALSE),"")</f>
        <v/>
      </c>
      <c r="M703" s="4" t="str">
        <f>_xlfn.IFNA(VLOOKUP($J703,WH_Data[],5,FALSE),"")</f>
        <v/>
      </c>
      <c r="N703" s="4" t="str">
        <f>_xlfn.IFNA(VLOOKUP($J703,WH_Data[],7,FALSE),"")</f>
        <v/>
      </c>
      <c r="O703" s="4" t="str">
        <f>_xlfn.IFNA(VLOOKUP($J703,WH_Data[],8,FALSE),"")</f>
        <v/>
      </c>
      <c r="P703" s="8"/>
      <c r="Q703" s="209">
        <f>Mon_ILR2[[#This Row],[Qty Required]]-Mon_ILR2[[#This Row],[QTY Transfer]]</f>
        <v>1</v>
      </c>
      <c r="R703" s="66" t="s">
        <v>905</v>
      </c>
      <c r="S703" s="66" t="s">
        <v>946</v>
      </c>
      <c r="T703" s="210">
        <f>_xlfn.IFNA(VLOOKUP(Mon_ILR2[[#This Row],[New Model]],PhilipsLibary[],4,FALSE),"0")</f>
        <v>7999</v>
      </c>
      <c r="U703" s="210">
        <f>_xlfn.IFNA(VLOOKUP(Mon_ILR2[[#This Row],[New Model]],PhilipsLibary[],5,FALSE),"0")</f>
        <v>0</v>
      </c>
      <c r="V703" s="210">
        <f>_xlfn.IFNA(VLOOKUP(Mon_ILR2[[#This Row],[New Model]],PhilipsLibary[],5,FALSE),"0")</f>
        <v>0</v>
      </c>
      <c r="W703" s="210">
        <f>Mon_ILR2[[#This Row],[Accessory Rate]]+Mon_ILR2[[#This Row],[Mounting Rate]]+Mon_ILR2[[#This Row],[Unit Rate]]*Mon_ILR2[[#This Row],[New Quantity Required ]]</f>
        <v>7999</v>
      </c>
      <c r="X703" s="8"/>
      <c r="Y703" s="246"/>
    </row>
    <row r="704" spans="2:25" ht="15.75" x14ac:dyDescent="0.25">
      <c r="B704" s="207" t="s">
        <v>275</v>
      </c>
      <c r="C704" s="66" t="s">
        <v>693</v>
      </c>
      <c r="D704" s="4" t="s">
        <v>716</v>
      </c>
      <c r="E704" s="4" t="s">
        <v>1027</v>
      </c>
      <c r="F704" s="4" t="s">
        <v>944</v>
      </c>
      <c r="G704" s="4" t="s">
        <v>1181</v>
      </c>
      <c r="H704" s="208">
        <v>1</v>
      </c>
      <c r="I704" s="4"/>
      <c r="J704" s="15"/>
      <c r="K704" s="4" t="str">
        <f>_xlfn.IFNA(VLOOKUP($J704,WH_Data[],6,FALSE),"")</f>
        <v/>
      </c>
      <c r="L704" s="4" t="str">
        <f>_xlfn.IFNA(VLOOKUP($J704,WH_Data[],3,FALSE),"")</f>
        <v/>
      </c>
      <c r="M704" s="4" t="str">
        <f>_xlfn.IFNA(VLOOKUP($J704,WH_Data[],5,FALSE),"")</f>
        <v/>
      </c>
      <c r="N704" s="4" t="str">
        <f>_xlfn.IFNA(VLOOKUP($J704,WH_Data[],7,FALSE),"")</f>
        <v/>
      </c>
      <c r="O704" s="4" t="str">
        <f>_xlfn.IFNA(VLOOKUP($J704,WH_Data[],8,FALSE),"")</f>
        <v/>
      </c>
      <c r="P704" s="8"/>
      <c r="Q704" s="209">
        <f>Mon_ILR2[[#This Row],[Qty Required]]-Mon_ILR2[[#This Row],[QTY Transfer]]</f>
        <v>1</v>
      </c>
      <c r="R704" s="66" t="s">
        <v>905</v>
      </c>
      <c r="S704" s="66" t="s">
        <v>946</v>
      </c>
      <c r="T704" s="210">
        <f>_xlfn.IFNA(VLOOKUP(Mon_ILR2[[#This Row],[New Model]],PhilipsLibary[],4,FALSE),"0")</f>
        <v>7999</v>
      </c>
      <c r="U704" s="210">
        <f>_xlfn.IFNA(VLOOKUP(Mon_ILR2[[#This Row],[New Model]],PhilipsLibary[],5,FALSE),"0")</f>
        <v>0</v>
      </c>
      <c r="V704" s="210">
        <f>_xlfn.IFNA(VLOOKUP(Mon_ILR2[[#This Row],[New Model]],PhilipsLibary[],5,FALSE),"0")</f>
        <v>0</v>
      </c>
      <c r="W704" s="210">
        <f>Mon_ILR2[[#This Row],[Accessory Rate]]+Mon_ILR2[[#This Row],[Mounting Rate]]+Mon_ILR2[[#This Row],[Unit Rate]]*Mon_ILR2[[#This Row],[New Quantity Required ]]</f>
        <v>7999</v>
      </c>
      <c r="X704" s="8"/>
      <c r="Y704" s="246"/>
    </row>
    <row r="705" spans="2:25" ht="15.75" x14ac:dyDescent="0.25">
      <c r="B705" s="207" t="s">
        <v>275</v>
      </c>
      <c r="C705" s="66" t="s">
        <v>693</v>
      </c>
      <c r="D705" s="4" t="s">
        <v>717</v>
      </c>
      <c r="E705" s="4" t="s">
        <v>1027</v>
      </c>
      <c r="F705" s="4" t="s">
        <v>944</v>
      </c>
      <c r="G705" s="4" t="s">
        <v>1181</v>
      </c>
      <c r="H705" s="208">
        <v>1</v>
      </c>
      <c r="I705" s="4"/>
      <c r="J705" s="15"/>
      <c r="K705" s="4" t="str">
        <f>_xlfn.IFNA(VLOOKUP($J705,WH_Data[],6,FALSE),"")</f>
        <v/>
      </c>
      <c r="L705" s="4" t="str">
        <f>_xlfn.IFNA(VLOOKUP($J705,WH_Data[],3,FALSE),"")</f>
        <v/>
      </c>
      <c r="M705" s="4" t="str">
        <f>_xlfn.IFNA(VLOOKUP($J705,WH_Data[],5,FALSE),"")</f>
        <v/>
      </c>
      <c r="N705" s="4" t="str">
        <f>_xlfn.IFNA(VLOOKUP($J705,WH_Data[],7,FALSE),"")</f>
        <v/>
      </c>
      <c r="O705" s="4" t="str">
        <f>_xlfn.IFNA(VLOOKUP($J705,WH_Data[],8,FALSE),"")</f>
        <v/>
      </c>
      <c r="P705" s="8"/>
      <c r="Q705" s="209">
        <f>Mon_ILR2[[#This Row],[Qty Required]]-Mon_ILR2[[#This Row],[QTY Transfer]]</f>
        <v>1</v>
      </c>
      <c r="R705" s="66" t="s">
        <v>905</v>
      </c>
      <c r="S705" s="66" t="s">
        <v>946</v>
      </c>
      <c r="T705" s="210">
        <f>_xlfn.IFNA(VLOOKUP(Mon_ILR2[[#This Row],[New Model]],PhilipsLibary[],4,FALSE),"0")</f>
        <v>7999</v>
      </c>
      <c r="U705" s="210">
        <f>_xlfn.IFNA(VLOOKUP(Mon_ILR2[[#This Row],[New Model]],PhilipsLibary[],5,FALSE),"0")</f>
        <v>0</v>
      </c>
      <c r="V705" s="210">
        <f>_xlfn.IFNA(VLOOKUP(Mon_ILR2[[#This Row],[New Model]],PhilipsLibary[],5,FALSE),"0")</f>
        <v>0</v>
      </c>
      <c r="W705" s="210">
        <f>Mon_ILR2[[#This Row],[Accessory Rate]]+Mon_ILR2[[#This Row],[Mounting Rate]]+Mon_ILR2[[#This Row],[Unit Rate]]*Mon_ILR2[[#This Row],[New Quantity Required ]]</f>
        <v>7999</v>
      </c>
      <c r="X705" s="8"/>
      <c r="Y705" s="246"/>
    </row>
    <row r="706" spans="2:25" ht="15.75" x14ac:dyDescent="0.25">
      <c r="B706" s="207" t="s">
        <v>275</v>
      </c>
      <c r="C706" s="66" t="s">
        <v>693</v>
      </c>
      <c r="D706" s="4" t="s">
        <v>718</v>
      </c>
      <c r="E706" s="4" t="s">
        <v>1027</v>
      </c>
      <c r="F706" s="4" t="s">
        <v>944</v>
      </c>
      <c r="G706" s="4" t="s">
        <v>1181</v>
      </c>
      <c r="H706" s="208">
        <v>1</v>
      </c>
      <c r="I706" s="4"/>
      <c r="J706" s="15"/>
      <c r="K706" s="4" t="str">
        <f>_xlfn.IFNA(VLOOKUP($J706,WH_Data[],6,FALSE),"")</f>
        <v/>
      </c>
      <c r="L706" s="4" t="str">
        <f>_xlfn.IFNA(VLOOKUP($J706,WH_Data[],3,FALSE),"")</f>
        <v/>
      </c>
      <c r="M706" s="4" t="str">
        <f>_xlfn.IFNA(VLOOKUP($J706,WH_Data[],5,FALSE),"")</f>
        <v/>
      </c>
      <c r="N706" s="4" t="str">
        <f>_xlfn.IFNA(VLOOKUP($J706,WH_Data[],7,FALSE),"")</f>
        <v/>
      </c>
      <c r="O706" s="4" t="str">
        <f>_xlfn.IFNA(VLOOKUP($J706,WH_Data[],8,FALSE),"")</f>
        <v/>
      </c>
      <c r="P706" s="8"/>
      <c r="Q706" s="209">
        <f>Mon_ILR2[[#This Row],[Qty Required]]-Mon_ILR2[[#This Row],[QTY Transfer]]</f>
        <v>1</v>
      </c>
      <c r="R706" s="66" t="s">
        <v>905</v>
      </c>
      <c r="S706" s="66" t="s">
        <v>946</v>
      </c>
      <c r="T706" s="210">
        <f>_xlfn.IFNA(VLOOKUP(Mon_ILR2[[#This Row],[New Model]],PhilipsLibary[],4,FALSE),"0")</f>
        <v>7999</v>
      </c>
      <c r="U706" s="210">
        <f>_xlfn.IFNA(VLOOKUP(Mon_ILR2[[#This Row],[New Model]],PhilipsLibary[],5,FALSE),"0")</f>
        <v>0</v>
      </c>
      <c r="V706" s="210">
        <f>_xlfn.IFNA(VLOOKUP(Mon_ILR2[[#This Row],[New Model]],PhilipsLibary[],5,FALSE),"0")</f>
        <v>0</v>
      </c>
      <c r="W706" s="210">
        <f>Mon_ILR2[[#This Row],[Accessory Rate]]+Mon_ILR2[[#This Row],[Mounting Rate]]+Mon_ILR2[[#This Row],[Unit Rate]]*Mon_ILR2[[#This Row],[New Quantity Required ]]</f>
        <v>7999</v>
      </c>
      <c r="X706" s="8"/>
      <c r="Y706" s="246"/>
    </row>
    <row r="707" spans="2:25" ht="15.75" x14ac:dyDescent="0.25">
      <c r="B707" s="207" t="s">
        <v>275</v>
      </c>
      <c r="C707" s="66" t="s">
        <v>693</v>
      </c>
      <c r="D707" s="4" t="s">
        <v>719</v>
      </c>
      <c r="E707" s="4" t="s">
        <v>1027</v>
      </c>
      <c r="F707" s="4" t="s">
        <v>944</v>
      </c>
      <c r="G707" s="4" t="s">
        <v>1181</v>
      </c>
      <c r="H707" s="208">
        <v>1</v>
      </c>
      <c r="I707" s="4"/>
      <c r="J707" s="15"/>
      <c r="K707" s="4" t="str">
        <f>_xlfn.IFNA(VLOOKUP($J707,WH_Data[],6,FALSE),"")</f>
        <v/>
      </c>
      <c r="L707" s="4" t="str">
        <f>_xlfn.IFNA(VLOOKUP($J707,WH_Data[],3,FALSE),"")</f>
        <v/>
      </c>
      <c r="M707" s="4" t="str">
        <f>_xlfn.IFNA(VLOOKUP($J707,WH_Data[],5,FALSE),"")</f>
        <v/>
      </c>
      <c r="N707" s="4" t="str">
        <f>_xlfn.IFNA(VLOOKUP($J707,WH_Data[],7,FALSE),"")</f>
        <v/>
      </c>
      <c r="O707" s="4" t="str">
        <f>_xlfn.IFNA(VLOOKUP($J707,WH_Data[],8,FALSE),"")</f>
        <v/>
      </c>
      <c r="P707" s="8"/>
      <c r="Q707" s="209">
        <f>Mon_ILR2[[#This Row],[Qty Required]]-Mon_ILR2[[#This Row],[QTY Transfer]]</f>
        <v>1</v>
      </c>
      <c r="R707" s="66" t="s">
        <v>905</v>
      </c>
      <c r="S707" s="66" t="s">
        <v>946</v>
      </c>
      <c r="T707" s="210">
        <f>_xlfn.IFNA(VLOOKUP(Mon_ILR2[[#This Row],[New Model]],PhilipsLibary[],4,FALSE),"0")</f>
        <v>7999</v>
      </c>
      <c r="U707" s="210">
        <f>_xlfn.IFNA(VLOOKUP(Mon_ILR2[[#This Row],[New Model]],PhilipsLibary[],5,FALSE),"0")</f>
        <v>0</v>
      </c>
      <c r="V707" s="210">
        <f>_xlfn.IFNA(VLOOKUP(Mon_ILR2[[#This Row],[New Model]],PhilipsLibary[],5,FALSE),"0")</f>
        <v>0</v>
      </c>
      <c r="W707" s="210">
        <f>Mon_ILR2[[#This Row],[Accessory Rate]]+Mon_ILR2[[#This Row],[Mounting Rate]]+Mon_ILR2[[#This Row],[Unit Rate]]*Mon_ILR2[[#This Row],[New Quantity Required ]]</f>
        <v>7999</v>
      </c>
      <c r="X707" s="8"/>
      <c r="Y707" s="246"/>
    </row>
    <row r="708" spans="2:25" ht="15.75" x14ac:dyDescent="0.25">
      <c r="B708" s="207" t="s">
        <v>275</v>
      </c>
      <c r="C708" s="66" t="s">
        <v>693</v>
      </c>
      <c r="D708" s="4" t="s">
        <v>720</v>
      </c>
      <c r="E708" s="4" t="s">
        <v>1027</v>
      </c>
      <c r="F708" s="4" t="s">
        <v>944</v>
      </c>
      <c r="G708" s="4" t="s">
        <v>1181</v>
      </c>
      <c r="H708" s="208">
        <v>1</v>
      </c>
      <c r="I708" s="4"/>
      <c r="J708" s="15"/>
      <c r="K708" s="4" t="str">
        <f>_xlfn.IFNA(VLOOKUP($J708,WH_Data[],6,FALSE),"")</f>
        <v/>
      </c>
      <c r="L708" s="4" t="str">
        <f>_xlfn.IFNA(VLOOKUP($J708,WH_Data[],3,FALSE),"")</f>
        <v/>
      </c>
      <c r="M708" s="4" t="str">
        <f>_xlfn.IFNA(VLOOKUP($J708,WH_Data[],5,FALSE),"")</f>
        <v/>
      </c>
      <c r="N708" s="4" t="str">
        <f>_xlfn.IFNA(VLOOKUP($J708,WH_Data[],7,FALSE),"")</f>
        <v/>
      </c>
      <c r="O708" s="4" t="str">
        <f>_xlfn.IFNA(VLOOKUP($J708,WH_Data[],8,FALSE),"")</f>
        <v/>
      </c>
      <c r="P708" s="8"/>
      <c r="Q708" s="209">
        <f>Mon_ILR2[[#This Row],[Qty Required]]-Mon_ILR2[[#This Row],[QTY Transfer]]</f>
        <v>1</v>
      </c>
      <c r="R708" s="66" t="s">
        <v>905</v>
      </c>
      <c r="S708" s="66" t="s">
        <v>946</v>
      </c>
      <c r="T708" s="210">
        <f>_xlfn.IFNA(VLOOKUP(Mon_ILR2[[#This Row],[New Model]],PhilipsLibary[],4,FALSE),"0")</f>
        <v>7999</v>
      </c>
      <c r="U708" s="210">
        <f>_xlfn.IFNA(VLOOKUP(Mon_ILR2[[#This Row],[New Model]],PhilipsLibary[],5,FALSE),"0")</f>
        <v>0</v>
      </c>
      <c r="V708" s="210">
        <f>_xlfn.IFNA(VLOOKUP(Mon_ILR2[[#This Row],[New Model]],PhilipsLibary[],5,FALSE),"0")</f>
        <v>0</v>
      </c>
      <c r="W708" s="210">
        <f>Mon_ILR2[[#This Row],[Accessory Rate]]+Mon_ILR2[[#This Row],[Mounting Rate]]+Mon_ILR2[[#This Row],[Unit Rate]]*Mon_ILR2[[#This Row],[New Quantity Required ]]</f>
        <v>7999</v>
      </c>
      <c r="X708" s="8"/>
      <c r="Y708" s="246"/>
    </row>
    <row r="709" spans="2:25" ht="15.75" x14ac:dyDescent="0.25">
      <c r="B709" s="207" t="s">
        <v>275</v>
      </c>
      <c r="C709" s="66" t="s">
        <v>705</v>
      </c>
      <c r="D709" s="4" t="s">
        <v>721</v>
      </c>
      <c r="E709" s="4" t="s">
        <v>1027</v>
      </c>
      <c r="F709" s="4" t="s">
        <v>944</v>
      </c>
      <c r="G709" s="4" t="s">
        <v>1181</v>
      </c>
      <c r="H709" s="208">
        <v>1</v>
      </c>
      <c r="I709" s="4"/>
      <c r="J709" s="15"/>
      <c r="K709" s="4" t="str">
        <f>_xlfn.IFNA(VLOOKUP($J709,WH_Data[],6,FALSE),"")</f>
        <v/>
      </c>
      <c r="L709" s="4" t="str">
        <f>_xlfn.IFNA(VLOOKUP($J709,WH_Data[],3,FALSE),"")</f>
        <v/>
      </c>
      <c r="M709" s="4" t="str">
        <f>_xlfn.IFNA(VLOOKUP($J709,WH_Data[],5,FALSE),"")</f>
        <v/>
      </c>
      <c r="N709" s="4" t="str">
        <f>_xlfn.IFNA(VLOOKUP($J709,WH_Data[],7,FALSE),"")</f>
        <v/>
      </c>
      <c r="O709" s="4" t="str">
        <f>_xlfn.IFNA(VLOOKUP($J709,WH_Data[],8,FALSE),"")</f>
        <v/>
      </c>
      <c r="P709" s="8"/>
      <c r="Q709" s="209">
        <f>Mon_ILR2[[#This Row],[Qty Required]]-Mon_ILR2[[#This Row],[QTY Transfer]]</f>
        <v>1</v>
      </c>
      <c r="R709" s="66" t="s">
        <v>905</v>
      </c>
      <c r="S709" s="66" t="s">
        <v>946</v>
      </c>
      <c r="T709" s="210">
        <f>_xlfn.IFNA(VLOOKUP(Mon_ILR2[[#This Row],[New Model]],PhilipsLibary[],4,FALSE),"0")</f>
        <v>7999</v>
      </c>
      <c r="U709" s="210">
        <f>_xlfn.IFNA(VLOOKUP(Mon_ILR2[[#This Row],[New Model]],PhilipsLibary[],5,FALSE),"0")</f>
        <v>0</v>
      </c>
      <c r="V709" s="210">
        <f>_xlfn.IFNA(VLOOKUP(Mon_ILR2[[#This Row],[New Model]],PhilipsLibary[],5,FALSE),"0")</f>
        <v>0</v>
      </c>
      <c r="W709" s="210">
        <f>Mon_ILR2[[#This Row],[Accessory Rate]]+Mon_ILR2[[#This Row],[Mounting Rate]]+Mon_ILR2[[#This Row],[Unit Rate]]*Mon_ILR2[[#This Row],[New Quantity Required ]]</f>
        <v>7999</v>
      </c>
      <c r="X709" s="8"/>
      <c r="Y709" s="246"/>
    </row>
    <row r="710" spans="2:25" ht="15.75" x14ac:dyDescent="0.25">
      <c r="B710" s="207" t="s">
        <v>275</v>
      </c>
      <c r="C710" s="66" t="s">
        <v>722</v>
      </c>
      <c r="D710" s="4" t="s">
        <v>723</v>
      </c>
      <c r="E710" s="4" t="s">
        <v>1027</v>
      </c>
      <c r="F710" s="4" t="s">
        <v>944</v>
      </c>
      <c r="G710" s="4" t="s">
        <v>1181</v>
      </c>
      <c r="H710" s="208">
        <v>1</v>
      </c>
      <c r="I710" s="4"/>
      <c r="J710" s="15"/>
      <c r="K710" s="4" t="str">
        <f>_xlfn.IFNA(VLOOKUP($J710,WH_Data[],6,FALSE),"")</f>
        <v/>
      </c>
      <c r="L710" s="4" t="str">
        <f>_xlfn.IFNA(VLOOKUP($J710,WH_Data[],3,FALSE),"")</f>
        <v/>
      </c>
      <c r="M710" s="4" t="str">
        <f>_xlfn.IFNA(VLOOKUP($J710,WH_Data[],5,FALSE),"")</f>
        <v/>
      </c>
      <c r="N710" s="4" t="str">
        <f>_xlfn.IFNA(VLOOKUP($J710,WH_Data[],7,FALSE),"")</f>
        <v/>
      </c>
      <c r="O710" s="4" t="str">
        <f>_xlfn.IFNA(VLOOKUP($J710,WH_Data[],8,FALSE),"")</f>
        <v/>
      </c>
      <c r="P710" s="8"/>
      <c r="Q710" s="209">
        <f>Mon_ILR2[[#This Row],[Qty Required]]-Mon_ILR2[[#This Row],[QTY Transfer]]</f>
        <v>1</v>
      </c>
      <c r="R710" s="66" t="s">
        <v>905</v>
      </c>
      <c r="S710" s="66" t="s">
        <v>946</v>
      </c>
      <c r="T710" s="210">
        <f>_xlfn.IFNA(VLOOKUP(Mon_ILR2[[#This Row],[New Model]],PhilipsLibary[],4,FALSE),"0")</f>
        <v>7999</v>
      </c>
      <c r="U710" s="210">
        <f>_xlfn.IFNA(VLOOKUP(Mon_ILR2[[#This Row],[New Model]],PhilipsLibary[],5,FALSE),"0")</f>
        <v>0</v>
      </c>
      <c r="V710" s="210">
        <f>_xlfn.IFNA(VLOOKUP(Mon_ILR2[[#This Row],[New Model]],PhilipsLibary[],5,FALSE),"0")</f>
        <v>0</v>
      </c>
      <c r="W710" s="210">
        <f>Mon_ILR2[[#This Row],[Accessory Rate]]+Mon_ILR2[[#This Row],[Mounting Rate]]+Mon_ILR2[[#This Row],[Unit Rate]]*Mon_ILR2[[#This Row],[New Quantity Required ]]</f>
        <v>7999</v>
      </c>
      <c r="X710" s="8"/>
      <c r="Y710" s="246"/>
    </row>
    <row r="711" spans="2:25" ht="15.75" x14ac:dyDescent="0.25">
      <c r="B711" s="207" t="s">
        <v>275</v>
      </c>
      <c r="C711" s="66" t="s">
        <v>722</v>
      </c>
      <c r="D711" s="4" t="s">
        <v>724</v>
      </c>
      <c r="E711" s="4" t="s">
        <v>1027</v>
      </c>
      <c r="F711" s="4" t="s">
        <v>944</v>
      </c>
      <c r="G711" s="4" t="s">
        <v>1181</v>
      </c>
      <c r="H711" s="208">
        <v>1</v>
      </c>
      <c r="I711" s="4"/>
      <c r="J711" s="15"/>
      <c r="K711" s="4" t="str">
        <f>_xlfn.IFNA(VLOOKUP($J711,WH_Data[],6,FALSE),"")</f>
        <v/>
      </c>
      <c r="L711" s="4" t="str">
        <f>_xlfn.IFNA(VLOOKUP($J711,WH_Data[],3,FALSE),"")</f>
        <v/>
      </c>
      <c r="M711" s="4" t="str">
        <f>_xlfn.IFNA(VLOOKUP($J711,WH_Data[],5,FALSE),"")</f>
        <v/>
      </c>
      <c r="N711" s="4" t="str">
        <f>_xlfn.IFNA(VLOOKUP($J711,WH_Data[],7,FALSE),"")</f>
        <v/>
      </c>
      <c r="O711" s="4" t="str">
        <f>_xlfn.IFNA(VLOOKUP($J711,WH_Data[],8,FALSE),"")</f>
        <v/>
      </c>
      <c r="P711" s="8"/>
      <c r="Q711" s="209">
        <f>Mon_ILR2[[#This Row],[Qty Required]]-Mon_ILR2[[#This Row],[QTY Transfer]]</f>
        <v>1</v>
      </c>
      <c r="R711" s="66" t="s">
        <v>905</v>
      </c>
      <c r="S711" s="66" t="s">
        <v>946</v>
      </c>
      <c r="T711" s="210">
        <f>_xlfn.IFNA(VLOOKUP(Mon_ILR2[[#This Row],[New Model]],PhilipsLibary[],4,FALSE),"0")</f>
        <v>7999</v>
      </c>
      <c r="U711" s="210">
        <f>_xlfn.IFNA(VLOOKUP(Mon_ILR2[[#This Row],[New Model]],PhilipsLibary[],5,FALSE),"0")</f>
        <v>0</v>
      </c>
      <c r="V711" s="210">
        <f>_xlfn.IFNA(VLOOKUP(Mon_ILR2[[#This Row],[New Model]],PhilipsLibary[],5,FALSE),"0")</f>
        <v>0</v>
      </c>
      <c r="W711" s="210">
        <f>Mon_ILR2[[#This Row],[Accessory Rate]]+Mon_ILR2[[#This Row],[Mounting Rate]]+Mon_ILR2[[#This Row],[Unit Rate]]*Mon_ILR2[[#This Row],[New Quantity Required ]]</f>
        <v>7999</v>
      </c>
      <c r="X711" s="8"/>
      <c r="Y711" s="246"/>
    </row>
    <row r="712" spans="2:25" ht="15.75" x14ac:dyDescent="0.25">
      <c r="B712" s="207" t="s">
        <v>275</v>
      </c>
      <c r="C712" s="66" t="s">
        <v>693</v>
      </c>
      <c r="D712" s="4" t="s">
        <v>725</v>
      </c>
      <c r="E712" s="4" t="s">
        <v>1027</v>
      </c>
      <c r="F712" s="4" t="s">
        <v>944</v>
      </c>
      <c r="G712" s="4" t="s">
        <v>1181</v>
      </c>
      <c r="H712" s="208">
        <v>1</v>
      </c>
      <c r="I712" s="4"/>
      <c r="J712" s="15"/>
      <c r="K712" s="4" t="str">
        <f>_xlfn.IFNA(VLOOKUP($J712,WH_Data[],6,FALSE),"")</f>
        <v/>
      </c>
      <c r="L712" s="4" t="str">
        <f>_xlfn.IFNA(VLOOKUP($J712,WH_Data[],3,FALSE),"")</f>
        <v/>
      </c>
      <c r="M712" s="4" t="str">
        <f>_xlfn.IFNA(VLOOKUP($J712,WH_Data[],5,FALSE),"")</f>
        <v/>
      </c>
      <c r="N712" s="4" t="str">
        <f>_xlfn.IFNA(VLOOKUP($J712,WH_Data[],7,FALSE),"")</f>
        <v/>
      </c>
      <c r="O712" s="4" t="str">
        <f>_xlfn.IFNA(VLOOKUP($J712,WH_Data[],8,FALSE),"")</f>
        <v/>
      </c>
      <c r="P712" s="8"/>
      <c r="Q712" s="209">
        <f>Mon_ILR2[[#This Row],[Qty Required]]-Mon_ILR2[[#This Row],[QTY Transfer]]</f>
        <v>1</v>
      </c>
      <c r="R712" s="66" t="s">
        <v>905</v>
      </c>
      <c r="S712" s="66" t="s">
        <v>946</v>
      </c>
      <c r="T712" s="210">
        <f>_xlfn.IFNA(VLOOKUP(Mon_ILR2[[#This Row],[New Model]],PhilipsLibary[],4,FALSE),"0")</f>
        <v>7999</v>
      </c>
      <c r="U712" s="210">
        <f>_xlfn.IFNA(VLOOKUP(Mon_ILR2[[#This Row],[New Model]],PhilipsLibary[],5,FALSE),"0")</f>
        <v>0</v>
      </c>
      <c r="V712" s="210">
        <f>_xlfn.IFNA(VLOOKUP(Mon_ILR2[[#This Row],[New Model]],PhilipsLibary[],5,FALSE),"0")</f>
        <v>0</v>
      </c>
      <c r="W712" s="210">
        <f>Mon_ILR2[[#This Row],[Accessory Rate]]+Mon_ILR2[[#This Row],[Mounting Rate]]+Mon_ILR2[[#This Row],[Unit Rate]]*Mon_ILR2[[#This Row],[New Quantity Required ]]</f>
        <v>7999</v>
      </c>
      <c r="X712" s="8"/>
      <c r="Y712" s="246"/>
    </row>
    <row r="713" spans="2:25" ht="15.75" x14ac:dyDescent="0.25">
      <c r="B713" s="207" t="s">
        <v>275</v>
      </c>
      <c r="C713" s="66" t="s">
        <v>693</v>
      </c>
      <c r="D713" s="4" t="s">
        <v>726</v>
      </c>
      <c r="E713" s="4" t="s">
        <v>1027</v>
      </c>
      <c r="F713" s="4" t="s">
        <v>944</v>
      </c>
      <c r="G713" s="4" t="s">
        <v>1181</v>
      </c>
      <c r="H713" s="208">
        <v>1</v>
      </c>
      <c r="I713" s="4"/>
      <c r="J713" s="15"/>
      <c r="K713" s="4" t="str">
        <f>_xlfn.IFNA(VLOOKUP($J713,WH_Data[],6,FALSE),"")</f>
        <v/>
      </c>
      <c r="L713" s="4" t="str">
        <f>_xlfn.IFNA(VLOOKUP($J713,WH_Data[],3,FALSE),"")</f>
        <v/>
      </c>
      <c r="M713" s="4" t="str">
        <f>_xlfn.IFNA(VLOOKUP($J713,WH_Data[],5,FALSE),"")</f>
        <v/>
      </c>
      <c r="N713" s="4" t="str">
        <f>_xlfn.IFNA(VLOOKUP($J713,WH_Data[],7,FALSE),"")</f>
        <v/>
      </c>
      <c r="O713" s="4" t="str">
        <f>_xlfn.IFNA(VLOOKUP($J713,WH_Data[],8,FALSE),"")</f>
        <v/>
      </c>
      <c r="P713" s="8"/>
      <c r="Q713" s="209">
        <f>Mon_ILR2[[#This Row],[Qty Required]]-Mon_ILR2[[#This Row],[QTY Transfer]]</f>
        <v>1</v>
      </c>
      <c r="R713" s="66" t="s">
        <v>905</v>
      </c>
      <c r="S713" s="66" t="s">
        <v>946</v>
      </c>
      <c r="T713" s="210">
        <f>_xlfn.IFNA(VLOOKUP(Mon_ILR2[[#This Row],[New Model]],PhilipsLibary[],4,FALSE),"0")</f>
        <v>7999</v>
      </c>
      <c r="U713" s="210">
        <f>_xlfn.IFNA(VLOOKUP(Mon_ILR2[[#This Row],[New Model]],PhilipsLibary[],5,FALSE),"0")</f>
        <v>0</v>
      </c>
      <c r="V713" s="210">
        <f>_xlfn.IFNA(VLOOKUP(Mon_ILR2[[#This Row],[New Model]],PhilipsLibary[],5,FALSE),"0")</f>
        <v>0</v>
      </c>
      <c r="W713" s="210">
        <f>Mon_ILR2[[#This Row],[Accessory Rate]]+Mon_ILR2[[#This Row],[Mounting Rate]]+Mon_ILR2[[#This Row],[Unit Rate]]*Mon_ILR2[[#This Row],[New Quantity Required ]]</f>
        <v>7999</v>
      </c>
      <c r="X713" s="8"/>
      <c r="Y713" s="246"/>
    </row>
    <row r="714" spans="2:25" ht="15.75" x14ac:dyDescent="0.25">
      <c r="B714" s="207" t="s">
        <v>275</v>
      </c>
      <c r="C714" s="66" t="s">
        <v>693</v>
      </c>
      <c r="D714" s="4" t="s">
        <v>727</v>
      </c>
      <c r="E714" s="4" t="s">
        <v>1027</v>
      </c>
      <c r="F714" s="4" t="s">
        <v>944</v>
      </c>
      <c r="G714" s="4" t="s">
        <v>1181</v>
      </c>
      <c r="H714" s="208">
        <v>1</v>
      </c>
      <c r="I714" s="4"/>
      <c r="J714" s="15"/>
      <c r="K714" s="4" t="str">
        <f>_xlfn.IFNA(VLOOKUP($J714,WH_Data[],6,FALSE),"")</f>
        <v/>
      </c>
      <c r="L714" s="4" t="str">
        <f>_xlfn.IFNA(VLOOKUP($J714,WH_Data[],3,FALSE),"")</f>
        <v/>
      </c>
      <c r="M714" s="4" t="str">
        <f>_xlfn.IFNA(VLOOKUP($J714,WH_Data[],5,FALSE),"")</f>
        <v/>
      </c>
      <c r="N714" s="4" t="str">
        <f>_xlfn.IFNA(VLOOKUP($J714,WH_Data[],7,FALSE),"")</f>
        <v/>
      </c>
      <c r="O714" s="4" t="str">
        <f>_xlfn.IFNA(VLOOKUP($J714,WH_Data[],8,FALSE),"")</f>
        <v/>
      </c>
      <c r="P714" s="8"/>
      <c r="Q714" s="209">
        <f>Mon_ILR2[[#This Row],[Qty Required]]-Mon_ILR2[[#This Row],[QTY Transfer]]</f>
        <v>1</v>
      </c>
      <c r="R714" s="66" t="s">
        <v>905</v>
      </c>
      <c r="S714" s="66" t="s">
        <v>946</v>
      </c>
      <c r="T714" s="210">
        <f>_xlfn.IFNA(VLOOKUP(Mon_ILR2[[#This Row],[New Model]],PhilipsLibary[],4,FALSE),"0")</f>
        <v>7999</v>
      </c>
      <c r="U714" s="210">
        <f>_xlfn.IFNA(VLOOKUP(Mon_ILR2[[#This Row],[New Model]],PhilipsLibary[],5,FALSE),"0")</f>
        <v>0</v>
      </c>
      <c r="V714" s="210">
        <f>_xlfn.IFNA(VLOOKUP(Mon_ILR2[[#This Row],[New Model]],PhilipsLibary[],5,FALSE),"0")</f>
        <v>0</v>
      </c>
      <c r="W714" s="210">
        <f>Mon_ILR2[[#This Row],[Accessory Rate]]+Mon_ILR2[[#This Row],[Mounting Rate]]+Mon_ILR2[[#This Row],[Unit Rate]]*Mon_ILR2[[#This Row],[New Quantity Required ]]</f>
        <v>7999</v>
      </c>
      <c r="X714" s="8"/>
      <c r="Y714" s="246"/>
    </row>
    <row r="715" spans="2:25" ht="15.75" x14ac:dyDescent="0.25">
      <c r="B715" s="207" t="s">
        <v>275</v>
      </c>
      <c r="C715" s="66" t="s">
        <v>693</v>
      </c>
      <c r="D715" s="4" t="s">
        <v>728</v>
      </c>
      <c r="E715" s="4" t="s">
        <v>1027</v>
      </c>
      <c r="F715" s="4" t="s">
        <v>944</v>
      </c>
      <c r="G715" s="4" t="s">
        <v>1181</v>
      </c>
      <c r="H715" s="208">
        <v>1</v>
      </c>
      <c r="I715" s="4"/>
      <c r="J715" s="15"/>
      <c r="K715" s="4" t="str">
        <f>_xlfn.IFNA(VLOOKUP($J715,WH_Data[],6,FALSE),"")</f>
        <v/>
      </c>
      <c r="L715" s="4" t="str">
        <f>_xlfn.IFNA(VLOOKUP($J715,WH_Data[],3,FALSE),"")</f>
        <v/>
      </c>
      <c r="M715" s="4" t="str">
        <f>_xlfn.IFNA(VLOOKUP($J715,WH_Data[],5,FALSE),"")</f>
        <v/>
      </c>
      <c r="N715" s="4" t="str">
        <f>_xlfn.IFNA(VLOOKUP($J715,WH_Data[],7,FALSE),"")</f>
        <v/>
      </c>
      <c r="O715" s="4" t="str">
        <f>_xlfn.IFNA(VLOOKUP($J715,WH_Data[],8,FALSE),"")</f>
        <v/>
      </c>
      <c r="P715" s="8"/>
      <c r="Q715" s="209">
        <f>Mon_ILR2[[#This Row],[Qty Required]]-Mon_ILR2[[#This Row],[QTY Transfer]]</f>
        <v>1</v>
      </c>
      <c r="R715" s="66" t="s">
        <v>905</v>
      </c>
      <c r="S715" s="66" t="s">
        <v>946</v>
      </c>
      <c r="T715" s="210">
        <f>_xlfn.IFNA(VLOOKUP(Mon_ILR2[[#This Row],[New Model]],PhilipsLibary[],4,FALSE),"0")</f>
        <v>7999</v>
      </c>
      <c r="U715" s="210">
        <f>_xlfn.IFNA(VLOOKUP(Mon_ILR2[[#This Row],[New Model]],PhilipsLibary[],5,FALSE),"0")</f>
        <v>0</v>
      </c>
      <c r="V715" s="210">
        <f>_xlfn.IFNA(VLOOKUP(Mon_ILR2[[#This Row],[New Model]],PhilipsLibary[],5,FALSE),"0")</f>
        <v>0</v>
      </c>
      <c r="W715" s="210">
        <f>Mon_ILR2[[#This Row],[Accessory Rate]]+Mon_ILR2[[#This Row],[Mounting Rate]]+Mon_ILR2[[#This Row],[Unit Rate]]*Mon_ILR2[[#This Row],[New Quantity Required ]]</f>
        <v>7999</v>
      </c>
      <c r="X715" s="8"/>
      <c r="Y715" s="246"/>
    </row>
    <row r="716" spans="2:25" ht="15.75" x14ac:dyDescent="0.25">
      <c r="B716" s="207" t="s">
        <v>275</v>
      </c>
      <c r="C716" s="66" t="s">
        <v>693</v>
      </c>
      <c r="D716" s="4" t="s">
        <v>729</v>
      </c>
      <c r="E716" s="4" t="s">
        <v>1027</v>
      </c>
      <c r="F716" s="4" t="s">
        <v>944</v>
      </c>
      <c r="G716" s="4" t="s">
        <v>1181</v>
      </c>
      <c r="H716" s="208">
        <v>1</v>
      </c>
      <c r="I716" s="4"/>
      <c r="J716" s="15"/>
      <c r="K716" s="4" t="str">
        <f>_xlfn.IFNA(VLOOKUP($J716,WH_Data[],6,FALSE),"")</f>
        <v/>
      </c>
      <c r="L716" s="4" t="str">
        <f>_xlfn.IFNA(VLOOKUP($J716,WH_Data[],3,FALSE),"")</f>
        <v/>
      </c>
      <c r="M716" s="4" t="str">
        <f>_xlfn.IFNA(VLOOKUP($J716,WH_Data[],5,FALSE),"")</f>
        <v/>
      </c>
      <c r="N716" s="4" t="str">
        <f>_xlfn.IFNA(VLOOKUP($J716,WH_Data[],7,FALSE),"")</f>
        <v/>
      </c>
      <c r="O716" s="4" t="str">
        <f>_xlfn.IFNA(VLOOKUP($J716,WH_Data[],8,FALSE),"")</f>
        <v/>
      </c>
      <c r="P716" s="8"/>
      <c r="Q716" s="209">
        <f>Mon_ILR2[[#This Row],[Qty Required]]-Mon_ILR2[[#This Row],[QTY Transfer]]</f>
        <v>1</v>
      </c>
      <c r="R716" s="66" t="s">
        <v>905</v>
      </c>
      <c r="S716" s="66" t="s">
        <v>946</v>
      </c>
      <c r="T716" s="210">
        <f>_xlfn.IFNA(VLOOKUP(Mon_ILR2[[#This Row],[New Model]],PhilipsLibary[],4,FALSE),"0")</f>
        <v>7999</v>
      </c>
      <c r="U716" s="210">
        <f>_xlfn.IFNA(VLOOKUP(Mon_ILR2[[#This Row],[New Model]],PhilipsLibary[],5,FALSE),"0")</f>
        <v>0</v>
      </c>
      <c r="V716" s="210">
        <f>_xlfn.IFNA(VLOOKUP(Mon_ILR2[[#This Row],[New Model]],PhilipsLibary[],5,FALSE),"0")</f>
        <v>0</v>
      </c>
      <c r="W716" s="210">
        <f>Mon_ILR2[[#This Row],[Accessory Rate]]+Mon_ILR2[[#This Row],[Mounting Rate]]+Mon_ILR2[[#This Row],[Unit Rate]]*Mon_ILR2[[#This Row],[New Quantity Required ]]</f>
        <v>7999</v>
      </c>
      <c r="X716" s="8"/>
      <c r="Y716" s="246"/>
    </row>
    <row r="717" spans="2:25" ht="15.75" x14ac:dyDescent="0.25">
      <c r="B717" s="207" t="s">
        <v>275</v>
      </c>
      <c r="C717" s="66" t="s">
        <v>693</v>
      </c>
      <c r="D717" s="4" t="s">
        <v>730</v>
      </c>
      <c r="E717" s="4" t="s">
        <v>1027</v>
      </c>
      <c r="F717" s="4" t="s">
        <v>944</v>
      </c>
      <c r="G717" s="4" t="s">
        <v>1181</v>
      </c>
      <c r="H717" s="208">
        <v>1</v>
      </c>
      <c r="I717" s="4"/>
      <c r="J717" s="15"/>
      <c r="K717" s="4" t="str">
        <f>_xlfn.IFNA(VLOOKUP($J717,WH_Data[],6,FALSE),"")</f>
        <v/>
      </c>
      <c r="L717" s="4" t="str">
        <f>_xlfn.IFNA(VLOOKUP($J717,WH_Data[],3,FALSE),"")</f>
        <v/>
      </c>
      <c r="M717" s="4" t="str">
        <f>_xlfn.IFNA(VLOOKUP($J717,WH_Data[],5,FALSE),"")</f>
        <v/>
      </c>
      <c r="N717" s="4" t="str">
        <f>_xlfn.IFNA(VLOOKUP($J717,WH_Data[],7,FALSE),"")</f>
        <v/>
      </c>
      <c r="O717" s="4" t="str">
        <f>_xlfn.IFNA(VLOOKUP($J717,WH_Data[],8,FALSE),"")</f>
        <v/>
      </c>
      <c r="P717" s="8"/>
      <c r="Q717" s="209">
        <f>Mon_ILR2[[#This Row],[Qty Required]]-Mon_ILR2[[#This Row],[QTY Transfer]]</f>
        <v>1</v>
      </c>
      <c r="R717" s="66" t="s">
        <v>905</v>
      </c>
      <c r="S717" s="66" t="s">
        <v>946</v>
      </c>
      <c r="T717" s="210">
        <f>_xlfn.IFNA(VLOOKUP(Mon_ILR2[[#This Row],[New Model]],PhilipsLibary[],4,FALSE),"0")</f>
        <v>7999</v>
      </c>
      <c r="U717" s="210">
        <f>_xlfn.IFNA(VLOOKUP(Mon_ILR2[[#This Row],[New Model]],PhilipsLibary[],5,FALSE),"0")</f>
        <v>0</v>
      </c>
      <c r="V717" s="210">
        <f>_xlfn.IFNA(VLOOKUP(Mon_ILR2[[#This Row],[New Model]],PhilipsLibary[],5,FALSE),"0")</f>
        <v>0</v>
      </c>
      <c r="W717" s="210">
        <f>Mon_ILR2[[#This Row],[Accessory Rate]]+Mon_ILR2[[#This Row],[Mounting Rate]]+Mon_ILR2[[#This Row],[Unit Rate]]*Mon_ILR2[[#This Row],[New Quantity Required ]]</f>
        <v>7999</v>
      </c>
      <c r="X717" s="8"/>
      <c r="Y717" s="246"/>
    </row>
    <row r="718" spans="2:25" ht="15.75" x14ac:dyDescent="0.25">
      <c r="B718" s="207" t="s">
        <v>275</v>
      </c>
      <c r="C718" s="66" t="s">
        <v>705</v>
      </c>
      <c r="D718" s="4" t="s">
        <v>731</v>
      </c>
      <c r="E718" s="4" t="s">
        <v>1027</v>
      </c>
      <c r="F718" s="4" t="s">
        <v>944</v>
      </c>
      <c r="G718" s="4" t="s">
        <v>1181</v>
      </c>
      <c r="H718" s="208">
        <v>1</v>
      </c>
      <c r="I718" s="4"/>
      <c r="J718" s="15"/>
      <c r="K718" s="4" t="str">
        <f>_xlfn.IFNA(VLOOKUP($J718,WH_Data[],6,FALSE),"")</f>
        <v/>
      </c>
      <c r="L718" s="4" t="str">
        <f>_xlfn.IFNA(VLOOKUP($J718,WH_Data[],3,FALSE),"")</f>
        <v/>
      </c>
      <c r="M718" s="4" t="str">
        <f>_xlfn.IFNA(VLOOKUP($J718,WH_Data[],5,FALSE),"")</f>
        <v/>
      </c>
      <c r="N718" s="4" t="str">
        <f>_xlfn.IFNA(VLOOKUP($J718,WH_Data[],7,FALSE),"")</f>
        <v/>
      </c>
      <c r="O718" s="4" t="str">
        <f>_xlfn.IFNA(VLOOKUP($J718,WH_Data[],8,FALSE),"")</f>
        <v/>
      </c>
      <c r="P718" s="8"/>
      <c r="Q718" s="209">
        <f>Mon_ILR2[[#This Row],[Qty Required]]-Mon_ILR2[[#This Row],[QTY Transfer]]</f>
        <v>1</v>
      </c>
      <c r="R718" s="66" t="s">
        <v>905</v>
      </c>
      <c r="S718" s="66" t="s">
        <v>946</v>
      </c>
      <c r="T718" s="210">
        <f>_xlfn.IFNA(VLOOKUP(Mon_ILR2[[#This Row],[New Model]],PhilipsLibary[],4,FALSE),"0")</f>
        <v>7999</v>
      </c>
      <c r="U718" s="210">
        <f>_xlfn.IFNA(VLOOKUP(Mon_ILR2[[#This Row],[New Model]],PhilipsLibary[],5,FALSE),"0")</f>
        <v>0</v>
      </c>
      <c r="V718" s="210">
        <f>_xlfn.IFNA(VLOOKUP(Mon_ILR2[[#This Row],[New Model]],PhilipsLibary[],5,FALSE),"0")</f>
        <v>0</v>
      </c>
      <c r="W718" s="210">
        <f>Mon_ILR2[[#This Row],[Accessory Rate]]+Mon_ILR2[[#This Row],[Mounting Rate]]+Mon_ILR2[[#This Row],[Unit Rate]]*Mon_ILR2[[#This Row],[New Quantity Required ]]</f>
        <v>7999</v>
      </c>
      <c r="X718" s="8"/>
      <c r="Y718" s="246"/>
    </row>
    <row r="719" spans="2:25" ht="60" customHeight="1" x14ac:dyDescent="0.25">
      <c r="B719" s="207" t="s">
        <v>275</v>
      </c>
      <c r="C719" s="66" t="s">
        <v>693</v>
      </c>
      <c r="D719" s="4" t="s">
        <v>732</v>
      </c>
      <c r="E719" s="4" t="s">
        <v>1027</v>
      </c>
      <c r="F719" s="4" t="s">
        <v>944</v>
      </c>
      <c r="G719" s="4" t="s">
        <v>1181</v>
      </c>
      <c r="H719" s="208">
        <v>1</v>
      </c>
      <c r="I719" s="4"/>
      <c r="J719" s="15"/>
      <c r="K719" s="4" t="str">
        <f>_xlfn.IFNA(VLOOKUP($J719,WH_Data[],6,FALSE),"")</f>
        <v/>
      </c>
      <c r="L719" s="4" t="str">
        <f>_xlfn.IFNA(VLOOKUP($J719,WH_Data[],3,FALSE),"")</f>
        <v/>
      </c>
      <c r="M719" s="4" t="str">
        <f>_xlfn.IFNA(VLOOKUP($J719,WH_Data[],5,FALSE),"")</f>
        <v/>
      </c>
      <c r="N719" s="4" t="str">
        <f>_xlfn.IFNA(VLOOKUP($J719,WH_Data[],7,FALSE),"")</f>
        <v/>
      </c>
      <c r="O719" s="4" t="str">
        <f>_xlfn.IFNA(VLOOKUP($J719,WH_Data[],8,FALSE),"")</f>
        <v/>
      </c>
      <c r="P719" s="8"/>
      <c r="Q719" s="209">
        <f>Mon_ILR2[[#This Row],[Qty Required]]-Mon_ILR2[[#This Row],[QTY Transfer]]</f>
        <v>1</v>
      </c>
      <c r="R719" s="66" t="s">
        <v>905</v>
      </c>
      <c r="S719" s="66" t="s">
        <v>946</v>
      </c>
      <c r="T719" s="210">
        <f>_xlfn.IFNA(VLOOKUP(Mon_ILR2[[#This Row],[New Model]],PhilipsLibary[],4,FALSE),"0")</f>
        <v>7999</v>
      </c>
      <c r="U719" s="210">
        <f>_xlfn.IFNA(VLOOKUP(Mon_ILR2[[#This Row],[New Model]],PhilipsLibary[],5,FALSE),"0")</f>
        <v>0</v>
      </c>
      <c r="V719" s="210">
        <f>_xlfn.IFNA(VLOOKUP(Mon_ILR2[[#This Row],[New Model]],PhilipsLibary[],5,FALSE),"0")</f>
        <v>0</v>
      </c>
      <c r="W719" s="210">
        <f>Mon_ILR2[[#This Row],[Accessory Rate]]+Mon_ILR2[[#This Row],[Mounting Rate]]+Mon_ILR2[[#This Row],[Unit Rate]]*Mon_ILR2[[#This Row],[New Quantity Required ]]</f>
        <v>7999</v>
      </c>
      <c r="X719" s="8"/>
      <c r="Y719" s="246"/>
    </row>
    <row r="720" spans="2:25" ht="15.75" x14ac:dyDescent="0.25">
      <c r="B720" s="207" t="s">
        <v>275</v>
      </c>
      <c r="C720" s="66" t="s">
        <v>693</v>
      </c>
      <c r="D720" s="4" t="s">
        <v>733</v>
      </c>
      <c r="E720" s="4" t="s">
        <v>1027</v>
      </c>
      <c r="F720" s="4" t="s">
        <v>944</v>
      </c>
      <c r="G720" s="4" t="s">
        <v>1181</v>
      </c>
      <c r="H720" s="208">
        <v>1</v>
      </c>
      <c r="I720" s="4"/>
      <c r="J720" s="15"/>
      <c r="K720" s="4" t="str">
        <f>_xlfn.IFNA(VLOOKUP($J720,WH_Data[],6,FALSE),"")</f>
        <v/>
      </c>
      <c r="L720" s="4" t="str">
        <f>_xlfn.IFNA(VLOOKUP($J720,WH_Data[],3,FALSE),"")</f>
        <v/>
      </c>
      <c r="M720" s="4" t="str">
        <f>_xlfn.IFNA(VLOOKUP($J720,WH_Data[],5,FALSE),"")</f>
        <v/>
      </c>
      <c r="N720" s="4" t="str">
        <f>_xlfn.IFNA(VLOOKUP($J720,WH_Data[],7,FALSE),"")</f>
        <v/>
      </c>
      <c r="O720" s="4" t="str">
        <f>_xlfn.IFNA(VLOOKUP($J720,WH_Data[],8,FALSE),"")</f>
        <v/>
      </c>
      <c r="P720" s="8"/>
      <c r="Q720" s="209">
        <f>Mon_ILR2[[#This Row],[Qty Required]]-Mon_ILR2[[#This Row],[QTY Transfer]]</f>
        <v>1</v>
      </c>
      <c r="R720" s="66" t="s">
        <v>905</v>
      </c>
      <c r="S720" s="66" t="s">
        <v>946</v>
      </c>
      <c r="T720" s="210">
        <f>_xlfn.IFNA(VLOOKUP(Mon_ILR2[[#This Row],[New Model]],PhilipsLibary[],4,FALSE),"0")</f>
        <v>7999</v>
      </c>
      <c r="U720" s="210">
        <f>_xlfn.IFNA(VLOOKUP(Mon_ILR2[[#This Row],[New Model]],PhilipsLibary[],5,FALSE),"0")</f>
        <v>0</v>
      </c>
      <c r="V720" s="210">
        <f>_xlfn.IFNA(VLOOKUP(Mon_ILR2[[#This Row],[New Model]],PhilipsLibary[],5,FALSE),"0")</f>
        <v>0</v>
      </c>
      <c r="W720" s="210">
        <f>Mon_ILR2[[#This Row],[Accessory Rate]]+Mon_ILR2[[#This Row],[Mounting Rate]]+Mon_ILR2[[#This Row],[Unit Rate]]*Mon_ILR2[[#This Row],[New Quantity Required ]]</f>
        <v>7999</v>
      </c>
      <c r="X720" s="8"/>
      <c r="Y720" s="246"/>
    </row>
    <row r="721" spans="2:25" ht="15.75" x14ac:dyDescent="0.25">
      <c r="B721" s="207" t="s">
        <v>275</v>
      </c>
      <c r="C721" s="66" t="s">
        <v>734</v>
      </c>
      <c r="D721" s="4" t="s">
        <v>735</v>
      </c>
      <c r="E721" s="4" t="s">
        <v>1027</v>
      </c>
      <c r="F721" s="4" t="s">
        <v>944</v>
      </c>
      <c r="G721" s="4" t="s">
        <v>1181</v>
      </c>
      <c r="H721" s="208">
        <v>1</v>
      </c>
      <c r="I721" s="4"/>
      <c r="J721" s="15"/>
      <c r="K721" s="4" t="str">
        <f>_xlfn.IFNA(VLOOKUP($J721,WH_Data[],6,FALSE),"")</f>
        <v/>
      </c>
      <c r="L721" s="4" t="str">
        <f>_xlfn.IFNA(VLOOKUP($J721,WH_Data[],3,FALSE),"")</f>
        <v/>
      </c>
      <c r="M721" s="4" t="str">
        <f>_xlfn.IFNA(VLOOKUP($J721,WH_Data[],5,FALSE),"")</f>
        <v/>
      </c>
      <c r="N721" s="4" t="str">
        <f>_xlfn.IFNA(VLOOKUP($J721,WH_Data[],7,FALSE),"")</f>
        <v/>
      </c>
      <c r="O721" s="4" t="str">
        <f>_xlfn.IFNA(VLOOKUP($J721,WH_Data[],8,FALSE),"")</f>
        <v/>
      </c>
      <c r="P721" s="8"/>
      <c r="Q721" s="209">
        <f>Mon_ILR2[[#This Row],[Qty Required]]-Mon_ILR2[[#This Row],[QTY Transfer]]</f>
        <v>1</v>
      </c>
      <c r="R721" s="66" t="s">
        <v>905</v>
      </c>
      <c r="S721" s="66" t="s">
        <v>946</v>
      </c>
      <c r="T721" s="210">
        <f>_xlfn.IFNA(VLOOKUP(Mon_ILR2[[#This Row],[New Model]],PhilipsLibary[],4,FALSE),"0")</f>
        <v>7999</v>
      </c>
      <c r="U721" s="210">
        <f>_xlfn.IFNA(VLOOKUP(Mon_ILR2[[#This Row],[New Model]],PhilipsLibary[],5,FALSE),"0")</f>
        <v>0</v>
      </c>
      <c r="V721" s="210">
        <f>_xlfn.IFNA(VLOOKUP(Mon_ILR2[[#This Row],[New Model]],PhilipsLibary[],5,FALSE),"0")</f>
        <v>0</v>
      </c>
      <c r="W721" s="210">
        <f>Mon_ILR2[[#This Row],[Accessory Rate]]+Mon_ILR2[[#This Row],[Mounting Rate]]+Mon_ILR2[[#This Row],[Unit Rate]]*Mon_ILR2[[#This Row],[New Quantity Required ]]</f>
        <v>7999</v>
      </c>
      <c r="X721" s="8"/>
      <c r="Y721" s="246"/>
    </row>
    <row r="722" spans="2:25" ht="15.75" x14ac:dyDescent="0.25">
      <c r="B722" s="207" t="s">
        <v>275</v>
      </c>
      <c r="C722" s="66" t="s">
        <v>609</v>
      </c>
      <c r="D722" s="4" t="s">
        <v>736</v>
      </c>
      <c r="E722" s="4" t="s">
        <v>1027</v>
      </c>
      <c r="F722" s="4" t="s">
        <v>944</v>
      </c>
      <c r="G722" s="4" t="s">
        <v>1181</v>
      </c>
      <c r="H722" s="208">
        <v>1</v>
      </c>
      <c r="I722" s="4"/>
      <c r="J722" s="15"/>
      <c r="K722" s="4" t="str">
        <f>_xlfn.IFNA(VLOOKUP($J722,WH_Data[],6,FALSE),"")</f>
        <v/>
      </c>
      <c r="L722" s="4" t="str">
        <f>_xlfn.IFNA(VLOOKUP($J722,WH_Data[],3,FALSE),"")</f>
        <v/>
      </c>
      <c r="M722" s="4" t="str">
        <f>_xlfn.IFNA(VLOOKUP($J722,WH_Data[],5,FALSE),"")</f>
        <v/>
      </c>
      <c r="N722" s="4" t="str">
        <f>_xlfn.IFNA(VLOOKUP($J722,WH_Data[],7,FALSE),"")</f>
        <v/>
      </c>
      <c r="O722" s="4" t="str">
        <f>_xlfn.IFNA(VLOOKUP($J722,WH_Data[],8,FALSE),"")</f>
        <v/>
      </c>
      <c r="P722" s="8"/>
      <c r="Q722" s="209">
        <f>Mon_ILR2[[#This Row],[Qty Required]]-Mon_ILR2[[#This Row],[QTY Transfer]]</f>
        <v>1</v>
      </c>
      <c r="R722" s="66" t="s">
        <v>905</v>
      </c>
      <c r="S722" s="66" t="s">
        <v>946</v>
      </c>
      <c r="T722" s="210">
        <f>_xlfn.IFNA(VLOOKUP(Mon_ILR2[[#This Row],[New Model]],PhilipsLibary[],4,FALSE),"0")</f>
        <v>7999</v>
      </c>
      <c r="U722" s="210">
        <f>_xlfn.IFNA(VLOOKUP(Mon_ILR2[[#This Row],[New Model]],PhilipsLibary[],5,FALSE),"0")</f>
        <v>0</v>
      </c>
      <c r="V722" s="210">
        <f>_xlfn.IFNA(VLOOKUP(Mon_ILR2[[#This Row],[New Model]],PhilipsLibary[],5,FALSE),"0")</f>
        <v>0</v>
      </c>
      <c r="W722" s="210">
        <f>Mon_ILR2[[#This Row],[Accessory Rate]]+Mon_ILR2[[#This Row],[Mounting Rate]]+Mon_ILR2[[#This Row],[Unit Rate]]*Mon_ILR2[[#This Row],[New Quantity Required ]]</f>
        <v>7999</v>
      </c>
      <c r="X722" s="8"/>
      <c r="Y722" s="246"/>
    </row>
    <row r="723" spans="2:25" ht="15.75" x14ac:dyDescent="0.25">
      <c r="B723" s="207" t="s">
        <v>275</v>
      </c>
      <c r="C723" s="66" t="s">
        <v>705</v>
      </c>
      <c r="D723" s="4" t="s">
        <v>737</v>
      </c>
      <c r="E723" s="4" t="s">
        <v>1027</v>
      </c>
      <c r="F723" s="4" t="s">
        <v>944</v>
      </c>
      <c r="G723" s="4" t="s">
        <v>1181</v>
      </c>
      <c r="H723" s="208">
        <v>1</v>
      </c>
      <c r="I723" s="4"/>
      <c r="J723" s="15"/>
      <c r="K723" s="4" t="str">
        <f>_xlfn.IFNA(VLOOKUP($J723,WH_Data[],6,FALSE),"")</f>
        <v/>
      </c>
      <c r="L723" s="4" t="str">
        <f>_xlfn.IFNA(VLOOKUP($J723,WH_Data[],3,FALSE),"")</f>
        <v/>
      </c>
      <c r="M723" s="4" t="str">
        <f>_xlfn.IFNA(VLOOKUP($J723,WH_Data[],5,FALSE),"")</f>
        <v/>
      </c>
      <c r="N723" s="4" t="str">
        <f>_xlfn.IFNA(VLOOKUP($J723,WH_Data[],7,FALSE),"")</f>
        <v/>
      </c>
      <c r="O723" s="4" t="str">
        <f>_xlfn.IFNA(VLOOKUP($J723,WH_Data[],8,FALSE),"")</f>
        <v/>
      </c>
      <c r="P723" s="8"/>
      <c r="Q723" s="209">
        <f>Mon_ILR2[[#This Row],[Qty Required]]-Mon_ILR2[[#This Row],[QTY Transfer]]</f>
        <v>1</v>
      </c>
      <c r="R723" s="66" t="s">
        <v>905</v>
      </c>
      <c r="S723" s="66" t="s">
        <v>946</v>
      </c>
      <c r="T723" s="210">
        <f>_xlfn.IFNA(VLOOKUP(Mon_ILR2[[#This Row],[New Model]],PhilipsLibary[],4,FALSE),"0")</f>
        <v>7999</v>
      </c>
      <c r="U723" s="210">
        <f>_xlfn.IFNA(VLOOKUP(Mon_ILR2[[#This Row],[New Model]],PhilipsLibary[],5,FALSE),"0")</f>
        <v>0</v>
      </c>
      <c r="V723" s="210">
        <f>_xlfn.IFNA(VLOOKUP(Mon_ILR2[[#This Row],[New Model]],PhilipsLibary[],5,FALSE),"0")</f>
        <v>0</v>
      </c>
      <c r="W723" s="210">
        <f>Mon_ILR2[[#This Row],[Accessory Rate]]+Mon_ILR2[[#This Row],[Mounting Rate]]+Mon_ILR2[[#This Row],[Unit Rate]]*Mon_ILR2[[#This Row],[New Quantity Required ]]</f>
        <v>7999</v>
      </c>
      <c r="X723" s="8"/>
      <c r="Y723" s="246"/>
    </row>
    <row r="724" spans="2:25" ht="15.75" x14ac:dyDescent="0.25">
      <c r="B724" s="207" t="s">
        <v>275</v>
      </c>
      <c r="C724" s="66" t="s">
        <v>734</v>
      </c>
      <c r="D724" s="4" t="s">
        <v>738</v>
      </c>
      <c r="E724" s="4" t="s">
        <v>1027</v>
      </c>
      <c r="F724" s="4" t="s">
        <v>944</v>
      </c>
      <c r="G724" s="4" t="s">
        <v>1181</v>
      </c>
      <c r="H724" s="208">
        <v>1</v>
      </c>
      <c r="I724" s="4"/>
      <c r="J724" s="15"/>
      <c r="K724" s="4" t="str">
        <f>_xlfn.IFNA(VLOOKUP($J724,WH_Data[],6,FALSE),"")</f>
        <v/>
      </c>
      <c r="L724" s="4" t="str">
        <f>_xlfn.IFNA(VLOOKUP($J724,WH_Data[],3,FALSE),"")</f>
        <v/>
      </c>
      <c r="M724" s="4" t="str">
        <f>_xlfn.IFNA(VLOOKUP($J724,WH_Data[],5,FALSE),"")</f>
        <v/>
      </c>
      <c r="N724" s="4" t="str">
        <f>_xlfn.IFNA(VLOOKUP($J724,WH_Data[],7,FALSE),"")</f>
        <v/>
      </c>
      <c r="O724" s="4" t="str">
        <f>_xlfn.IFNA(VLOOKUP($J724,WH_Data[],8,FALSE),"")</f>
        <v/>
      </c>
      <c r="P724" s="8"/>
      <c r="Q724" s="209">
        <f>Mon_ILR2[[#This Row],[Qty Required]]-Mon_ILR2[[#This Row],[QTY Transfer]]</f>
        <v>1</v>
      </c>
      <c r="R724" s="66" t="s">
        <v>905</v>
      </c>
      <c r="S724" s="66" t="s">
        <v>946</v>
      </c>
      <c r="T724" s="210">
        <f>_xlfn.IFNA(VLOOKUP(Mon_ILR2[[#This Row],[New Model]],PhilipsLibary[],4,FALSE),"0")</f>
        <v>7999</v>
      </c>
      <c r="U724" s="210">
        <f>_xlfn.IFNA(VLOOKUP(Mon_ILR2[[#This Row],[New Model]],PhilipsLibary[],5,FALSE),"0")</f>
        <v>0</v>
      </c>
      <c r="V724" s="210">
        <f>_xlfn.IFNA(VLOOKUP(Mon_ILR2[[#This Row],[New Model]],PhilipsLibary[],5,FALSE),"0")</f>
        <v>0</v>
      </c>
      <c r="W724" s="210">
        <f>Mon_ILR2[[#This Row],[Accessory Rate]]+Mon_ILR2[[#This Row],[Mounting Rate]]+Mon_ILR2[[#This Row],[Unit Rate]]*Mon_ILR2[[#This Row],[New Quantity Required ]]</f>
        <v>7999</v>
      </c>
      <c r="X724" s="8"/>
      <c r="Y724" s="246"/>
    </row>
    <row r="725" spans="2:25" ht="15.75" x14ac:dyDescent="0.25">
      <c r="B725" s="207" t="s">
        <v>275</v>
      </c>
      <c r="C725" s="66" t="s">
        <v>734</v>
      </c>
      <c r="D725" s="4" t="s">
        <v>739</v>
      </c>
      <c r="E725" s="4" t="s">
        <v>1027</v>
      </c>
      <c r="F725" s="4" t="s">
        <v>944</v>
      </c>
      <c r="G725" s="4" t="s">
        <v>1181</v>
      </c>
      <c r="H725" s="208">
        <v>1</v>
      </c>
      <c r="I725" s="4"/>
      <c r="J725" s="15"/>
      <c r="K725" s="4" t="str">
        <f>_xlfn.IFNA(VLOOKUP($J725,WH_Data[],6,FALSE),"")</f>
        <v/>
      </c>
      <c r="L725" s="4" t="str">
        <f>_xlfn.IFNA(VLOOKUP($J725,WH_Data[],3,FALSE),"")</f>
        <v/>
      </c>
      <c r="M725" s="4" t="str">
        <f>_xlfn.IFNA(VLOOKUP($J725,WH_Data[],5,FALSE),"")</f>
        <v/>
      </c>
      <c r="N725" s="4" t="str">
        <f>_xlfn.IFNA(VLOOKUP($J725,WH_Data[],7,FALSE),"")</f>
        <v/>
      </c>
      <c r="O725" s="4" t="str">
        <f>_xlfn.IFNA(VLOOKUP($J725,WH_Data[],8,FALSE),"")</f>
        <v/>
      </c>
      <c r="P725" s="8"/>
      <c r="Q725" s="209">
        <f>Mon_ILR2[[#This Row],[Qty Required]]-Mon_ILR2[[#This Row],[QTY Transfer]]</f>
        <v>1</v>
      </c>
      <c r="R725" s="66" t="s">
        <v>905</v>
      </c>
      <c r="S725" s="66" t="s">
        <v>946</v>
      </c>
      <c r="T725" s="210">
        <f>_xlfn.IFNA(VLOOKUP(Mon_ILR2[[#This Row],[New Model]],PhilipsLibary[],4,FALSE),"0")</f>
        <v>7999</v>
      </c>
      <c r="U725" s="210">
        <f>_xlfn.IFNA(VLOOKUP(Mon_ILR2[[#This Row],[New Model]],PhilipsLibary[],5,FALSE),"0")</f>
        <v>0</v>
      </c>
      <c r="V725" s="210">
        <f>_xlfn.IFNA(VLOOKUP(Mon_ILR2[[#This Row],[New Model]],PhilipsLibary[],5,FALSE),"0")</f>
        <v>0</v>
      </c>
      <c r="W725" s="210">
        <f>Mon_ILR2[[#This Row],[Accessory Rate]]+Mon_ILR2[[#This Row],[Mounting Rate]]+Mon_ILR2[[#This Row],[Unit Rate]]*Mon_ILR2[[#This Row],[New Quantity Required ]]</f>
        <v>7999</v>
      </c>
      <c r="X725" s="8"/>
      <c r="Y725" s="246"/>
    </row>
    <row r="726" spans="2:25" ht="15.75" x14ac:dyDescent="0.25">
      <c r="B726" s="207" t="s">
        <v>275</v>
      </c>
      <c r="C726" s="66" t="s">
        <v>734</v>
      </c>
      <c r="D726" s="4" t="s">
        <v>740</v>
      </c>
      <c r="E726" s="4" t="s">
        <v>1027</v>
      </c>
      <c r="F726" s="4" t="s">
        <v>944</v>
      </c>
      <c r="G726" s="4" t="s">
        <v>1181</v>
      </c>
      <c r="H726" s="208">
        <v>1</v>
      </c>
      <c r="I726" s="4"/>
      <c r="J726" s="15"/>
      <c r="K726" s="4" t="str">
        <f>_xlfn.IFNA(VLOOKUP($J726,WH_Data[],6,FALSE),"")</f>
        <v/>
      </c>
      <c r="L726" s="4" t="str">
        <f>_xlfn.IFNA(VLOOKUP($J726,WH_Data[],3,FALSE),"")</f>
        <v/>
      </c>
      <c r="M726" s="4" t="str">
        <f>_xlfn.IFNA(VLOOKUP($J726,WH_Data[],5,FALSE),"")</f>
        <v/>
      </c>
      <c r="N726" s="4" t="str">
        <f>_xlfn.IFNA(VLOOKUP($J726,WH_Data[],7,FALSE),"")</f>
        <v/>
      </c>
      <c r="O726" s="4" t="str">
        <f>_xlfn.IFNA(VLOOKUP($J726,WH_Data[],8,FALSE),"")</f>
        <v/>
      </c>
      <c r="P726" s="8"/>
      <c r="Q726" s="209">
        <f>Mon_ILR2[[#This Row],[Qty Required]]-Mon_ILR2[[#This Row],[QTY Transfer]]</f>
        <v>1</v>
      </c>
      <c r="R726" s="66" t="s">
        <v>905</v>
      </c>
      <c r="S726" s="66" t="s">
        <v>946</v>
      </c>
      <c r="T726" s="210">
        <f>_xlfn.IFNA(VLOOKUP(Mon_ILR2[[#This Row],[New Model]],PhilipsLibary[],4,FALSE),"0")</f>
        <v>7999</v>
      </c>
      <c r="U726" s="210">
        <f>_xlfn.IFNA(VLOOKUP(Mon_ILR2[[#This Row],[New Model]],PhilipsLibary[],5,FALSE),"0")</f>
        <v>0</v>
      </c>
      <c r="V726" s="210">
        <f>_xlfn.IFNA(VLOOKUP(Mon_ILR2[[#This Row],[New Model]],PhilipsLibary[],5,FALSE),"0")</f>
        <v>0</v>
      </c>
      <c r="W726" s="210">
        <f>Mon_ILR2[[#This Row],[Accessory Rate]]+Mon_ILR2[[#This Row],[Mounting Rate]]+Mon_ILR2[[#This Row],[Unit Rate]]*Mon_ILR2[[#This Row],[New Quantity Required ]]</f>
        <v>7999</v>
      </c>
      <c r="X726" s="8"/>
      <c r="Y726" s="246"/>
    </row>
    <row r="727" spans="2:25" ht="15.75" x14ac:dyDescent="0.25">
      <c r="B727" s="207" t="s">
        <v>275</v>
      </c>
      <c r="C727" s="66" t="s">
        <v>734</v>
      </c>
      <c r="D727" s="4" t="s">
        <v>741</v>
      </c>
      <c r="E727" s="4" t="s">
        <v>1027</v>
      </c>
      <c r="F727" s="4" t="s">
        <v>944</v>
      </c>
      <c r="G727" s="4" t="s">
        <v>1181</v>
      </c>
      <c r="H727" s="208">
        <v>1</v>
      </c>
      <c r="I727" s="4"/>
      <c r="J727" s="15"/>
      <c r="K727" s="4" t="str">
        <f>_xlfn.IFNA(VLOOKUP($J727,WH_Data[],6,FALSE),"")</f>
        <v/>
      </c>
      <c r="L727" s="4" t="str">
        <f>_xlfn.IFNA(VLOOKUP($J727,WH_Data[],3,FALSE),"")</f>
        <v/>
      </c>
      <c r="M727" s="4" t="str">
        <f>_xlfn.IFNA(VLOOKUP($J727,WH_Data[],5,FALSE),"")</f>
        <v/>
      </c>
      <c r="N727" s="4" t="str">
        <f>_xlfn.IFNA(VLOOKUP($J727,WH_Data[],7,FALSE),"")</f>
        <v/>
      </c>
      <c r="O727" s="4" t="str">
        <f>_xlfn.IFNA(VLOOKUP($J727,WH_Data[],8,FALSE),"")</f>
        <v/>
      </c>
      <c r="P727" s="8"/>
      <c r="Q727" s="209">
        <f>Mon_ILR2[[#This Row],[Qty Required]]-Mon_ILR2[[#This Row],[QTY Transfer]]</f>
        <v>1</v>
      </c>
      <c r="R727" s="66" t="s">
        <v>905</v>
      </c>
      <c r="S727" s="66" t="s">
        <v>946</v>
      </c>
      <c r="T727" s="210">
        <f>_xlfn.IFNA(VLOOKUP(Mon_ILR2[[#This Row],[New Model]],PhilipsLibary[],4,FALSE),"0")</f>
        <v>7999</v>
      </c>
      <c r="U727" s="210">
        <f>_xlfn.IFNA(VLOOKUP(Mon_ILR2[[#This Row],[New Model]],PhilipsLibary[],5,FALSE),"0")</f>
        <v>0</v>
      </c>
      <c r="V727" s="210">
        <f>_xlfn.IFNA(VLOOKUP(Mon_ILR2[[#This Row],[New Model]],PhilipsLibary[],5,FALSE),"0")</f>
        <v>0</v>
      </c>
      <c r="W727" s="210">
        <f>Mon_ILR2[[#This Row],[Accessory Rate]]+Mon_ILR2[[#This Row],[Mounting Rate]]+Mon_ILR2[[#This Row],[Unit Rate]]*Mon_ILR2[[#This Row],[New Quantity Required ]]</f>
        <v>7999</v>
      </c>
      <c r="X727" s="8"/>
      <c r="Y727" s="246"/>
    </row>
    <row r="728" spans="2:25" ht="15.75" x14ac:dyDescent="0.25">
      <c r="B728" s="207" t="s">
        <v>275</v>
      </c>
      <c r="C728" s="66" t="s">
        <v>734</v>
      </c>
      <c r="D728" s="4" t="s">
        <v>742</v>
      </c>
      <c r="E728" s="4" t="s">
        <v>1027</v>
      </c>
      <c r="F728" s="4" t="s">
        <v>944</v>
      </c>
      <c r="G728" s="4" t="s">
        <v>1181</v>
      </c>
      <c r="H728" s="208">
        <v>1</v>
      </c>
      <c r="I728" s="4"/>
      <c r="J728" s="15"/>
      <c r="K728" s="4" t="str">
        <f>_xlfn.IFNA(VLOOKUP($J728,WH_Data[],6,FALSE),"")</f>
        <v/>
      </c>
      <c r="L728" s="4" t="str">
        <f>_xlfn.IFNA(VLOOKUP($J728,WH_Data[],3,FALSE),"")</f>
        <v/>
      </c>
      <c r="M728" s="4" t="str">
        <f>_xlfn.IFNA(VLOOKUP($J728,WH_Data[],5,FALSE),"")</f>
        <v/>
      </c>
      <c r="N728" s="4" t="str">
        <f>_xlfn.IFNA(VLOOKUP($J728,WH_Data[],7,FALSE),"")</f>
        <v/>
      </c>
      <c r="O728" s="4" t="str">
        <f>_xlfn.IFNA(VLOOKUP($J728,WH_Data[],8,FALSE),"")</f>
        <v/>
      </c>
      <c r="P728" s="8"/>
      <c r="Q728" s="209">
        <f>Mon_ILR2[[#This Row],[Qty Required]]-Mon_ILR2[[#This Row],[QTY Transfer]]</f>
        <v>1</v>
      </c>
      <c r="R728" s="66" t="s">
        <v>905</v>
      </c>
      <c r="S728" s="66" t="s">
        <v>946</v>
      </c>
      <c r="T728" s="210">
        <f>_xlfn.IFNA(VLOOKUP(Mon_ILR2[[#This Row],[New Model]],PhilipsLibary[],4,FALSE),"0")</f>
        <v>7999</v>
      </c>
      <c r="U728" s="210">
        <f>_xlfn.IFNA(VLOOKUP(Mon_ILR2[[#This Row],[New Model]],PhilipsLibary[],5,FALSE),"0")</f>
        <v>0</v>
      </c>
      <c r="V728" s="210">
        <f>_xlfn.IFNA(VLOOKUP(Mon_ILR2[[#This Row],[New Model]],PhilipsLibary[],5,FALSE),"0")</f>
        <v>0</v>
      </c>
      <c r="W728" s="210">
        <f>Mon_ILR2[[#This Row],[Accessory Rate]]+Mon_ILR2[[#This Row],[Mounting Rate]]+Mon_ILR2[[#This Row],[Unit Rate]]*Mon_ILR2[[#This Row],[New Quantity Required ]]</f>
        <v>7999</v>
      </c>
      <c r="X728" s="8"/>
      <c r="Y728" s="246"/>
    </row>
    <row r="729" spans="2:25" ht="15.75" x14ac:dyDescent="0.25">
      <c r="B729" s="207" t="s">
        <v>275</v>
      </c>
      <c r="C729" s="66" t="s">
        <v>705</v>
      </c>
      <c r="D729" s="4" t="s">
        <v>743</v>
      </c>
      <c r="E729" s="4" t="s">
        <v>1027</v>
      </c>
      <c r="F729" s="4" t="s">
        <v>944</v>
      </c>
      <c r="G729" s="4" t="s">
        <v>1181</v>
      </c>
      <c r="H729" s="208">
        <v>1</v>
      </c>
      <c r="I729" s="4"/>
      <c r="J729" s="15"/>
      <c r="K729" s="4" t="str">
        <f>_xlfn.IFNA(VLOOKUP($J729,WH_Data[],6,FALSE),"")</f>
        <v/>
      </c>
      <c r="L729" s="4" t="str">
        <f>_xlfn.IFNA(VLOOKUP($J729,WH_Data[],3,FALSE),"")</f>
        <v/>
      </c>
      <c r="M729" s="4" t="str">
        <f>_xlfn.IFNA(VLOOKUP($J729,WH_Data[],5,FALSE),"")</f>
        <v/>
      </c>
      <c r="N729" s="4" t="str">
        <f>_xlfn.IFNA(VLOOKUP($J729,WH_Data[],7,FALSE),"")</f>
        <v/>
      </c>
      <c r="O729" s="4" t="str">
        <f>_xlfn.IFNA(VLOOKUP($J729,WH_Data[],8,FALSE),"")</f>
        <v/>
      </c>
      <c r="P729" s="8"/>
      <c r="Q729" s="209">
        <f>Mon_ILR2[[#This Row],[Qty Required]]-Mon_ILR2[[#This Row],[QTY Transfer]]</f>
        <v>1</v>
      </c>
      <c r="R729" s="66" t="s">
        <v>905</v>
      </c>
      <c r="S729" s="66" t="s">
        <v>946</v>
      </c>
      <c r="T729" s="210">
        <f>_xlfn.IFNA(VLOOKUP(Mon_ILR2[[#This Row],[New Model]],PhilipsLibary[],4,FALSE),"0")</f>
        <v>7999</v>
      </c>
      <c r="U729" s="210">
        <f>_xlfn.IFNA(VLOOKUP(Mon_ILR2[[#This Row],[New Model]],PhilipsLibary[],5,FALSE),"0")</f>
        <v>0</v>
      </c>
      <c r="V729" s="210">
        <f>_xlfn.IFNA(VLOOKUP(Mon_ILR2[[#This Row],[New Model]],PhilipsLibary[],5,FALSE),"0")</f>
        <v>0</v>
      </c>
      <c r="W729" s="210">
        <f>Mon_ILR2[[#This Row],[Accessory Rate]]+Mon_ILR2[[#This Row],[Mounting Rate]]+Mon_ILR2[[#This Row],[Unit Rate]]*Mon_ILR2[[#This Row],[New Quantity Required ]]</f>
        <v>7999</v>
      </c>
      <c r="X729" s="8"/>
      <c r="Y729" s="246"/>
    </row>
    <row r="730" spans="2:25" ht="15.75" x14ac:dyDescent="0.25">
      <c r="B730" s="207" t="s">
        <v>275</v>
      </c>
      <c r="C730" s="66" t="s">
        <v>705</v>
      </c>
      <c r="D730" s="4" t="s">
        <v>744</v>
      </c>
      <c r="E730" s="4" t="s">
        <v>1027</v>
      </c>
      <c r="F730" s="4" t="s">
        <v>944</v>
      </c>
      <c r="G730" s="4" t="s">
        <v>1181</v>
      </c>
      <c r="H730" s="208">
        <v>1</v>
      </c>
      <c r="I730" s="4"/>
      <c r="J730" s="15"/>
      <c r="K730" s="4" t="str">
        <f>_xlfn.IFNA(VLOOKUP($J730,WH_Data[],6,FALSE),"")</f>
        <v/>
      </c>
      <c r="L730" s="4" t="str">
        <f>_xlfn.IFNA(VLOOKUP($J730,WH_Data[],3,FALSE),"")</f>
        <v/>
      </c>
      <c r="M730" s="4" t="str">
        <f>_xlfn.IFNA(VLOOKUP($J730,WH_Data[],5,FALSE),"")</f>
        <v/>
      </c>
      <c r="N730" s="4" t="str">
        <f>_xlfn.IFNA(VLOOKUP($J730,WH_Data[],7,FALSE),"")</f>
        <v/>
      </c>
      <c r="O730" s="4" t="str">
        <f>_xlfn.IFNA(VLOOKUP($J730,WH_Data[],8,FALSE),"")</f>
        <v/>
      </c>
      <c r="P730" s="8"/>
      <c r="Q730" s="209">
        <f>Mon_ILR2[[#This Row],[Qty Required]]-Mon_ILR2[[#This Row],[QTY Transfer]]</f>
        <v>1</v>
      </c>
      <c r="R730" s="66" t="s">
        <v>905</v>
      </c>
      <c r="S730" s="66" t="s">
        <v>946</v>
      </c>
      <c r="T730" s="210">
        <f>_xlfn.IFNA(VLOOKUP(Mon_ILR2[[#This Row],[New Model]],PhilipsLibary[],4,FALSE),"0")</f>
        <v>7999</v>
      </c>
      <c r="U730" s="210">
        <f>_xlfn.IFNA(VLOOKUP(Mon_ILR2[[#This Row],[New Model]],PhilipsLibary[],5,FALSE),"0")</f>
        <v>0</v>
      </c>
      <c r="V730" s="210">
        <f>_xlfn.IFNA(VLOOKUP(Mon_ILR2[[#This Row],[New Model]],PhilipsLibary[],5,FALSE),"0")</f>
        <v>0</v>
      </c>
      <c r="W730" s="210">
        <f>Mon_ILR2[[#This Row],[Accessory Rate]]+Mon_ILR2[[#This Row],[Mounting Rate]]+Mon_ILR2[[#This Row],[Unit Rate]]*Mon_ILR2[[#This Row],[New Quantity Required ]]</f>
        <v>7999</v>
      </c>
      <c r="X730" s="8"/>
      <c r="Y730" s="246"/>
    </row>
    <row r="731" spans="2:25" ht="15.75" x14ac:dyDescent="0.25">
      <c r="B731" s="207" t="s">
        <v>275</v>
      </c>
      <c r="C731" s="66" t="s">
        <v>705</v>
      </c>
      <c r="D731" s="4" t="s">
        <v>745</v>
      </c>
      <c r="E731" s="4" t="s">
        <v>1027</v>
      </c>
      <c r="F731" s="4" t="s">
        <v>944</v>
      </c>
      <c r="G731" s="4" t="s">
        <v>1181</v>
      </c>
      <c r="H731" s="208">
        <v>1</v>
      </c>
      <c r="I731" s="4"/>
      <c r="J731" s="15"/>
      <c r="K731" s="4" t="str">
        <f>_xlfn.IFNA(VLOOKUP($J731,WH_Data[],6,FALSE),"")</f>
        <v/>
      </c>
      <c r="L731" s="4" t="str">
        <f>_xlfn.IFNA(VLOOKUP($J731,WH_Data[],3,FALSE),"")</f>
        <v/>
      </c>
      <c r="M731" s="4" t="str">
        <f>_xlfn.IFNA(VLOOKUP($J731,WH_Data[],5,FALSE),"")</f>
        <v/>
      </c>
      <c r="N731" s="4" t="str">
        <f>_xlfn.IFNA(VLOOKUP($J731,WH_Data[],7,FALSE),"")</f>
        <v/>
      </c>
      <c r="O731" s="4" t="str">
        <f>_xlfn.IFNA(VLOOKUP($J731,WH_Data[],8,FALSE),"")</f>
        <v/>
      </c>
      <c r="P731" s="8"/>
      <c r="Q731" s="209">
        <f>Mon_ILR2[[#This Row],[Qty Required]]-Mon_ILR2[[#This Row],[QTY Transfer]]</f>
        <v>1</v>
      </c>
      <c r="R731" s="66" t="s">
        <v>905</v>
      </c>
      <c r="S731" s="66" t="s">
        <v>946</v>
      </c>
      <c r="T731" s="210">
        <f>_xlfn.IFNA(VLOOKUP(Mon_ILR2[[#This Row],[New Model]],PhilipsLibary[],4,FALSE),"0")</f>
        <v>7999</v>
      </c>
      <c r="U731" s="210">
        <f>_xlfn.IFNA(VLOOKUP(Mon_ILR2[[#This Row],[New Model]],PhilipsLibary[],5,FALSE),"0")</f>
        <v>0</v>
      </c>
      <c r="V731" s="210">
        <f>_xlfn.IFNA(VLOOKUP(Mon_ILR2[[#This Row],[New Model]],PhilipsLibary[],5,FALSE),"0")</f>
        <v>0</v>
      </c>
      <c r="W731" s="210">
        <f>Mon_ILR2[[#This Row],[Accessory Rate]]+Mon_ILR2[[#This Row],[Mounting Rate]]+Mon_ILR2[[#This Row],[Unit Rate]]*Mon_ILR2[[#This Row],[New Quantity Required ]]</f>
        <v>7999</v>
      </c>
      <c r="X731" s="8"/>
      <c r="Y731" s="246"/>
    </row>
    <row r="732" spans="2:25" ht="15.75" x14ac:dyDescent="0.25">
      <c r="B732" s="207" t="s">
        <v>275</v>
      </c>
      <c r="C732" s="66" t="s">
        <v>609</v>
      </c>
      <c r="D732" s="4" t="s">
        <v>746</v>
      </c>
      <c r="E732" s="4" t="s">
        <v>1027</v>
      </c>
      <c r="F732" s="4" t="s">
        <v>944</v>
      </c>
      <c r="G732" s="4" t="s">
        <v>1181</v>
      </c>
      <c r="H732" s="208">
        <v>1</v>
      </c>
      <c r="I732" s="4"/>
      <c r="J732" s="15"/>
      <c r="K732" s="4" t="str">
        <f>_xlfn.IFNA(VLOOKUP($J732,WH_Data[],6,FALSE),"")</f>
        <v/>
      </c>
      <c r="L732" s="4" t="str">
        <f>_xlfn.IFNA(VLOOKUP($J732,WH_Data[],3,FALSE),"")</f>
        <v/>
      </c>
      <c r="M732" s="4" t="str">
        <f>_xlfn.IFNA(VLOOKUP($J732,WH_Data[],5,FALSE),"")</f>
        <v/>
      </c>
      <c r="N732" s="4" t="str">
        <f>_xlfn.IFNA(VLOOKUP($J732,WH_Data[],7,FALSE),"")</f>
        <v/>
      </c>
      <c r="O732" s="4" t="str">
        <f>_xlfn.IFNA(VLOOKUP($J732,WH_Data[],8,FALSE),"")</f>
        <v/>
      </c>
      <c r="P732" s="8"/>
      <c r="Q732" s="209">
        <f>Mon_ILR2[[#This Row],[Qty Required]]-Mon_ILR2[[#This Row],[QTY Transfer]]</f>
        <v>1</v>
      </c>
      <c r="R732" s="66" t="s">
        <v>905</v>
      </c>
      <c r="S732" s="66" t="s">
        <v>946</v>
      </c>
      <c r="T732" s="210">
        <f>_xlfn.IFNA(VLOOKUP(Mon_ILR2[[#This Row],[New Model]],PhilipsLibary[],4,FALSE),"0")</f>
        <v>7999</v>
      </c>
      <c r="U732" s="210">
        <f>_xlfn.IFNA(VLOOKUP(Mon_ILR2[[#This Row],[New Model]],PhilipsLibary[],5,FALSE),"0")</f>
        <v>0</v>
      </c>
      <c r="V732" s="210">
        <f>_xlfn.IFNA(VLOOKUP(Mon_ILR2[[#This Row],[New Model]],PhilipsLibary[],5,FALSE),"0")</f>
        <v>0</v>
      </c>
      <c r="W732" s="210">
        <f>Mon_ILR2[[#This Row],[Accessory Rate]]+Mon_ILR2[[#This Row],[Mounting Rate]]+Mon_ILR2[[#This Row],[Unit Rate]]*Mon_ILR2[[#This Row],[New Quantity Required ]]</f>
        <v>7999</v>
      </c>
      <c r="X732" s="8"/>
      <c r="Y732" s="246"/>
    </row>
    <row r="733" spans="2:25" ht="15.75" x14ac:dyDescent="0.25">
      <c r="B733" s="207" t="s">
        <v>275</v>
      </c>
      <c r="C733" s="66" t="s">
        <v>734</v>
      </c>
      <c r="D733" s="4" t="s">
        <v>747</v>
      </c>
      <c r="E733" s="4" t="s">
        <v>1027</v>
      </c>
      <c r="F733" s="4" t="s">
        <v>944</v>
      </c>
      <c r="G733" s="4" t="s">
        <v>1181</v>
      </c>
      <c r="H733" s="208">
        <v>1</v>
      </c>
      <c r="I733" s="4"/>
      <c r="J733" s="15"/>
      <c r="K733" s="4" t="str">
        <f>_xlfn.IFNA(VLOOKUP($J733,WH_Data[],6,FALSE),"")</f>
        <v/>
      </c>
      <c r="L733" s="4" t="str">
        <f>_xlfn.IFNA(VLOOKUP($J733,WH_Data[],3,FALSE),"")</f>
        <v/>
      </c>
      <c r="M733" s="4" t="str">
        <f>_xlfn.IFNA(VLOOKUP($J733,WH_Data[],5,FALSE),"")</f>
        <v/>
      </c>
      <c r="N733" s="4" t="str">
        <f>_xlfn.IFNA(VLOOKUP($J733,WH_Data[],7,FALSE),"")</f>
        <v/>
      </c>
      <c r="O733" s="4" t="str">
        <f>_xlfn.IFNA(VLOOKUP($J733,WH_Data[],8,FALSE),"")</f>
        <v/>
      </c>
      <c r="P733" s="8"/>
      <c r="Q733" s="209">
        <f>Mon_ILR2[[#This Row],[Qty Required]]-Mon_ILR2[[#This Row],[QTY Transfer]]</f>
        <v>1</v>
      </c>
      <c r="R733" s="66" t="s">
        <v>905</v>
      </c>
      <c r="S733" s="66" t="s">
        <v>946</v>
      </c>
      <c r="T733" s="210">
        <f>_xlfn.IFNA(VLOOKUP(Mon_ILR2[[#This Row],[New Model]],PhilipsLibary[],4,FALSE),"0")</f>
        <v>7999</v>
      </c>
      <c r="U733" s="210">
        <f>_xlfn.IFNA(VLOOKUP(Mon_ILR2[[#This Row],[New Model]],PhilipsLibary[],5,FALSE),"0")</f>
        <v>0</v>
      </c>
      <c r="V733" s="210">
        <f>_xlfn.IFNA(VLOOKUP(Mon_ILR2[[#This Row],[New Model]],PhilipsLibary[],5,FALSE),"0")</f>
        <v>0</v>
      </c>
      <c r="W733" s="210">
        <f>Mon_ILR2[[#This Row],[Accessory Rate]]+Mon_ILR2[[#This Row],[Mounting Rate]]+Mon_ILR2[[#This Row],[Unit Rate]]*Mon_ILR2[[#This Row],[New Quantity Required ]]</f>
        <v>7999</v>
      </c>
      <c r="X733" s="8"/>
      <c r="Y733" s="246"/>
    </row>
    <row r="734" spans="2:25" ht="15.75" x14ac:dyDescent="0.25">
      <c r="B734" s="207" t="s">
        <v>275</v>
      </c>
      <c r="C734" s="66" t="s">
        <v>734</v>
      </c>
      <c r="D734" s="4" t="s">
        <v>748</v>
      </c>
      <c r="E734" s="4" t="s">
        <v>1027</v>
      </c>
      <c r="F734" s="4" t="s">
        <v>944</v>
      </c>
      <c r="G734" s="4" t="s">
        <v>1181</v>
      </c>
      <c r="H734" s="208">
        <v>1</v>
      </c>
      <c r="I734" s="4"/>
      <c r="J734" s="15"/>
      <c r="K734" s="4" t="str">
        <f>_xlfn.IFNA(VLOOKUP($J734,WH_Data[],6,FALSE),"")</f>
        <v/>
      </c>
      <c r="L734" s="4" t="str">
        <f>_xlfn.IFNA(VLOOKUP($J734,WH_Data[],3,FALSE),"")</f>
        <v/>
      </c>
      <c r="M734" s="4" t="str">
        <f>_xlfn.IFNA(VLOOKUP($J734,WH_Data[],5,FALSE),"")</f>
        <v/>
      </c>
      <c r="N734" s="4" t="str">
        <f>_xlfn.IFNA(VLOOKUP($J734,WH_Data[],7,FALSE),"")</f>
        <v/>
      </c>
      <c r="O734" s="4" t="str">
        <f>_xlfn.IFNA(VLOOKUP($J734,WH_Data[],8,FALSE),"")</f>
        <v/>
      </c>
      <c r="P734" s="8"/>
      <c r="Q734" s="209">
        <f>Mon_ILR2[[#This Row],[Qty Required]]-Mon_ILR2[[#This Row],[QTY Transfer]]</f>
        <v>1</v>
      </c>
      <c r="R734" s="66" t="s">
        <v>905</v>
      </c>
      <c r="S734" s="66" t="s">
        <v>946</v>
      </c>
      <c r="T734" s="210">
        <f>_xlfn.IFNA(VLOOKUP(Mon_ILR2[[#This Row],[New Model]],PhilipsLibary[],4,FALSE),"0")</f>
        <v>7999</v>
      </c>
      <c r="U734" s="210">
        <f>_xlfn.IFNA(VLOOKUP(Mon_ILR2[[#This Row],[New Model]],PhilipsLibary[],5,FALSE),"0")</f>
        <v>0</v>
      </c>
      <c r="V734" s="210">
        <f>_xlfn.IFNA(VLOOKUP(Mon_ILR2[[#This Row],[New Model]],PhilipsLibary[],5,FALSE),"0")</f>
        <v>0</v>
      </c>
      <c r="W734" s="210">
        <f>Mon_ILR2[[#This Row],[Accessory Rate]]+Mon_ILR2[[#This Row],[Mounting Rate]]+Mon_ILR2[[#This Row],[Unit Rate]]*Mon_ILR2[[#This Row],[New Quantity Required ]]</f>
        <v>7999</v>
      </c>
      <c r="X734" s="8"/>
      <c r="Y734" s="246"/>
    </row>
    <row r="735" spans="2:25" ht="15.75" x14ac:dyDescent="0.25">
      <c r="B735" s="207" t="s">
        <v>275</v>
      </c>
      <c r="C735" s="66" t="s">
        <v>734</v>
      </c>
      <c r="D735" s="4" t="s">
        <v>749</v>
      </c>
      <c r="E735" s="4" t="s">
        <v>1027</v>
      </c>
      <c r="F735" s="4" t="s">
        <v>944</v>
      </c>
      <c r="G735" s="4" t="s">
        <v>1181</v>
      </c>
      <c r="H735" s="208">
        <v>1</v>
      </c>
      <c r="I735" s="4"/>
      <c r="J735" s="15"/>
      <c r="K735" s="4" t="str">
        <f>_xlfn.IFNA(VLOOKUP($J735,WH_Data[],6,FALSE),"")</f>
        <v/>
      </c>
      <c r="L735" s="4" t="str">
        <f>_xlfn.IFNA(VLOOKUP($J735,WH_Data[],3,FALSE),"")</f>
        <v/>
      </c>
      <c r="M735" s="4" t="str">
        <f>_xlfn.IFNA(VLOOKUP($J735,WH_Data[],5,FALSE),"")</f>
        <v/>
      </c>
      <c r="N735" s="4" t="str">
        <f>_xlfn.IFNA(VLOOKUP($J735,WH_Data[],7,FALSE),"")</f>
        <v/>
      </c>
      <c r="O735" s="4" t="str">
        <f>_xlfn.IFNA(VLOOKUP($J735,WH_Data[],8,FALSE),"")</f>
        <v/>
      </c>
      <c r="P735" s="8"/>
      <c r="Q735" s="209">
        <f>Mon_ILR2[[#This Row],[Qty Required]]-Mon_ILR2[[#This Row],[QTY Transfer]]</f>
        <v>1</v>
      </c>
      <c r="R735" s="66" t="s">
        <v>905</v>
      </c>
      <c r="S735" s="66" t="s">
        <v>946</v>
      </c>
      <c r="T735" s="210">
        <f>_xlfn.IFNA(VLOOKUP(Mon_ILR2[[#This Row],[New Model]],PhilipsLibary[],4,FALSE),"0")</f>
        <v>7999</v>
      </c>
      <c r="U735" s="210">
        <f>_xlfn.IFNA(VLOOKUP(Mon_ILR2[[#This Row],[New Model]],PhilipsLibary[],5,FALSE),"0")</f>
        <v>0</v>
      </c>
      <c r="V735" s="210">
        <f>_xlfn.IFNA(VLOOKUP(Mon_ILR2[[#This Row],[New Model]],PhilipsLibary[],5,FALSE),"0")</f>
        <v>0</v>
      </c>
      <c r="W735" s="210">
        <f>Mon_ILR2[[#This Row],[Accessory Rate]]+Mon_ILR2[[#This Row],[Mounting Rate]]+Mon_ILR2[[#This Row],[Unit Rate]]*Mon_ILR2[[#This Row],[New Quantity Required ]]</f>
        <v>7999</v>
      </c>
      <c r="X735" s="8"/>
      <c r="Y735" s="246"/>
    </row>
    <row r="736" spans="2:25" ht="15.75" x14ac:dyDescent="0.25">
      <c r="B736" s="207" t="s">
        <v>275</v>
      </c>
      <c r="C736" s="66" t="s">
        <v>734</v>
      </c>
      <c r="D736" s="4" t="s">
        <v>750</v>
      </c>
      <c r="E736" s="4" t="s">
        <v>1027</v>
      </c>
      <c r="F736" s="4" t="s">
        <v>944</v>
      </c>
      <c r="G736" s="4" t="s">
        <v>1181</v>
      </c>
      <c r="H736" s="208">
        <v>1</v>
      </c>
      <c r="I736" s="4"/>
      <c r="J736" s="15"/>
      <c r="K736" s="4" t="str">
        <f>_xlfn.IFNA(VLOOKUP($J736,WH_Data[],6,FALSE),"")</f>
        <v/>
      </c>
      <c r="L736" s="4" t="str">
        <f>_xlfn.IFNA(VLOOKUP($J736,WH_Data[],3,FALSE),"")</f>
        <v/>
      </c>
      <c r="M736" s="4" t="str">
        <f>_xlfn.IFNA(VLOOKUP($J736,WH_Data[],5,FALSE),"")</f>
        <v/>
      </c>
      <c r="N736" s="4" t="str">
        <f>_xlfn.IFNA(VLOOKUP($J736,WH_Data[],7,FALSE),"")</f>
        <v/>
      </c>
      <c r="O736" s="4" t="str">
        <f>_xlfn.IFNA(VLOOKUP($J736,WH_Data[],8,FALSE),"")</f>
        <v/>
      </c>
      <c r="P736" s="8"/>
      <c r="Q736" s="209">
        <f>Mon_ILR2[[#This Row],[Qty Required]]-Mon_ILR2[[#This Row],[QTY Transfer]]</f>
        <v>1</v>
      </c>
      <c r="R736" s="66" t="s">
        <v>905</v>
      </c>
      <c r="S736" s="66" t="s">
        <v>946</v>
      </c>
      <c r="T736" s="210">
        <f>_xlfn.IFNA(VLOOKUP(Mon_ILR2[[#This Row],[New Model]],PhilipsLibary[],4,FALSE),"0")</f>
        <v>7999</v>
      </c>
      <c r="U736" s="210">
        <f>_xlfn.IFNA(VLOOKUP(Mon_ILR2[[#This Row],[New Model]],PhilipsLibary[],5,FALSE),"0")</f>
        <v>0</v>
      </c>
      <c r="V736" s="210">
        <f>_xlfn.IFNA(VLOOKUP(Mon_ILR2[[#This Row],[New Model]],PhilipsLibary[],5,FALSE),"0")</f>
        <v>0</v>
      </c>
      <c r="W736" s="210">
        <f>Mon_ILR2[[#This Row],[Accessory Rate]]+Mon_ILR2[[#This Row],[Mounting Rate]]+Mon_ILR2[[#This Row],[Unit Rate]]*Mon_ILR2[[#This Row],[New Quantity Required ]]</f>
        <v>7999</v>
      </c>
      <c r="X736" s="8"/>
      <c r="Y736" s="246"/>
    </row>
    <row r="737" spans="2:25" ht="15.75" x14ac:dyDescent="0.25">
      <c r="B737" s="207" t="s">
        <v>275</v>
      </c>
      <c r="C737" s="66" t="s">
        <v>734</v>
      </c>
      <c r="D737" s="4" t="s">
        <v>751</v>
      </c>
      <c r="E737" s="4" t="s">
        <v>1027</v>
      </c>
      <c r="F737" s="4" t="s">
        <v>944</v>
      </c>
      <c r="G737" s="4" t="s">
        <v>1181</v>
      </c>
      <c r="H737" s="208">
        <v>1</v>
      </c>
      <c r="I737" s="4"/>
      <c r="J737" s="15"/>
      <c r="K737" s="4" t="str">
        <f>_xlfn.IFNA(VLOOKUP($J737,WH_Data[],6,FALSE),"")</f>
        <v/>
      </c>
      <c r="L737" s="4" t="str">
        <f>_xlfn.IFNA(VLOOKUP($J737,WH_Data[],3,FALSE),"")</f>
        <v/>
      </c>
      <c r="M737" s="4" t="str">
        <f>_xlfn.IFNA(VLOOKUP($J737,WH_Data[],5,FALSE),"")</f>
        <v/>
      </c>
      <c r="N737" s="4" t="str">
        <f>_xlfn.IFNA(VLOOKUP($J737,WH_Data[],7,FALSE),"")</f>
        <v/>
      </c>
      <c r="O737" s="4" t="str">
        <f>_xlfn.IFNA(VLOOKUP($J737,WH_Data[],8,FALSE),"")</f>
        <v/>
      </c>
      <c r="P737" s="8"/>
      <c r="Q737" s="209">
        <f>Mon_ILR2[[#This Row],[Qty Required]]-Mon_ILR2[[#This Row],[QTY Transfer]]</f>
        <v>1</v>
      </c>
      <c r="R737" s="66" t="s">
        <v>905</v>
      </c>
      <c r="S737" s="66" t="s">
        <v>946</v>
      </c>
      <c r="T737" s="210">
        <f>_xlfn.IFNA(VLOOKUP(Mon_ILR2[[#This Row],[New Model]],PhilipsLibary[],4,FALSE),"0")</f>
        <v>7999</v>
      </c>
      <c r="U737" s="210">
        <f>_xlfn.IFNA(VLOOKUP(Mon_ILR2[[#This Row],[New Model]],PhilipsLibary[],5,FALSE),"0")</f>
        <v>0</v>
      </c>
      <c r="V737" s="210">
        <f>_xlfn.IFNA(VLOOKUP(Mon_ILR2[[#This Row],[New Model]],PhilipsLibary[],5,FALSE),"0")</f>
        <v>0</v>
      </c>
      <c r="W737" s="210">
        <f>Mon_ILR2[[#This Row],[Accessory Rate]]+Mon_ILR2[[#This Row],[Mounting Rate]]+Mon_ILR2[[#This Row],[Unit Rate]]*Mon_ILR2[[#This Row],[New Quantity Required ]]</f>
        <v>7999</v>
      </c>
      <c r="X737" s="8"/>
      <c r="Y737" s="246"/>
    </row>
    <row r="738" spans="2:25" ht="15.75" x14ac:dyDescent="0.25">
      <c r="B738" s="207" t="s">
        <v>275</v>
      </c>
      <c r="C738" s="66" t="s">
        <v>734</v>
      </c>
      <c r="D738" s="4" t="s">
        <v>752</v>
      </c>
      <c r="E738" s="4" t="s">
        <v>1027</v>
      </c>
      <c r="F738" s="4" t="s">
        <v>944</v>
      </c>
      <c r="G738" s="4" t="s">
        <v>1181</v>
      </c>
      <c r="H738" s="208">
        <v>1</v>
      </c>
      <c r="I738" s="4"/>
      <c r="J738" s="15"/>
      <c r="K738" s="4" t="str">
        <f>_xlfn.IFNA(VLOOKUP($J738,WH_Data[],6,FALSE),"")</f>
        <v/>
      </c>
      <c r="L738" s="4" t="str">
        <f>_xlfn.IFNA(VLOOKUP($J738,WH_Data[],3,FALSE),"")</f>
        <v/>
      </c>
      <c r="M738" s="4" t="str">
        <f>_xlfn.IFNA(VLOOKUP($J738,WH_Data[],5,FALSE),"")</f>
        <v/>
      </c>
      <c r="N738" s="4" t="str">
        <f>_xlfn.IFNA(VLOOKUP($J738,WH_Data[],7,FALSE),"")</f>
        <v/>
      </c>
      <c r="O738" s="4" t="str">
        <f>_xlfn.IFNA(VLOOKUP($J738,WH_Data[],8,FALSE),"")</f>
        <v/>
      </c>
      <c r="P738" s="8"/>
      <c r="Q738" s="209">
        <f>Mon_ILR2[[#This Row],[Qty Required]]-Mon_ILR2[[#This Row],[QTY Transfer]]</f>
        <v>1</v>
      </c>
      <c r="R738" s="66" t="s">
        <v>905</v>
      </c>
      <c r="S738" s="66" t="s">
        <v>946</v>
      </c>
      <c r="T738" s="210">
        <f>_xlfn.IFNA(VLOOKUP(Mon_ILR2[[#This Row],[New Model]],PhilipsLibary[],4,FALSE),"0")</f>
        <v>7999</v>
      </c>
      <c r="U738" s="210">
        <f>_xlfn.IFNA(VLOOKUP(Mon_ILR2[[#This Row],[New Model]],PhilipsLibary[],5,FALSE),"0")</f>
        <v>0</v>
      </c>
      <c r="V738" s="210">
        <f>_xlfn.IFNA(VLOOKUP(Mon_ILR2[[#This Row],[New Model]],PhilipsLibary[],5,FALSE),"0")</f>
        <v>0</v>
      </c>
      <c r="W738" s="210">
        <f>Mon_ILR2[[#This Row],[Accessory Rate]]+Mon_ILR2[[#This Row],[Mounting Rate]]+Mon_ILR2[[#This Row],[Unit Rate]]*Mon_ILR2[[#This Row],[New Quantity Required ]]</f>
        <v>7999</v>
      </c>
      <c r="X738" s="8"/>
      <c r="Y738" s="246"/>
    </row>
    <row r="739" spans="2:25" ht="15.75" x14ac:dyDescent="0.25">
      <c r="B739" s="207" t="s">
        <v>275</v>
      </c>
      <c r="C739" s="66" t="s">
        <v>734</v>
      </c>
      <c r="D739" s="4" t="s">
        <v>753</v>
      </c>
      <c r="E739" s="4" t="s">
        <v>1027</v>
      </c>
      <c r="F739" s="4" t="s">
        <v>944</v>
      </c>
      <c r="G739" s="4" t="s">
        <v>1181</v>
      </c>
      <c r="H739" s="208">
        <v>1</v>
      </c>
      <c r="I739" s="4"/>
      <c r="J739" s="15"/>
      <c r="K739" s="4" t="str">
        <f>_xlfn.IFNA(VLOOKUP($J739,WH_Data[],6,FALSE),"")</f>
        <v/>
      </c>
      <c r="L739" s="4" t="str">
        <f>_xlfn.IFNA(VLOOKUP($J739,WH_Data[],3,FALSE),"")</f>
        <v/>
      </c>
      <c r="M739" s="4" t="str">
        <f>_xlfn.IFNA(VLOOKUP($J739,WH_Data[],5,FALSE),"")</f>
        <v/>
      </c>
      <c r="N739" s="4" t="str">
        <f>_xlfn.IFNA(VLOOKUP($J739,WH_Data[],7,FALSE),"")</f>
        <v/>
      </c>
      <c r="O739" s="4" t="str">
        <f>_xlfn.IFNA(VLOOKUP($J739,WH_Data[],8,FALSE),"")</f>
        <v/>
      </c>
      <c r="P739" s="8"/>
      <c r="Q739" s="209">
        <f>Mon_ILR2[[#This Row],[Qty Required]]-Mon_ILR2[[#This Row],[QTY Transfer]]</f>
        <v>1</v>
      </c>
      <c r="R739" s="66" t="s">
        <v>905</v>
      </c>
      <c r="S739" s="66" t="s">
        <v>946</v>
      </c>
      <c r="T739" s="210">
        <f>_xlfn.IFNA(VLOOKUP(Mon_ILR2[[#This Row],[New Model]],PhilipsLibary[],4,FALSE),"0")</f>
        <v>7999</v>
      </c>
      <c r="U739" s="210">
        <f>_xlfn.IFNA(VLOOKUP(Mon_ILR2[[#This Row],[New Model]],PhilipsLibary[],5,FALSE),"0")</f>
        <v>0</v>
      </c>
      <c r="V739" s="210">
        <f>_xlfn.IFNA(VLOOKUP(Mon_ILR2[[#This Row],[New Model]],PhilipsLibary[],5,FALSE),"0")</f>
        <v>0</v>
      </c>
      <c r="W739" s="210">
        <f>Mon_ILR2[[#This Row],[Accessory Rate]]+Mon_ILR2[[#This Row],[Mounting Rate]]+Mon_ILR2[[#This Row],[Unit Rate]]*Mon_ILR2[[#This Row],[New Quantity Required ]]</f>
        <v>7999</v>
      </c>
      <c r="X739" s="8"/>
      <c r="Y739" s="246"/>
    </row>
    <row r="740" spans="2:25" ht="15.75" x14ac:dyDescent="0.25">
      <c r="B740" s="207" t="s">
        <v>275</v>
      </c>
      <c r="C740" s="66" t="s">
        <v>734</v>
      </c>
      <c r="D740" s="4" t="s">
        <v>754</v>
      </c>
      <c r="E740" s="4" t="s">
        <v>1027</v>
      </c>
      <c r="F740" s="4" t="s">
        <v>944</v>
      </c>
      <c r="G740" s="4" t="s">
        <v>1181</v>
      </c>
      <c r="H740" s="208">
        <v>1</v>
      </c>
      <c r="I740" s="4"/>
      <c r="J740" s="15"/>
      <c r="K740" s="4" t="str">
        <f>_xlfn.IFNA(VLOOKUP($J740,WH_Data[],6,FALSE),"")</f>
        <v/>
      </c>
      <c r="L740" s="4" t="str">
        <f>_xlfn.IFNA(VLOOKUP($J740,WH_Data[],3,FALSE),"")</f>
        <v/>
      </c>
      <c r="M740" s="4" t="str">
        <f>_xlfn.IFNA(VLOOKUP($J740,WH_Data[],5,FALSE),"")</f>
        <v/>
      </c>
      <c r="N740" s="4" t="str">
        <f>_xlfn.IFNA(VLOOKUP($J740,WH_Data[],7,FALSE),"")</f>
        <v/>
      </c>
      <c r="O740" s="4" t="str">
        <f>_xlfn.IFNA(VLOOKUP($J740,WH_Data[],8,FALSE),"")</f>
        <v/>
      </c>
      <c r="P740" s="8"/>
      <c r="Q740" s="209">
        <f>Mon_ILR2[[#This Row],[Qty Required]]-Mon_ILR2[[#This Row],[QTY Transfer]]</f>
        <v>1</v>
      </c>
      <c r="R740" s="66" t="s">
        <v>905</v>
      </c>
      <c r="S740" s="66" t="s">
        <v>946</v>
      </c>
      <c r="T740" s="210">
        <f>_xlfn.IFNA(VLOOKUP(Mon_ILR2[[#This Row],[New Model]],PhilipsLibary[],4,FALSE),"0")</f>
        <v>7999</v>
      </c>
      <c r="U740" s="210">
        <f>_xlfn.IFNA(VLOOKUP(Mon_ILR2[[#This Row],[New Model]],PhilipsLibary[],5,FALSE),"0")</f>
        <v>0</v>
      </c>
      <c r="V740" s="210">
        <f>_xlfn.IFNA(VLOOKUP(Mon_ILR2[[#This Row],[New Model]],PhilipsLibary[],5,FALSE),"0")</f>
        <v>0</v>
      </c>
      <c r="W740" s="210">
        <f>Mon_ILR2[[#This Row],[Accessory Rate]]+Mon_ILR2[[#This Row],[Mounting Rate]]+Mon_ILR2[[#This Row],[Unit Rate]]*Mon_ILR2[[#This Row],[New Quantity Required ]]</f>
        <v>7999</v>
      </c>
      <c r="X740" s="8"/>
      <c r="Y740" s="246"/>
    </row>
    <row r="741" spans="2:25" ht="15.75" x14ac:dyDescent="0.25">
      <c r="B741" s="207" t="s">
        <v>275</v>
      </c>
      <c r="C741" s="66" t="s">
        <v>734</v>
      </c>
      <c r="D741" s="4" t="s">
        <v>755</v>
      </c>
      <c r="E741" s="4" t="s">
        <v>1027</v>
      </c>
      <c r="F741" s="4" t="s">
        <v>944</v>
      </c>
      <c r="G741" s="4" t="s">
        <v>1181</v>
      </c>
      <c r="H741" s="208">
        <v>1</v>
      </c>
      <c r="I741" s="4"/>
      <c r="J741" s="15"/>
      <c r="K741" s="4" t="str">
        <f>_xlfn.IFNA(VLOOKUP($J741,WH_Data[],6,FALSE),"")</f>
        <v/>
      </c>
      <c r="L741" s="4" t="str">
        <f>_xlfn.IFNA(VLOOKUP($J741,WH_Data[],3,FALSE),"")</f>
        <v/>
      </c>
      <c r="M741" s="4" t="str">
        <f>_xlfn.IFNA(VLOOKUP($J741,WH_Data[],5,FALSE),"")</f>
        <v/>
      </c>
      <c r="N741" s="4" t="str">
        <f>_xlfn.IFNA(VLOOKUP($J741,WH_Data[],7,FALSE),"")</f>
        <v/>
      </c>
      <c r="O741" s="4" t="str">
        <f>_xlfn.IFNA(VLOOKUP($J741,WH_Data[],8,FALSE),"")</f>
        <v/>
      </c>
      <c r="P741" s="8"/>
      <c r="Q741" s="209">
        <f>Mon_ILR2[[#This Row],[Qty Required]]-Mon_ILR2[[#This Row],[QTY Transfer]]</f>
        <v>1</v>
      </c>
      <c r="R741" s="66" t="s">
        <v>905</v>
      </c>
      <c r="S741" s="66" t="s">
        <v>946</v>
      </c>
      <c r="T741" s="210">
        <f>_xlfn.IFNA(VLOOKUP(Mon_ILR2[[#This Row],[New Model]],PhilipsLibary[],4,FALSE),"0")</f>
        <v>7999</v>
      </c>
      <c r="U741" s="210">
        <f>_xlfn.IFNA(VLOOKUP(Mon_ILR2[[#This Row],[New Model]],PhilipsLibary[],5,FALSE),"0")</f>
        <v>0</v>
      </c>
      <c r="V741" s="210">
        <f>_xlfn.IFNA(VLOOKUP(Mon_ILR2[[#This Row],[New Model]],PhilipsLibary[],5,FALSE),"0")</f>
        <v>0</v>
      </c>
      <c r="W741" s="210">
        <f>Mon_ILR2[[#This Row],[Accessory Rate]]+Mon_ILR2[[#This Row],[Mounting Rate]]+Mon_ILR2[[#This Row],[Unit Rate]]*Mon_ILR2[[#This Row],[New Quantity Required ]]</f>
        <v>7999</v>
      </c>
      <c r="X741" s="8"/>
      <c r="Y741" s="246"/>
    </row>
    <row r="742" spans="2:25" ht="15.75" x14ac:dyDescent="0.25">
      <c r="B742" s="207" t="s">
        <v>275</v>
      </c>
      <c r="C742" s="66" t="s">
        <v>734</v>
      </c>
      <c r="D742" s="4" t="s">
        <v>756</v>
      </c>
      <c r="E742" s="4" t="s">
        <v>1027</v>
      </c>
      <c r="F742" s="4" t="s">
        <v>944</v>
      </c>
      <c r="G742" s="4" t="s">
        <v>1181</v>
      </c>
      <c r="H742" s="208">
        <v>1</v>
      </c>
      <c r="I742" s="4"/>
      <c r="J742" s="15"/>
      <c r="K742" s="4" t="str">
        <f>_xlfn.IFNA(VLOOKUP($J742,WH_Data[],6,FALSE),"")</f>
        <v/>
      </c>
      <c r="L742" s="4" t="str">
        <f>_xlfn.IFNA(VLOOKUP($J742,WH_Data[],3,FALSE),"")</f>
        <v/>
      </c>
      <c r="M742" s="4" t="str">
        <f>_xlfn.IFNA(VLOOKUP($J742,WH_Data[],5,FALSE),"")</f>
        <v/>
      </c>
      <c r="N742" s="4" t="str">
        <f>_xlfn.IFNA(VLOOKUP($J742,WH_Data[],7,FALSE),"")</f>
        <v/>
      </c>
      <c r="O742" s="4" t="str">
        <f>_xlfn.IFNA(VLOOKUP($J742,WH_Data[],8,FALSE),"")</f>
        <v/>
      </c>
      <c r="P742" s="8"/>
      <c r="Q742" s="209">
        <f>Mon_ILR2[[#This Row],[Qty Required]]-Mon_ILR2[[#This Row],[QTY Transfer]]</f>
        <v>1</v>
      </c>
      <c r="R742" s="66" t="s">
        <v>905</v>
      </c>
      <c r="S742" s="66" t="s">
        <v>946</v>
      </c>
      <c r="T742" s="210">
        <f>_xlfn.IFNA(VLOOKUP(Mon_ILR2[[#This Row],[New Model]],PhilipsLibary[],4,FALSE),"0")</f>
        <v>7999</v>
      </c>
      <c r="U742" s="210">
        <f>_xlfn.IFNA(VLOOKUP(Mon_ILR2[[#This Row],[New Model]],PhilipsLibary[],5,FALSE),"0")</f>
        <v>0</v>
      </c>
      <c r="V742" s="210">
        <f>_xlfn.IFNA(VLOOKUP(Mon_ILR2[[#This Row],[New Model]],PhilipsLibary[],5,FALSE),"0")</f>
        <v>0</v>
      </c>
      <c r="W742" s="210">
        <f>Mon_ILR2[[#This Row],[Accessory Rate]]+Mon_ILR2[[#This Row],[Mounting Rate]]+Mon_ILR2[[#This Row],[Unit Rate]]*Mon_ILR2[[#This Row],[New Quantity Required ]]</f>
        <v>7999</v>
      </c>
      <c r="X742" s="8"/>
      <c r="Y742" s="246"/>
    </row>
    <row r="743" spans="2:25" ht="15.75" x14ac:dyDescent="0.25">
      <c r="B743" s="207" t="s">
        <v>275</v>
      </c>
      <c r="C743" s="66" t="s">
        <v>734</v>
      </c>
      <c r="D743" s="4" t="s">
        <v>757</v>
      </c>
      <c r="E743" s="4" t="s">
        <v>1027</v>
      </c>
      <c r="F743" s="4" t="s">
        <v>944</v>
      </c>
      <c r="G743" s="4" t="s">
        <v>1181</v>
      </c>
      <c r="H743" s="208">
        <v>1</v>
      </c>
      <c r="I743" s="4"/>
      <c r="J743" s="15"/>
      <c r="K743" s="4" t="str">
        <f>_xlfn.IFNA(VLOOKUP($J743,WH_Data[],6,FALSE),"")</f>
        <v/>
      </c>
      <c r="L743" s="4" t="str">
        <f>_xlfn.IFNA(VLOOKUP($J743,WH_Data[],3,FALSE),"")</f>
        <v/>
      </c>
      <c r="M743" s="4" t="str">
        <f>_xlfn.IFNA(VLOOKUP($J743,WH_Data[],5,FALSE),"")</f>
        <v/>
      </c>
      <c r="N743" s="4" t="str">
        <f>_xlfn.IFNA(VLOOKUP($J743,WH_Data[],7,FALSE),"")</f>
        <v/>
      </c>
      <c r="O743" s="4" t="str">
        <f>_xlfn.IFNA(VLOOKUP($J743,WH_Data[],8,FALSE),"")</f>
        <v/>
      </c>
      <c r="P743" s="8"/>
      <c r="Q743" s="209">
        <f>Mon_ILR2[[#This Row],[Qty Required]]-Mon_ILR2[[#This Row],[QTY Transfer]]</f>
        <v>1</v>
      </c>
      <c r="R743" s="66" t="s">
        <v>905</v>
      </c>
      <c r="S743" s="66" t="s">
        <v>946</v>
      </c>
      <c r="T743" s="210">
        <f>_xlfn.IFNA(VLOOKUP(Mon_ILR2[[#This Row],[New Model]],PhilipsLibary[],4,FALSE),"0")</f>
        <v>7999</v>
      </c>
      <c r="U743" s="210">
        <f>_xlfn.IFNA(VLOOKUP(Mon_ILR2[[#This Row],[New Model]],PhilipsLibary[],5,FALSE),"0")</f>
        <v>0</v>
      </c>
      <c r="V743" s="210">
        <f>_xlfn.IFNA(VLOOKUP(Mon_ILR2[[#This Row],[New Model]],PhilipsLibary[],5,FALSE),"0")</f>
        <v>0</v>
      </c>
      <c r="W743" s="210">
        <f>Mon_ILR2[[#This Row],[Accessory Rate]]+Mon_ILR2[[#This Row],[Mounting Rate]]+Mon_ILR2[[#This Row],[Unit Rate]]*Mon_ILR2[[#This Row],[New Quantity Required ]]</f>
        <v>7999</v>
      </c>
      <c r="X743" s="8"/>
      <c r="Y743" s="246"/>
    </row>
    <row r="744" spans="2:25" ht="15.75" x14ac:dyDescent="0.25">
      <c r="B744" s="207" t="s">
        <v>275</v>
      </c>
      <c r="C744" s="66" t="s">
        <v>734</v>
      </c>
      <c r="D744" s="4" t="s">
        <v>758</v>
      </c>
      <c r="E744" s="4" t="s">
        <v>1027</v>
      </c>
      <c r="F744" s="4" t="s">
        <v>944</v>
      </c>
      <c r="G744" s="4" t="s">
        <v>1181</v>
      </c>
      <c r="H744" s="208">
        <v>1</v>
      </c>
      <c r="I744" s="4"/>
      <c r="J744" s="15"/>
      <c r="K744" s="4" t="str">
        <f>_xlfn.IFNA(VLOOKUP($J744,WH_Data[],6,FALSE),"")</f>
        <v/>
      </c>
      <c r="L744" s="4" t="str">
        <f>_xlfn.IFNA(VLOOKUP($J744,WH_Data[],3,FALSE),"")</f>
        <v/>
      </c>
      <c r="M744" s="4" t="str">
        <f>_xlfn.IFNA(VLOOKUP($J744,WH_Data[],5,FALSE),"")</f>
        <v/>
      </c>
      <c r="N744" s="4" t="str">
        <f>_xlfn.IFNA(VLOOKUP($J744,WH_Data[],7,FALSE),"")</f>
        <v/>
      </c>
      <c r="O744" s="4" t="str">
        <f>_xlfn.IFNA(VLOOKUP($J744,WH_Data[],8,FALSE),"")</f>
        <v/>
      </c>
      <c r="P744" s="8"/>
      <c r="Q744" s="209">
        <f>Mon_ILR2[[#This Row],[Qty Required]]-Mon_ILR2[[#This Row],[QTY Transfer]]</f>
        <v>1</v>
      </c>
      <c r="R744" s="66" t="s">
        <v>905</v>
      </c>
      <c r="S744" s="66" t="s">
        <v>946</v>
      </c>
      <c r="T744" s="210">
        <f>_xlfn.IFNA(VLOOKUP(Mon_ILR2[[#This Row],[New Model]],PhilipsLibary[],4,FALSE),"0")</f>
        <v>7999</v>
      </c>
      <c r="U744" s="210">
        <f>_xlfn.IFNA(VLOOKUP(Mon_ILR2[[#This Row],[New Model]],PhilipsLibary[],5,FALSE),"0")</f>
        <v>0</v>
      </c>
      <c r="V744" s="210">
        <f>_xlfn.IFNA(VLOOKUP(Mon_ILR2[[#This Row],[New Model]],PhilipsLibary[],5,FALSE),"0")</f>
        <v>0</v>
      </c>
      <c r="W744" s="210">
        <f>Mon_ILR2[[#This Row],[Accessory Rate]]+Mon_ILR2[[#This Row],[Mounting Rate]]+Mon_ILR2[[#This Row],[Unit Rate]]*Mon_ILR2[[#This Row],[New Quantity Required ]]</f>
        <v>7999</v>
      </c>
      <c r="X744" s="8"/>
      <c r="Y744" s="246"/>
    </row>
    <row r="745" spans="2:25" ht="15.75" x14ac:dyDescent="0.25">
      <c r="B745" s="207" t="s">
        <v>275</v>
      </c>
      <c r="C745" s="66" t="s">
        <v>364</v>
      </c>
      <c r="D745" s="4" t="s">
        <v>759</v>
      </c>
      <c r="E745" s="4" t="s">
        <v>1027</v>
      </c>
      <c r="F745" s="4" t="s">
        <v>944</v>
      </c>
      <c r="G745" s="4" t="s">
        <v>1181</v>
      </c>
      <c r="H745" s="208">
        <v>1</v>
      </c>
      <c r="I745" s="4"/>
      <c r="J745" s="15"/>
      <c r="K745" s="4" t="str">
        <f>_xlfn.IFNA(VLOOKUP($J745,WH_Data[],6,FALSE),"")</f>
        <v/>
      </c>
      <c r="L745" s="4" t="str">
        <f>_xlfn.IFNA(VLOOKUP($J745,WH_Data[],3,FALSE),"")</f>
        <v/>
      </c>
      <c r="M745" s="4" t="str">
        <f>_xlfn.IFNA(VLOOKUP($J745,WH_Data[],5,FALSE),"")</f>
        <v/>
      </c>
      <c r="N745" s="4" t="str">
        <f>_xlfn.IFNA(VLOOKUP($J745,WH_Data[],7,FALSE),"")</f>
        <v/>
      </c>
      <c r="O745" s="4" t="str">
        <f>_xlfn.IFNA(VLOOKUP($J745,WH_Data[],8,FALSE),"")</f>
        <v/>
      </c>
      <c r="P745" s="8"/>
      <c r="Q745" s="209">
        <f>Mon_ILR2[[#This Row],[Qty Required]]-Mon_ILR2[[#This Row],[QTY Transfer]]</f>
        <v>1</v>
      </c>
      <c r="R745" s="66" t="s">
        <v>905</v>
      </c>
      <c r="S745" s="66" t="s">
        <v>946</v>
      </c>
      <c r="T745" s="210">
        <f>_xlfn.IFNA(VLOOKUP(Mon_ILR2[[#This Row],[New Model]],PhilipsLibary[],4,FALSE),"0")</f>
        <v>7999</v>
      </c>
      <c r="U745" s="210">
        <f>_xlfn.IFNA(VLOOKUP(Mon_ILR2[[#This Row],[New Model]],PhilipsLibary[],5,FALSE),"0")</f>
        <v>0</v>
      </c>
      <c r="V745" s="210">
        <f>_xlfn.IFNA(VLOOKUP(Mon_ILR2[[#This Row],[New Model]],PhilipsLibary[],5,FALSE),"0")</f>
        <v>0</v>
      </c>
      <c r="W745" s="210">
        <f>Mon_ILR2[[#This Row],[Accessory Rate]]+Mon_ILR2[[#This Row],[Mounting Rate]]+Mon_ILR2[[#This Row],[Unit Rate]]*Mon_ILR2[[#This Row],[New Quantity Required ]]</f>
        <v>7999</v>
      </c>
      <c r="X745" s="8"/>
      <c r="Y745" s="246"/>
    </row>
    <row r="746" spans="2:25" ht="15.75" x14ac:dyDescent="0.25">
      <c r="B746" s="207" t="s">
        <v>501</v>
      </c>
      <c r="C746" s="66" t="s">
        <v>364</v>
      </c>
      <c r="D746" s="4" t="s">
        <v>760</v>
      </c>
      <c r="E746" s="4" t="s">
        <v>1027</v>
      </c>
      <c r="F746" s="4" t="s">
        <v>944</v>
      </c>
      <c r="G746" s="4" t="s">
        <v>1181</v>
      </c>
      <c r="H746" s="208">
        <v>1</v>
      </c>
      <c r="I746" s="4"/>
      <c r="J746" s="15"/>
      <c r="K746" s="4" t="str">
        <f>_xlfn.IFNA(VLOOKUP($J746,WH_Data[],6,FALSE),"")</f>
        <v/>
      </c>
      <c r="L746" s="4" t="str">
        <f>_xlfn.IFNA(VLOOKUP($J746,WH_Data[],3,FALSE),"")</f>
        <v/>
      </c>
      <c r="M746" s="4" t="str">
        <f>_xlfn.IFNA(VLOOKUP($J746,WH_Data[],5,FALSE),"")</f>
        <v/>
      </c>
      <c r="N746" s="4" t="str">
        <f>_xlfn.IFNA(VLOOKUP($J746,WH_Data[],7,FALSE),"")</f>
        <v/>
      </c>
      <c r="O746" s="4" t="str">
        <f>_xlfn.IFNA(VLOOKUP($J746,WH_Data[],8,FALSE),"")</f>
        <v/>
      </c>
      <c r="P746" s="8"/>
      <c r="Q746" s="209">
        <f>Mon_ILR2[[#This Row],[Qty Required]]-Mon_ILR2[[#This Row],[QTY Transfer]]</f>
        <v>1</v>
      </c>
      <c r="R746" s="66" t="s">
        <v>905</v>
      </c>
      <c r="S746" s="66" t="s">
        <v>946</v>
      </c>
      <c r="T746" s="210">
        <f>_xlfn.IFNA(VLOOKUP(Mon_ILR2[[#This Row],[New Model]],PhilipsLibary[],4,FALSE),"0")</f>
        <v>7999</v>
      </c>
      <c r="U746" s="210">
        <f>_xlfn.IFNA(VLOOKUP(Mon_ILR2[[#This Row],[New Model]],PhilipsLibary[],5,FALSE),"0")</f>
        <v>0</v>
      </c>
      <c r="V746" s="210">
        <f>_xlfn.IFNA(VLOOKUP(Mon_ILR2[[#This Row],[New Model]],PhilipsLibary[],5,FALSE),"0")</f>
        <v>0</v>
      </c>
      <c r="W746" s="210">
        <f>Mon_ILR2[[#This Row],[Accessory Rate]]+Mon_ILR2[[#This Row],[Mounting Rate]]+Mon_ILR2[[#This Row],[Unit Rate]]*Mon_ILR2[[#This Row],[New Quantity Required ]]</f>
        <v>7999</v>
      </c>
      <c r="X746" s="8"/>
      <c r="Y746" s="246"/>
    </row>
    <row r="747" spans="2:25" ht="30" x14ac:dyDescent="0.25">
      <c r="B747" s="207" t="s">
        <v>761</v>
      </c>
      <c r="C747" s="66" t="s">
        <v>185</v>
      </c>
      <c r="D747" s="4" t="s">
        <v>762</v>
      </c>
      <c r="E747" s="4" t="s">
        <v>1027</v>
      </c>
      <c r="F747" s="4" t="s">
        <v>944</v>
      </c>
      <c r="G747" s="4" t="s">
        <v>1181</v>
      </c>
      <c r="H747" s="208">
        <v>1</v>
      </c>
      <c r="I747" s="4"/>
      <c r="J747" s="15"/>
      <c r="K747" s="4" t="str">
        <f>_xlfn.IFNA(VLOOKUP($J747,WH_Data[],6,FALSE),"")</f>
        <v/>
      </c>
      <c r="L747" s="4" t="str">
        <f>_xlfn.IFNA(VLOOKUP($J747,WH_Data[],3,FALSE),"")</f>
        <v/>
      </c>
      <c r="M747" s="4" t="str">
        <f>_xlfn.IFNA(VLOOKUP($J747,WH_Data[],5,FALSE),"")</f>
        <v/>
      </c>
      <c r="N747" s="4" t="str">
        <f>_xlfn.IFNA(VLOOKUP($J747,WH_Data[],7,FALSE),"")</f>
        <v/>
      </c>
      <c r="O747" s="4" t="str">
        <f>_xlfn.IFNA(VLOOKUP($J747,WH_Data[],8,FALSE),"")</f>
        <v/>
      </c>
      <c r="P747" s="8"/>
      <c r="Q747" s="300">
        <v>0</v>
      </c>
      <c r="R747" s="66" t="s">
        <v>905</v>
      </c>
      <c r="S747" s="304" t="s">
        <v>946</v>
      </c>
      <c r="T747" s="210">
        <f>_xlfn.IFNA(VLOOKUP(Mon_ILR2[[#This Row],[New Model]],PhilipsLibary[],4,FALSE),"0")</f>
        <v>7999</v>
      </c>
      <c r="U747" s="210">
        <f>_xlfn.IFNA(VLOOKUP(Mon_ILR2[[#This Row],[New Model]],PhilipsLibary[],5,FALSE),"0")</f>
        <v>0</v>
      </c>
      <c r="V747" s="210">
        <f>_xlfn.IFNA(VLOOKUP(Mon_ILR2[[#This Row],[New Model]],PhilipsLibary[],5,FALSE),"0")</f>
        <v>0</v>
      </c>
      <c r="W747" s="210">
        <f>Mon_ILR2[[#This Row],[Accessory Rate]]+Mon_ILR2[[#This Row],[Mounting Rate]]+Mon_ILR2[[#This Row],[Unit Rate]]*Mon_ILR2[[#This Row],[New Quantity Required ]]</f>
        <v>0</v>
      </c>
      <c r="X747" s="8"/>
      <c r="Y747" s="302" t="s">
        <v>2158</v>
      </c>
    </row>
    <row r="748" spans="2:25" ht="30" x14ac:dyDescent="0.25">
      <c r="B748" s="207" t="s">
        <v>761</v>
      </c>
      <c r="C748" s="66" t="s">
        <v>185</v>
      </c>
      <c r="D748" s="4" t="s">
        <v>765</v>
      </c>
      <c r="E748" s="4" t="s">
        <v>1027</v>
      </c>
      <c r="F748" s="4" t="s">
        <v>944</v>
      </c>
      <c r="G748" s="4" t="s">
        <v>1181</v>
      </c>
      <c r="H748" s="208">
        <v>1</v>
      </c>
      <c r="I748" s="4"/>
      <c r="J748" s="15"/>
      <c r="K748" s="4" t="str">
        <f>_xlfn.IFNA(VLOOKUP($J748,WH_Data[],6,FALSE),"")</f>
        <v/>
      </c>
      <c r="L748" s="4" t="str">
        <f>_xlfn.IFNA(VLOOKUP($J748,WH_Data[],3,FALSE),"")</f>
        <v/>
      </c>
      <c r="M748" s="4" t="str">
        <f>_xlfn.IFNA(VLOOKUP($J748,WH_Data[],5,FALSE),"")</f>
        <v/>
      </c>
      <c r="N748" s="4" t="str">
        <f>_xlfn.IFNA(VLOOKUP($J748,WH_Data[],7,FALSE),"")</f>
        <v/>
      </c>
      <c r="O748" s="4" t="str">
        <f>_xlfn.IFNA(VLOOKUP($J748,WH_Data[],8,FALSE),"")</f>
        <v/>
      </c>
      <c r="P748" s="8"/>
      <c r="Q748" s="300">
        <v>0</v>
      </c>
      <c r="R748" s="66" t="s">
        <v>905</v>
      </c>
      <c r="S748" s="304" t="s">
        <v>946</v>
      </c>
      <c r="T748" s="210">
        <f>_xlfn.IFNA(VLOOKUP(Mon_ILR2[[#This Row],[New Model]],PhilipsLibary[],4,FALSE),"0")</f>
        <v>7999</v>
      </c>
      <c r="U748" s="210">
        <f>_xlfn.IFNA(VLOOKUP(Mon_ILR2[[#This Row],[New Model]],PhilipsLibary[],5,FALSE),"0")</f>
        <v>0</v>
      </c>
      <c r="V748" s="210">
        <f>_xlfn.IFNA(VLOOKUP(Mon_ILR2[[#This Row],[New Model]],PhilipsLibary[],5,FALSE),"0")</f>
        <v>0</v>
      </c>
      <c r="W748" s="210">
        <f>Mon_ILR2[[#This Row],[Accessory Rate]]+Mon_ILR2[[#This Row],[Mounting Rate]]+Mon_ILR2[[#This Row],[Unit Rate]]*Mon_ILR2[[#This Row],[New Quantity Required ]]</f>
        <v>0</v>
      </c>
      <c r="X748" s="8"/>
      <c r="Y748" s="302" t="s">
        <v>2158</v>
      </c>
    </row>
    <row r="749" spans="2:25" ht="30" x14ac:dyDescent="0.25">
      <c r="B749" s="207" t="s">
        <v>761</v>
      </c>
      <c r="C749" s="66" t="s">
        <v>185</v>
      </c>
      <c r="D749" s="4" t="s">
        <v>766</v>
      </c>
      <c r="E749" s="4" t="s">
        <v>1027</v>
      </c>
      <c r="F749" s="4" t="s">
        <v>944</v>
      </c>
      <c r="G749" s="4" t="s">
        <v>1181</v>
      </c>
      <c r="H749" s="208">
        <v>1</v>
      </c>
      <c r="I749" s="4"/>
      <c r="J749" s="15"/>
      <c r="K749" s="4" t="str">
        <f>_xlfn.IFNA(VLOOKUP($J749,WH_Data[],6,FALSE),"")</f>
        <v/>
      </c>
      <c r="L749" s="4" t="str">
        <f>_xlfn.IFNA(VLOOKUP($J749,WH_Data[],3,FALSE),"")</f>
        <v/>
      </c>
      <c r="M749" s="4" t="str">
        <f>_xlfn.IFNA(VLOOKUP($J749,WH_Data[],5,FALSE),"")</f>
        <v/>
      </c>
      <c r="N749" s="4" t="str">
        <f>_xlfn.IFNA(VLOOKUP($J749,WH_Data[],7,FALSE),"")</f>
        <v/>
      </c>
      <c r="O749" s="4" t="str">
        <f>_xlfn.IFNA(VLOOKUP($J749,WH_Data[],8,FALSE),"")</f>
        <v/>
      </c>
      <c r="P749" s="8"/>
      <c r="Q749" s="300">
        <v>0</v>
      </c>
      <c r="R749" s="66" t="s">
        <v>905</v>
      </c>
      <c r="S749" s="304" t="s">
        <v>946</v>
      </c>
      <c r="T749" s="210">
        <f>_xlfn.IFNA(VLOOKUP(Mon_ILR2[[#This Row],[New Model]],PhilipsLibary[],4,FALSE),"0")</f>
        <v>7999</v>
      </c>
      <c r="U749" s="210">
        <f>_xlfn.IFNA(VLOOKUP(Mon_ILR2[[#This Row],[New Model]],PhilipsLibary[],5,FALSE),"0")</f>
        <v>0</v>
      </c>
      <c r="V749" s="210">
        <f>_xlfn.IFNA(VLOOKUP(Mon_ILR2[[#This Row],[New Model]],PhilipsLibary[],5,FALSE),"0")</f>
        <v>0</v>
      </c>
      <c r="W749" s="210">
        <f>Mon_ILR2[[#This Row],[Accessory Rate]]+Mon_ILR2[[#This Row],[Mounting Rate]]+Mon_ILR2[[#This Row],[Unit Rate]]*Mon_ILR2[[#This Row],[New Quantity Required ]]</f>
        <v>0</v>
      </c>
      <c r="X749" s="8"/>
      <c r="Y749" s="302" t="s">
        <v>2158</v>
      </c>
    </row>
    <row r="750" spans="2:25" ht="30" x14ac:dyDescent="0.25">
      <c r="B750" s="207" t="s">
        <v>761</v>
      </c>
      <c r="C750" s="66" t="s">
        <v>185</v>
      </c>
      <c r="D750" s="4" t="s">
        <v>767</v>
      </c>
      <c r="E750" s="4" t="s">
        <v>1027</v>
      </c>
      <c r="F750" s="4" t="s">
        <v>944</v>
      </c>
      <c r="G750" s="4" t="s">
        <v>1181</v>
      </c>
      <c r="H750" s="208">
        <v>1</v>
      </c>
      <c r="I750" s="4"/>
      <c r="J750" s="15"/>
      <c r="K750" s="4" t="str">
        <f>_xlfn.IFNA(VLOOKUP($J750,WH_Data[],6,FALSE),"")</f>
        <v/>
      </c>
      <c r="L750" s="4" t="str">
        <f>_xlfn.IFNA(VLOOKUP($J750,WH_Data[],3,FALSE),"")</f>
        <v/>
      </c>
      <c r="M750" s="4" t="str">
        <f>_xlfn.IFNA(VLOOKUP($J750,WH_Data[],5,FALSE),"")</f>
        <v/>
      </c>
      <c r="N750" s="4" t="str">
        <f>_xlfn.IFNA(VLOOKUP($J750,WH_Data[],7,FALSE),"")</f>
        <v/>
      </c>
      <c r="O750" s="4" t="str">
        <f>_xlfn.IFNA(VLOOKUP($J750,WH_Data[],8,FALSE),"")</f>
        <v/>
      </c>
      <c r="P750" s="8"/>
      <c r="Q750" s="300">
        <v>0</v>
      </c>
      <c r="R750" s="66" t="s">
        <v>905</v>
      </c>
      <c r="S750" s="304" t="s">
        <v>946</v>
      </c>
      <c r="T750" s="210">
        <f>_xlfn.IFNA(VLOOKUP(Mon_ILR2[[#This Row],[New Model]],PhilipsLibary[],4,FALSE),"0")</f>
        <v>7999</v>
      </c>
      <c r="U750" s="210">
        <f>_xlfn.IFNA(VLOOKUP(Mon_ILR2[[#This Row],[New Model]],PhilipsLibary[],5,FALSE),"0")</f>
        <v>0</v>
      </c>
      <c r="V750" s="210">
        <f>_xlfn.IFNA(VLOOKUP(Mon_ILR2[[#This Row],[New Model]],PhilipsLibary[],5,FALSE),"0")</f>
        <v>0</v>
      </c>
      <c r="W750" s="210">
        <f>Mon_ILR2[[#This Row],[Accessory Rate]]+Mon_ILR2[[#This Row],[Mounting Rate]]+Mon_ILR2[[#This Row],[Unit Rate]]*Mon_ILR2[[#This Row],[New Quantity Required ]]</f>
        <v>0</v>
      </c>
      <c r="X750" s="8"/>
      <c r="Y750" s="302" t="s">
        <v>2158</v>
      </c>
    </row>
    <row r="751" spans="2:25" ht="30" x14ac:dyDescent="0.25">
      <c r="B751" s="207" t="s">
        <v>761</v>
      </c>
      <c r="C751" s="66" t="s">
        <v>185</v>
      </c>
      <c r="D751" s="4" t="s">
        <v>768</v>
      </c>
      <c r="E751" s="4" t="s">
        <v>1027</v>
      </c>
      <c r="F751" s="4" t="s">
        <v>944</v>
      </c>
      <c r="G751" s="4" t="s">
        <v>1181</v>
      </c>
      <c r="H751" s="208">
        <v>1</v>
      </c>
      <c r="I751" s="4"/>
      <c r="J751" s="15"/>
      <c r="K751" s="4" t="str">
        <f>_xlfn.IFNA(VLOOKUP($J751,WH_Data[],6,FALSE),"")</f>
        <v/>
      </c>
      <c r="L751" s="4" t="str">
        <f>_xlfn.IFNA(VLOOKUP($J751,WH_Data[],3,FALSE),"")</f>
        <v/>
      </c>
      <c r="M751" s="4" t="str">
        <f>_xlfn.IFNA(VLOOKUP($J751,WH_Data[],5,FALSE),"")</f>
        <v/>
      </c>
      <c r="N751" s="4" t="str">
        <f>_xlfn.IFNA(VLOOKUP($J751,WH_Data[],7,FALSE),"")</f>
        <v/>
      </c>
      <c r="O751" s="4" t="str">
        <f>_xlfn.IFNA(VLOOKUP($J751,WH_Data[],8,FALSE),"")</f>
        <v/>
      </c>
      <c r="P751" s="8"/>
      <c r="Q751" s="300">
        <v>0</v>
      </c>
      <c r="R751" s="66" t="s">
        <v>905</v>
      </c>
      <c r="S751" s="304" t="s">
        <v>946</v>
      </c>
      <c r="T751" s="210">
        <f>_xlfn.IFNA(VLOOKUP(Mon_ILR2[[#This Row],[New Model]],PhilipsLibary[],4,FALSE),"0")</f>
        <v>7999</v>
      </c>
      <c r="U751" s="210">
        <f>_xlfn.IFNA(VLOOKUP(Mon_ILR2[[#This Row],[New Model]],PhilipsLibary[],5,FALSE),"0")</f>
        <v>0</v>
      </c>
      <c r="V751" s="210">
        <f>_xlfn.IFNA(VLOOKUP(Mon_ILR2[[#This Row],[New Model]],PhilipsLibary[],5,FALSE),"0")</f>
        <v>0</v>
      </c>
      <c r="W751" s="210">
        <f>Mon_ILR2[[#This Row],[Accessory Rate]]+Mon_ILR2[[#This Row],[Mounting Rate]]+Mon_ILR2[[#This Row],[Unit Rate]]*Mon_ILR2[[#This Row],[New Quantity Required ]]</f>
        <v>0</v>
      </c>
      <c r="X751" s="8"/>
      <c r="Y751" s="302" t="s">
        <v>2158</v>
      </c>
    </row>
    <row r="752" spans="2:25" ht="30" x14ac:dyDescent="0.25">
      <c r="B752" s="207" t="s">
        <v>761</v>
      </c>
      <c r="C752" s="66" t="s">
        <v>185</v>
      </c>
      <c r="D752" s="4" t="s">
        <v>769</v>
      </c>
      <c r="E752" s="4" t="s">
        <v>1027</v>
      </c>
      <c r="F752" s="4" t="s">
        <v>944</v>
      </c>
      <c r="G752" s="4" t="s">
        <v>1181</v>
      </c>
      <c r="H752" s="208">
        <v>1</v>
      </c>
      <c r="I752" s="4"/>
      <c r="J752" s="15"/>
      <c r="K752" s="4" t="str">
        <f>_xlfn.IFNA(VLOOKUP($J752,WH_Data[],6,FALSE),"")</f>
        <v/>
      </c>
      <c r="L752" s="4" t="str">
        <f>_xlfn.IFNA(VLOOKUP($J752,WH_Data[],3,FALSE),"")</f>
        <v/>
      </c>
      <c r="M752" s="4" t="str">
        <f>_xlfn.IFNA(VLOOKUP($J752,WH_Data[],5,FALSE),"")</f>
        <v/>
      </c>
      <c r="N752" s="4" t="str">
        <f>_xlfn.IFNA(VLOOKUP($J752,WH_Data[],7,FALSE),"")</f>
        <v/>
      </c>
      <c r="O752" s="4" t="str">
        <f>_xlfn.IFNA(VLOOKUP($J752,WH_Data[],8,FALSE),"")</f>
        <v/>
      </c>
      <c r="P752" s="8"/>
      <c r="Q752" s="300">
        <v>0</v>
      </c>
      <c r="R752" s="66" t="s">
        <v>905</v>
      </c>
      <c r="S752" s="304" t="s">
        <v>946</v>
      </c>
      <c r="T752" s="210">
        <f>_xlfn.IFNA(VLOOKUP(Mon_ILR2[[#This Row],[New Model]],PhilipsLibary[],4,FALSE),"0")</f>
        <v>7999</v>
      </c>
      <c r="U752" s="210">
        <f>_xlfn.IFNA(VLOOKUP(Mon_ILR2[[#This Row],[New Model]],PhilipsLibary[],5,FALSE),"0")</f>
        <v>0</v>
      </c>
      <c r="V752" s="210">
        <f>_xlfn.IFNA(VLOOKUP(Mon_ILR2[[#This Row],[New Model]],PhilipsLibary[],5,FALSE),"0")</f>
        <v>0</v>
      </c>
      <c r="W752" s="210">
        <f>Mon_ILR2[[#This Row],[Accessory Rate]]+Mon_ILR2[[#This Row],[Mounting Rate]]+Mon_ILR2[[#This Row],[Unit Rate]]*Mon_ILR2[[#This Row],[New Quantity Required ]]</f>
        <v>0</v>
      </c>
      <c r="X752" s="8"/>
      <c r="Y752" s="302" t="s">
        <v>2158</v>
      </c>
    </row>
    <row r="753" spans="2:25" ht="90" x14ac:dyDescent="0.25">
      <c r="B753" s="207" t="s">
        <v>299</v>
      </c>
      <c r="C753" s="66" t="s">
        <v>305</v>
      </c>
      <c r="D753" s="4" t="s">
        <v>306</v>
      </c>
      <c r="E753" s="4" t="s">
        <v>1072</v>
      </c>
      <c r="F753" s="4" t="s">
        <v>944</v>
      </c>
      <c r="G753" s="4" t="s">
        <v>1181</v>
      </c>
      <c r="H753" s="208">
        <v>1</v>
      </c>
      <c r="I753" s="4"/>
      <c r="J753" s="46" t="s">
        <v>1229</v>
      </c>
      <c r="K753" s="4" t="str">
        <f>VLOOKUP($J753,WH_Data[],6,FALSE)</f>
        <v>MODULE RACK</v>
      </c>
      <c r="L753" s="4" t="str">
        <f>VLOOKUP($J753,WH_Data[],3,FALSE)</f>
        <v>PHILIPS MEDICAL SYSTEMS AUSTRA</v>
      </c>
      <c r="M753" s="4" t="str">
        <f>VLOOKUP($J753,WH_Data[],5,FALSE)</f>
        <v>IntelliVue FMX-4</v>
      </c>
      <c r="N753" s="4" t="str">
        <f>VLOOKUP($J753,WH_Data[],7,FALSE)</f>
        <v>DE61637297</v>
      </c>
      <c r="O753" s="4" t="str">
        <f>VLOOKUP($J753,WH_Data[],8,FALSE)</f>
        <v>ICU expansion</v>
      </c>
      <c r="P753" s="8">
        <v>1</v>
      </c>
      <c r="Q753" s="209">
        <f>Mon_ILR2[[#This Row],[Qty Required]]-Mon_ILR2[[#This Row],[QTY Transfer]]</f>
        <v>0</v>
      </c>
      <c r="R753" s="66" t="s">
        <v>905</v>
      </c>
      <c r="S753" s="66" t="s">
        <v>952</v>
      </c>
      <c r="T753" s="210">
        <v>1175</v>
      </c>
      <c r="U753" s="210">
        <f>_xlfn.IFNA(VLOOKUP(Mon_ILR2[[#This Row],[New Model]],PhilipsLibary[],5,FALSE),"0")</f>
        <v>0</v>
      </c>
      <c r="V753" s="210">
        <v>500</v>
      </c>
      <c r="W753" s="210">
        <v>1675</v>
      </c>
      <c r="X753" s="246" t="s">
        <v>954</v>
      </c>
      <c r="Y753" s="246" t="s">
        <v>1183</v>
      </c>
    </row>
    <row r="754" spans="2:25" ht="90" x14ac:dyDescent="0.25">
      <c r="B754" s="207" t="s">
        <v>299</v>
      </c>
      <c r="C754" s="66" t="s">
        <v>305</v>
      </c>
      <c r="D754" s="4" t="s">
        <v>309</v>
      </c>
      <c r="E754" s="4" t="s">
        <v>1072</v>
      </c>
      <c r="F754" s="4" t="s">
        <v>944</v>
      </c>
      <c r="G754" s="4" t="s">
        <v>1181</v>
      </c>
      <c r="H754" s="208">
        <v>1</v>
      </c>
      <c r="I754" s="4"/>
      <c r="J754" s="46" t="s">
        <v>1230</v>
      </c>
      <c r="K754" s="4" t="str">
        <f>VLOOKUP($J754,WH_Data[],6,FALSE)</f>
        <v>MULTIPARAMETER MODULE</v>
      </c>
      <c r="L754" s="4" t="str">
        <f>VLOOKUP($J754,WH_Data[],3,FALSE)</f>
        <v>PHILIPS MEDICAL SYSTEMS AUSTRA</v>
      </c>
      <c r="M754" s="4" t="str">
        <f>VLOOKUP($J754,WH_Data[],5,FALSE)</f>
        <v>IntelliVue X3</v>
      </c>
      <c r="N754" s="4" t="str">
        <f>VLOOKUP($J754,WH_Data[],7,FALSE)</f>
        <v>DE752N8577</v>
      </c>
      <c r="O754" s="4" t="str">
        <f>VLOOKUP($J754,WH_Data[],8,FALSE)</f>
        <v>ICU expansion</v>
      </c>
      <c r="P754" s="8">
        <v>1</v>
      </c>
      <c r="Q754" s="209">
        <f>Mon_ILR2[[#This Row],[Qty Required]]-Mon_ILR2[[#This Row],[QTY Transfer]]</f>
        <v>0</v>
      </c>
      <c r="R754" s="66" t="s">
        <v>905</v>
      </c>
      <c r="S754" s="66" t="s">
        <v>952</v>
      </c>
      <c r="T754" s="210">
        <v>1175</v>
      </c>
      <c r="U754" s="210">
        <f>_xlfn.IFNA(VLOOKUP(Mon_ILR2[[#This Row],[New Model]],PhilipsLibary[],5,FALSE),"0")</f>
        <v>0</v>
      </c>
      <c r="V754" s="210">
        <v>500</v>
      </c>
      <c r="W754" s="210">
        <v>1675</v>
      </c>
      <c r="X754" s="246" t="s">
        <v>954</v>
      </c>
      <c r="Y754" s="246" t="s">
        <v>1183</v>
      </c>
    </row>
    <row r="755" spans="2:25" ht="90" x14ac:dyDescent="0.25">
      <c r="B755" s="207" t="s">
        <v>299</v>
      </c>
      <c r="C755" s="66" t="s">
        <v>305</v>
      </c>
      <c r="D755" s="4" t="s">
        <v>311</v>
      </c>
      <c r="E755" s="4" t="s">
        <v>1072</v>
      </c>
      <c r="F755" s="4" t="s">
        <v>944</v>
      </c>
      <c r="G755" s="4" t="s">
        <v>1181</v>
      </c>
      <c r="H755" s="208">
        <v>1</v>
      </c>
      <c r="I755" s="4"/>
      <c r="J755" s="46" t="s">
        <v>1231</v>
      </c>
      <c r="K755" s="4" t="str">
        <f>VLOOKUP($J755,WH_Data[],6,FALSE)</f>
        <v>MULTI-PARAMETERS MODULE, PHYSIOLOGICAL</v>
      </c>
      <c r="L755" s="4" t="str">
        <f>VLOOKUP($J755,WH_Data[],3,FALSE)</f>
        <v>PHILIPS MEDICAL SYSTEMS AUSTRA</v>
      </c>
      <c r="M755" s="4" t="str">
        <f>VLOOKUP($J755,WH_Data[],5,FALSE)</f>
        <v>IntelliVue X3</v>
      </c>
      <c r="N755" s="4" t="str">
        <f>VLOOKUP($J755,WH_Data[],7,FALSE)</f>
        <v>DE694H5822</v>
      </c>
      <c r="O755" s="4" t="str">
        <f>VLOOKUP($J755,WH_Data[],8,FALSE)</f>
        <v>ICU FH</v>
      </c>
      <c r="P755" s="8">
        <v>1</v>
      </c>
      <c r="Q755" s="209">
        <f>Mon_ILR2[[#This Row],[Qty Required]]-Mon_ILR2[[#This Row],[QTY Transfer]]</f>
        <v>0</v>
      </c>
      <c r="R755" s="66" t="s">
        <v>905</v>
      </c>
      <c r="S755" s="66" t="s">
        <v>952</v>
      </c>
      <c r="T755" s="210">
        <v>1175</v>
      </c>
      <c r="U755" s="210">
        <f>_xlfn.IFNA(VLOOKUP(Mon_ILR2[[#This Row],[New Model]],PhilipsLibary[],5,FALSE),"0")</f>
        <v>0</v>
      </c>
      <c r="V755" s="210">
        <v>500</v>
      </c>
      <c r="W755" s="210">
        <v>1675</v>
      </c>
      <c r="X755" s="246" t="s">
        <v>954</v>
      </c>
      <c r="Y755" s="246" t="s">
        <v>1183</v>
      </c>
    </row>
    <row r="756" spans="2:25" ht="90" x14ac:dyDescent="0.25">
      <c r="B756" s="207" t="s">
        <v>299</v>
      </c>
      <c r="C756" s="66" t="s">
        <v>313</v>
      </c>
      <c r="D756" s="4" t="s">
        <v>314</v>
      </c>
      <c r="E756" s="4" t="s">
        <v>1072</v>
      </c>
      <c r="F756" s="4" t="s">
        <v>944</v>
      </c>
      <c r="G756" s="4" t="s">
        <v>1181</v>
      </c>
      <c r="H756" s="208">
        <v>1</v>
      </c>
      <c r="I756" s="4"/>
      <c r="J756" s="46" t="s">
        <v>1232</v>
      </c>
      <c r="K756" s="4" t="str">
        <f>VLOOKUP($J756,WH_Data[],6,FALSE)</f>
        <v>MULTIPARAMETER MODULE</v>
      </c>
      <c r="L756" s="4" t="str">
        <f>VLOOKUP($J756,WH_Data[],3,FALSE)</f>
        <v>PHILIPS MEDICAL SYSTEMS AUSTRA</v>
      </c>
      <c r="M756" s="4" t="str">
        <f>VLOOKUP($J756,WH_Data[],5,FALSE)</f>
        <v>IntelliVue X3</v>
      </c>
      <c r="N756" s="4" t="str">
        <f>VLOOKUP($J756,WH_Data[],7,FALSE)</f>
        <v>DE752N8613</v>
      </c>
      <c r="O756" s="4" t="str">
        <f>VLOOKUP($J756,WH_Data[],8,FALSE)</f>
        <v>ICU expansion</v>
      </c>
      <c r="P756" s="8">
        <v>1</v>
      </c>
      <c r="Q756" s="209">
        <f>Mon_ILR2[[#This Row],[Qty Required]]-Mon_ILR2[[#This Row],[QTY Transfer]]</f>
        <v>0</v>
      </c>
      <c r="R756" s="66" t="s">
        <v>905</v>
      </c>
      <c r="S756" s="66" t="s">
        <v>952</v>
      </c>
      <c r="T756" s="210">
        <v>1175</v>
      </c>
      <c r="U756" s="210">
        <f>_xlfn.IFNA(VLOOKUP(Mon_ILR2[[#This Row],[New Model]],PhilipsLibary[],5,FALSE),"0")</f>
        <v>0</v>
      </c>
      <c r="V756" s="210">
        <v>500</v>
      </c>
      <c r="W756" s="210">
        <v>1675</v>
      </c>
      <c r="X756" s="246" t="s">
        <v>954</v>
      </c>
      <c r="Y756" s="246" t="s">
        <v>1183</v>
      </c>
    </row>
    <row r="757" spans="2:25" ht="90" x14ac:dyDescent="0.25">
      <c r="B757" s="207" t="s">
        <v>299</v>
      </c>
      <c r="C757" s="66" t="s">
        <v>313</v>
      </c>
      <c r="D757" s="4" t="s">
        <v>317</v>
      </c>
      <c r="E757" s="4" t="s">
        <v>1072</v>
      </c>
      <c r="F757" s="4" t="s">
        <v>944</v>
      </c>
      <c r="G757" s="4" t="s">
        <v>1181</v>
      </c>
      <c r="H757" s="208">
        <v>1</v>
      </c>
      <c r="I757" s="4"/>
      <c r="J757" s="46" t="s">
        <v>1233</v>
      </c>
      <c r="K757" s="4" t="str">
        <f>VLOOKUP($J757,WH_Data[],6,FALSE)</f>
        <v>MULTIPARAMETER MODULE</v>
      </c>
      <c r="L757" s="4" t="str">
        <f>VLOOKUP($J757,WH_Data[],3,FALSE)</f>
        <v>PHILIPS MEDICAL SYSTEMS AUSTRA</v>
      </c>
      <c r="M757" s="4" t="str">
        <f>VLOOKUP($J757,WH_Data[],5,FALSE)</f>
        <v>IntelliVue X3</v>
      </c>
      <c r="N757" s="4" t="str">
        <f>VLOOKUP($J757,WH_Data[],7,FALSE)</f>
        <v>DE752N8629</v>
      </c>
      <c r="O757" s="4" t="str">
        <f>VLOOKUP($J757,WH_Data[],8,FALSE)</f>
        <v>ICU expansion</v>
      </c>
      <c r="P757" s="8">
        <v>1</v>
      </c>
      <c r="Q757" s="209">
        <f>Mon_ILR2[[#This Row],[Qty Required]]-Mon_ILR2[[#This Row],[QTY Transfer]]</f>
        <v>0</v>
      </c>
      <c r="R757" s="66" t="s">
        <v>905</v>
      </c>
      <c r="S757" s="66" t="s">
        <v>952</v>
      </c>
      <c r="T757" s="210">
        <v>1175</v>
      </c>
      <c r="U757" s="210">
        <f>_xlfn.IFNA(VLOOKUP(Mon_ILR2[[#This Row],[New Model]],PhilipsLibary[],5,FALSE),"0")</f>
        <v>0</v>
      </c>
      <c r="V757" s="210">
        <v>500</v>
      </c>
      <c r="W757" s="210">
        <v>1675</v>
      </c>
      <c r="X757" s="246" t="s">
        <v>954</v>
      </c>
      <c r="Y757" s="246" t="s">
        <v>1183</v>
      </c>
    </row>
    <row r="758" spans="2:25" ht="90" x14ac:dyDescent="0.25">
      <c r="B758" s="207" t="s">
        <v>299</v>
      </c>
      <c r="C758" s="66" t="s">
        <v>313</v>
      </c>
      <c r="D758" s="4" t="s">
        <v>319</v>
      </c>
      <c r="E758" s="4" t="s">
        <v>1072</v>
      </c>
      <c r="F758" s="4" t="s">
        <v>944</v>
      </c>
      <c r="G758" s="4" t="s">
        <v>1181</v>
      </c>
      <c r="H758" s="208">
        <v>1</v>
      </c>
      <c r="I758" s="4"/>
      <c r="J758" s="46" t="s">
        <v>1234</v>
      </c>
      <c r="K758" s="4" t="str">
        <f>VLOOKUP($J758,WH_Data[],6,FALSE)</f>
        <v>MULTIPARAMETER MODULE</v>
      </c>
      <c r="L758" s="4" t="str">
        <f>VLOOKUP($J758,WH_Data[],3,FALSE)</f>
        <v>PHILIPS MEDICAL SYSTEMS AUSTRA</v>
      </c>
      <c r="M758" s="4" t="str">
        <f>VLOOKUP($J758,WH_Data[],5,FALSE)</f>
        <v>IntelliVue X3</v>
      </c>
      <c r="N758" s="4" t="str">
        <f>VLOOKUP($J758,WH_Data[],7,FALSE)</f>
        <v>DE752N8570</v>
      </c>
      <c r="O758" s="4" t="str">
        <f>VLOOKUP($J758,WH_Data[],8,FALSE)</f>
        <v>ICU expansion</v>
      </c>
      <c r="P758" s="8">
        <v>1</v>
      </c>
      <c r="Q758" s="209">
        <f>Mon_ILR2[[#This Row],[Qty Required]]-Mon_ILR2[[#This Row],[QTY Transfer]]</f>
        <v>0</v>
      </c>
      <c r="R758" s="66" t="s">
        <v>905</v>
      </c>
      <c r="S758" s="66" t="s">
        <v>952</v>
      </c>
      <c r="T758" s="210">
        <v>1175</v>
      </c>
      <c r="U758" s="210">
        <f>_xlfn.IFNA(VLOOKUP(Mon_ILR2[[#This Row],[New Model]],PhilipsLibary[],5,FALSE),"0")</f>
        <v>0</v>
      </c>
      <c r="V758" s="210">
        <v>500</v>
      </c>
      <c r="W758" s="210">
        <v>1675</v>
      </c>
      <c r="X758" s="246" t="s">
        <v>954</v>
      </c>
      <c r="Y758" s="246" t="s">
        <v>1183</v>
      </c>
    </row>
    <row r="759" spans="2:25" ht="90" x14ac:dyDescent="0.25">
      <c r="B759" s="207" t="s">
        <v>299</v>
      </c>
      <c r="C759" s="66" t="s">
        <v>313</v>
      </c>
      <c r="D759" s="4" t="s">
        <v>322</v>
      </c>
      <c r="E759" s="4" t="s">
        <v>1072</v>
      </c>
      <c r="F759" s="4" t="s">
        <v>944</v>
      </c>
      <c r="G759" s="4" t="s">
        <v>1181</v>
      </c>
      <c r="H759" s="208">
        <v>1</v>
      </c>
      <c r="I759" s="4"/>
      <c r="J759" s="46" t="s">
        <v>1235</v>
      </c>
      <c r="K759" s="4" t="str">
        <f>VLOOKUP($J759,WH_Data[],6,FALSE)</f>
        <v>MULTI-PARAMETERS MODULE, PHYSIOLOGICAL</v>
      </c>
      <c r="L759" s="4" t="str">
        <f>VLOOKUP($J759,WH_Data[],3,FALSE)</f>
        <v>PHILIPS MEDICAL SYSTEMS AUSTRA</v>
      </c>
      <c r="M759" s="4" t="str">
        <f>VLOOKUP($J759,WH_Data[],5,FALSE)</f>
        <v>IntelliVue X3</v>
      </c>
      <c r="N759" s="4" t="str">
        <f>VLOOKUP($J759,WH_Data[],7,FALSE)</f>
        <v>DE694B0025</v>
      </c>
      <c r="O759" s="4" t="str">
        <f>VLOOKUP($J759,WH_Data[],8,FALSE)</f>
        <v>ICU FH</v>
      </c>
      <c r="P759" s="8">
        <v>1</v>
      </c>
      <c r="Q759" s="209">
        <f>Mon_ILR2[[#This Row],[Qty Required]]-Mon_ILR2[[#This Row],[QTY Transfer]]</f>
        <v>0</v>
      </c>
      <c r="R759" s="66" t="s">
        <v>905</v>
      </c>
      <c r="S759" s="66" t="s">
        <v>952</v>
      </c>
      <c r="T759" s="210">
        <v>1175</v>
      </c>
      <c r="U759" s="210">
        <f>_xlfn.IFNA(VLOOKUP(Mon_ILR2[[#This Row],[New Model]],PhilipsLibary[],5,FALSE),"0")</f>
        <v>0</v>
      </c>
      <c r="V759" s="210">
        <v>500</v>
      </c>
      <c r="W759" s="210">
        <v>1675</v>
      </c>
      <c r="X759" s="246" t="s">
        <v>954</v>
      </c>
      <c r="Y759" s="246" t="s">
        <v>1183</v>
      </c>
    </row>
    <row r="760" spans="2:25" ht="90" x14ac:dyDescent="0.25">
      <c r="B760" s="207" t="s">
        <v>299</v>
      </c>
      <c r="C760" s="66" t="s">
        <v>324</v>
      </c>
      <c r="D760" s="4" t="s">
        <v>325</v>
      </c>
      <c r="E760" s="4" t="s">
        <v>1072</v>
      </c>
      <c r="F760" s="4" t="s">
        <v>944</v>
      </c>
      <c r="G760" s="4" t="s">
        <v>1181</v>
      </c>
      <c r="H760" s="208">
        <v>1</v>
      </c>
      <c r="I760" s="4"/>
      <c r="J760" s="46" t="s">
        <v>1236</v>
      </c>
      <c r="K760" s="4" t="str">
        <f>VLOOKUP($J760,WH_Data[],6,FALSE)</f>
        <v>MULTI-PARAMETERS MODULE, PHYSIOLOGICAL</v>
      </c>
      <c r="L760" s="4" t="str">
        <f>VLOOKUP($J760,WH_Data[],3,FALSE)</f>
        <v>PHILIPS MEDICAL SYSTEMS AUSTRA</v>
      </c>
      <c r="M760" s="4" t="str">
        <f>VLOOKUP($J760,WH_Data[],5,FALSE)</f>
        <v>IntelliVue X3</v>
      </c>
      <c r="N760" s="4" t="str">
        <f>VLOOKUP($J760,WH_Data[],7,FALSE)</f>
        <v>DE694B0037</v>
      </c>
      <c r="O760" s="4" t="str">
        <f>VLOOKUP($J760,WH_Data[],8,FALSE)</f>
        <v>ICU FH</v>
      </c>
      <c r="P760" s="8">
        <v>1</v>
      </c>
      <c r="Q760" s="209">
        <f>Mon_ILR2[[#This Row],[Qty Required]]-Mon_ILR2[[#This Row],[QTY Transfer]]</f>
        <v>0</v>
      </c>
      <c r="R760" s="66" t="s">
        <v>905</v>
      </c>
      <c r="S760" s="66" t="s">
        <v>952</v>
      </c>
      <c r="T760" s="210">
        <v>1175</v>
      </c>
      <c r="U760" s="210">
        <f>_xlfn.IFNA(VLOOKUP(Mon_ILR2[[#This Row],[New Model]],PhilipsLibary[],5,FALSE),"0")</f>
        <v>0</v>
      </c>
      <c r="V760" s="210">
        <v>500</v>
      </c>
      <c r="W760" s="210">
        <v>1675</v>
      </c>
      <c r="X760" s="246" t="s">
        <v>954</v>
      </c>
      <c r="Y760" s="246" t="s">
        <v>1183</v>
      </c>
    </row>
    <row r="761" spans="2:25" ht="90" x14ac:dyDescent="0.25">
      <c r="B761" s="207" t="s">
        <v>299</v>
      </c>
      <c r="C761" s="66" t="s">
        <v>305</v>
      </c>
      <c r="D761" s="4" t="s">
        <v>327</v>
      </c>
      <c r="E761" s="4" t="s">
        <v>1072</v>
      </c>
      <c r="F761" s="4" t="s">
        <v>944</v>
      </c>
      <c r="G761" s="4" t="s">
        <v>1181</v>
      </c>
      <c r="H761" s="208">
        <v>1</v>
      </c>
      <c r="I761" s="4"/>
      <c r="J761" s="46" t="s">
        <v>1237</v>
      </c>
      <c r="K761" s="4" t="str">
        <f>VLOOKUP($J761,WH_Data[],6,FALSE)</f>
        <v>MULTI-PARAMETERS MODULE, PHYSIOLOGICAL</v>
      </c>
      <c r="L761" s="4" t="str">
        <f>VLOOKUP($J761,WH_Data[],3,FALSE)</f>
        <v>PHILIPS MEDICAL SYSTEMS AUSTRA</v>
      </c>
      <c r="M761" s="4" t="str">
        <f>VLOOKUP($J761,WH_Data[],5,FALSE)</f>
        <v>IntelliVue X3</v>
      </c>
      <c r="N761" s="4" t="str">
        <f>VLOOKUP($J761,WH_Data[],7,FALSE)</f>
        <v>DE694B0036</v>
      </c>
      <c r="O761" s="4" t="str">
        <f>VLOOKUP($J761,WH_Data[],8,FALSE)</f>
        <v>ICU FH</v>
      </c>
      <c r="P761" s="8">
        <v>1</v>
      </c>
      <c r="Q761" s="209">
        <f>Mon_ILR2[[#This Row],[Qty Required]]-Mon_ILR2[[#This Row],[QTY Transfer]]</f>
        <v>0</v>
      </c>
      <c r="R761" s="66" t="s">
        <v>905</v>
      </c>
      <c r="S761" s="66" t="s">
        <v>952</v>
      </c>
      <c r="T761" s="210">
        <v>1175</v>
      </c>
      <c r="U761" s="210">
        <f>_xlfn.IFNA(VLOOKUP(Mon_ILR2[[#This Row],[New Model]],PhilipsLibary[],5,FALSE),"0")</f>
        <v>0</v>
      </c>
      <c r="V761" s="210">
        <v>500</v>
      </c>
      <c r="W761" s="210">
        <v>1675</v>
      </c>
      <c r="X761" s="246" t="s">
        <v>954</v>
      </c>
      <c r="Y761" s="246" t="s">
        <v>1183</v>
      </c>
    </row>
    <row r="762" spans="2:25" ht="90" x14ac:dyDescent="0.25">
      <c r="B762" s="207" t="s">
        <v>299</v>
      </c>
      <c r="C762" s="66" t="s">
        <v>305</v>
      </c>
      <c r="D762" s="4" t="s">
        <v>329</v>
      </c>
      <c r="E762" s="4" t="s">
        <v>1072</v>
      </c>
      <c r="F762" s="4" t="s">
        <v>944</v>
      </c>
      <c r="G762" s="4" t="s">
        <v>1181</v>
      </c>
      <c r="H762" s="208">
        <v>1</v>
      </c>
      <c r="I762" s="4"/>
      <c r="J762" s="46" t="s">
        <v>1238</v>
      </c>
      <c r="K762" s="4" t="str">
        <f>VLOOKUP($J762,WH_Data[],6,FALSE)</f>
        <v>MULTI-PARAMETERS MODULE, PHYSIOLOGICAL</v>
      </c>
      <c r="L762" s="4" t="str">
        <f>VLOOKUP($J762,WH_Data[],3,FALSE)</f>
        <v>PHILIPS MEDICAL SYSTEMS AUSTRA</v>
      </c>
      <c r="M762" s="4" t="str">
        <f>VLOOKUP($J762,WH_Data[],5,FALSE)</f>
        <v>IntelliVue X3</v>
      </c>
      <c r="N762" s="4" t="str">
        <f>VLOOKUP($J762,WH_Data[],7,FALSE)</f>
        <v>DE694B0191</v>
      </c>
      <c r="O762" s="4" t="str">
        <f>VLOOKUP($J762,WH_Data[],8,FALSE)</f>
        <v>ICU FH</v>
      </c>
      <c r="P762" s="8">
        <v>1</v>
      </c>
      <c r="Q762" s="209">
        <f>Mon_ILR2[[#This Row],[Qty Required]]-Mon_ILR2[[#This Row],[QTY Transfer]]</f>
        <v>0</v>
      </c>
      <c r="R762" s="66" t="s">
        <v>905</v>
      </c>
      <c r="S762" s="66" t="s">
        <v>952</v>
      </c>
      <c r="T762" s="210">
        <v>1175</v>
      </c>
      <c r="U762" s="210">
        <f>_xlfn.IFNA(VLOOKUP(Mon_ILR2[[#This Row],[New Model]],PhilipsLibary[],5,FALSE),"0")</f>
        <v>0</v>
      </c>
      <c r="V762" s="210">
        <v>500</v>
      </c>
      <c r="W762" s="210">
        <v>1675</v>
      </c>
      <c r="X762" s="246" t="s">
        <v>954</v>
      </c>
      <c r="Y762" s="246" t="s">
        <v>1183</v>
      </c>
    </row>
    <row r="763" spans="2:25" ht="90" x14ac:dyDescent="0.25">
      <c r="B763" s="207" t="s">
        <v>299</v>
      </c>
      <c r="C763" s="66" t="s">
        <v>305</v>
      </c>
      <c r="D763" s="4" t="s">
        <v>331</v>
      </c>
      <c r="E763" s="4" t="s">
        <v>1072</v>
      </c>
      <c r="F763" s="4" t="s">
        <v>944</v>
      </c>
      <c r="G763" s="4" t="s">
        <v>1181</v>
      </c>
      <c r="H763" s="208">
        <v>1</v>
      </c>
      <c r="I763" s="4"/>
      <c r="J763" s="46" t="s">
        <v>1239</v>
      </c>
      <c r="K763" s="4" t="str">
        <f>VLOOKUP($J763,WH_Data[],6,FALSE)</f>
        <v>MULTI-PARAMETERS MODULE, PHYSIOLOGICAL</v>
      </c>
      <c r="L763" s="4" t="str">
        <f>VLOOKUP($J763,WH_Data[],3,FALSE)</f>
        <v>PHILIPS MEDICAL SYSTEMS AUSTRA</v>
      </c>
      <c r="M763" s="4" t="str">
        <f>VLOOKUP($J763,WH_Data[],5,FALSE)</f>
        <v>IntelliVue X3</v>
      </c>
      <c r="N763" s="4" t="str">
        <f>VLOOKUP($J763,WH_Data[],7,FALSE)</f>
        <v>DE694A9955</v>
      </c>
      <c r="O763" s="4" t="str">
        <f>VLOOKUP($J763,WH_Data[],8,FALSE)</f>
        <v>ICU FH</v>
      </c>
      <c r="P763" s="8">
        <v>1</v>
      </c>
      <c r="Q763" s="209">
        <f>Mon_ILR2[[#This Row],[Qty Required]]-Mon_ILR2[[#This Row],[QTY Transfer]]</f>
        <v>0</v>
      </c>
      <c r="R763" s="66" t="s">
        <v>905</v>
      </c>
      <c r="S763" s="66" t="s">
        <v>952</v>
      </c>
      <c r="T763" s="210">
        <v>1175</v>
      </c>
      <c r="U763" s="210">
        <f>_xlfn.IFNA(VLOOKUP(Mon_ILR2[[#This Row],[New Model]],PhilipsLibary[],5,FALSE),"0")</f>
        <v>0</v>
      </c>
      <c r="V763" s="210">
        <v>500</v>
      </c>
      <c r="W763" s="210">
        <v>1675</v>
      </c>
      <c r="X763" s="246" t="s">
        <v>954</v>
      </c>
      <c r="Y763" s="246" t="s">
        <v>1183</v>
      </c>
    </row>
    <row r="764" spans="2:25" ht="90" x14ac:dyDescent="0.25">
      <c r="B764" s="207" t="s">
        <v>299</v>
      </c>
      <c r="C764" s="66" t="s">
        <v>333</v>
      </c>
      <c r="D764" s="4" t="s">
        <v>334</v>
      </c>
      <c r="E764" s="4" t="s">
        <v>1072</v>
      </c>
      <c r="F764" s="4" t="s">
        <v>944</v>
      </c>
      <c r="G764" s="4" t="s">
        <v>1181</v>
      </c>
      <c r="H764" s="208">
        <v>1</v>
      </c>
      <c r="I764" s="4"/>
      <c r="J764" s="46" t="s">
        <v>1240</v>
      </c>
      <c r="K764" s="4" t="str">
        <f>VLOOKUP($J764,WH_Data[],6,FALSE)</f>
        <v>MULTI-PARAMETERS MODULE, PHYSIOLOGICAL</v>
      </c>
      <c r="L764" s="4" t="str">
        <f>VLOOKUP($J764,WH_Data[],3,FALSE)</f>
        <v>PHILIPS MEDICAL SYSTEMS AUSTRA</v>
      </c>
      <c r="M764" s="4" t="str">
        <f>VLOOKUP($J764,WH_Data[],5,FALSE)</f>
        <v>IntelliVue X3</v>
      </c>
      <c r="N764" s="4" t="str">
        <f>VLOOKUP($J764,WH_Data[],7,FALSE)</f>
        <v>DE694B0059</v>
      </c>
      <c r="O764" s="4" t="str">
        <f>VLOOKUP($J764,WH_Data[],8,FALSE)</f>
        <v>ICU FH</v>
      </c>
      <c r="P764" s="8">
        <v>1</v>
      </c>
      <c r="Q764" s="209">
        <f>Mon_ILR2[[#This Row],[Qty Required]]-Mon_ILR2[[#This Row],[QTY Transfer]]</f>
        <v>0</v>
      </c>
      <c r="R764" s="66" t="s">
        <v>905</v>
      </c>
      <c r="S764" s="66" t="s">
        <v>952</v>
      </c>
      <c r="T764" s="210">
        <v>1175</v>
      </c>
      <c r="U764" s="210">
        <f>_xlfn.IFNA(VLOOKUP(Mon_ILR2[[#This Row],[New Model]],PhilipsLibary[],5,FALSE),"0")</f>
        <v>0</v>
      </c>
      <c r="V764" s="210">
        <v>500</v>
      </c>
      <c r="W764" s="210">
        <v>1675</v>
      </c>
      <c r="X764" s="246" t="s">
        <v>954</v>
      </c>
      <c r="Y764" s="246" t="s">
        <v>1183</v>
      </c>
    </row>
    <row r="765" spans="2:25" ht="90" x14ac:dyDescent="0.25">
      <c r="B765" s="207" t="s">
        <v>299</v>
      </c>
      <c r="C765" s="66" t="s">
        <v>333</v>
      </c>
      <c r="D765" s="4" t="s">
        <v>336</v>
      </c>
      <c r="E765" s="4" t="s">
        <v>1072</v>
      </c>
      <c r="F765" s="4" t="s">
        <v>944</v>
      </c>
      <c r="G765" s="4" t="s">
        <v>1181</v>
      </c>
      <c r="H765" s="208">
        <v>1</v>
      </c>
      <c r="I765" s="4"/>
      <c r="J765" s="46" t="s">
        <v>1241</v>
      </c>
      <c r="K765" s="4" t="str">
        <f>VLOOKUP($J765,WH_Data[],6,FALSE)</f>
        <v>MULTI-PARAMETERS MODULE, PHYSIOLOGICAL</v>
      </c>
      <c r="L765" s="4" t="str">
        <f>VLOOKUP($J765,WH_Data[],3,FALSE)</f>
        <v>PHILIPS MEDICAL SYSTEMS AUSTRA</v>
      </c>
      <c r="M765" s="4" t="str">
        <f>VLOOKUP($J765,WH_Data[],5,FALSE)</f>
        <v>IntelliVue X3</v>
      </c>
      <c r="N765" s="4" t="str">
        <f>VLOOKUP($J765,WH_Data[],7,FALSE)</f>
        <v>DE694B0210</v>
      </c>
      <c r="O765" s="4" t="str">
        <f>VLOOKUP($J765,WH_Data[],8,FALSE)</f>
        <v>ICU FH</v>
      </c>
      <c r="P765" s="8">
        <v>1</v>
      </c>
      <c r="Q765" s="209">
        <f>Mon_ILR2[[#This Row],[Qty Required]]-Mon_ILR2[[#This Row],[QTY Transfer]]</f>
        <v>0</v>
      </c>
      <c r="R765" s="66" t="s">
        <v>905</v>
      </c>
      <c r="S765" s="66" t="s">
        <v>952</v>
      </c>
      <c r="T765" s="210">
        <v>1175</v>
      </c>
      <c r="U765" s="210">
        <f>_xlfn.IFNA(VLOOKUP(Mon_ILR2[[#This Row],[New Model]],PhilipsLibary[],5,FALSE),"0")</f>
        <v>0</v>
      </c>
      <c r="V765" s="210">
        <v>500</v>
      </c>
      <c r="W765" s="210">
        <v>1675</v>
      </c>
      <c r="X765" s="246" t="s">
        <v>954</v>
      </c>
      <c r="Y765" s="246" t="s">
        <v>1183</v>
      </c>
    </row>
    <row r="766" spans="2:25" ht="90" x14ac:dyDescent="0.25">
      <c r="B766" s="207" t="s">
        <v>299</v>
      </c>
      <c r="C766" s="66" t="s">
        <v>305</v>
      </c>
      <c r="D766" s="4" t="s">
        <v>338</v>
      </c>
      <c r="E766" s="4" t="s">
        <v>1072</v>
      </c>
      <c r="F766" s="4" t="s">
        <v>944</v>
      </c>
      <c r="G766" s="4" t="s">
        <v>1181</v>
      </c>
      <c r="H766" s="208">
        <v>1</v>
      </c>
      <c r="I766" s="4"/>
      <c r="J766" s="46" t="s">
        <v>1242</v>
      </c>
      <c r="K766" s="4" t="str">
        <f>VLOOKUP($J766,WH_Data[],6,FALSE)</f>
        <v>MULTI-PARAMETERS MODULE, PHYSIOLOGICAL</v>
      </c>
      <c r="L766" s="4" t="str">
        <f>VLOOKUP($J766,WH_Data[],3,FALSE)</f>
        <v>PHILIPS MEDICAL SYSTEMS AUSTRA</v>
      </c>
      <c r="M766" s="4" t="str">
        <f>VLOOKUP($J766,WH_Data[],5,FALSE)</f>
        <v>IntelliVue X3</v>
      </c>
      <c r="N766" s="4" t="str">
        <f>VLOOKUP($J766,WH_Data[],7,FALSE)</f>
        <v>DE694B1557</v>
      </c>
      <c r="O766" s="4" t="str">
        <f>VLOOKUP($J766,WH_Data[],8,FALSE)</f>
        <v>ICU FH</v>
      </c>
      <c r="P766" s="8">
        <v>1</v>
      </c>
      <c r="Q766" s="209">
        <f>Mon_ILR2[[#This Row],[Qty Required]]-Mon_ILR2[[#This Row],[QTY Transfer]]</f>
        <v>0</v>
      </c>
      <c r="R766" s="66" t="s">
        <v>905</v>
      </c>
      <c r="S766" s="66" t="s">
        <v>952</v>
      </c>
      <c r="T766" s="210">
        <v>1175</v>
      </c>
      <c r="U766" s="210">
        <f>_xlfn.IFNA(VLOOKUP(Mon_ILR2[[#This Row],[New Model]],PhilipsLibary[],5,FALSE),"0")</f>
        <v>0</v>
      </c>
      <c r="V766" s="210">
        <v>500</v>
      </c>
      <c r="W766" s="210">
        <v>1675</v>
      </c>
      <c r="X766" s="246" t="s">
        <v>954</v>
      </c>
      <c r="Y766" s="246" t="s">
        <v>1183</v>
      </c>
    </row>
    <row r="767" spans="2:25" ht="90" x14ac:dyDescent="0.25">
      <c r="B767" s="207" t="s">
        <v>299</v>
      </c>
      <c r="C767" s="66" t="s">
        <v>305</v>
      </c>
      <c r="D767" s="4" t="s">
        <v>342</v>
      </c>
      <c r="E767" s="4" t="s">
        <v>1072</v>
      </c>
      <c r="F767" s="4" t="s">
        <v>944</v>
      </c>
      <c r="G767" s="4" t="s">
        <v>1181</v>
      </c>
      <c r="H767" s="208">
        <v>1</v>
      </c>
      <c r="I767" s="4"/>
      <c r="J767" s="46" t="s">
        <v>1243</v>
      </c>
      <c r="K767" s="4" t="str">
        <f>VLOOKUP($J767,WH_Data[],6,FALSE)</f>
        <v>MULTI-PARAMETERS MODULE, PHYSIOLOGICAL</v>
      </c>
      <c r="L767" s="4" t="str">
        <f>VLOOKUP($J767,WH_Data[],3,FALSE)</f>
        <v>PHILIPS MEDICAL SYSTEMS AUSTRA</v>
      </c>
      <c r="M767" s="4" t="str">
        <f>VLOOKUP($J767,WH_Data[],5,FALSE)</f>
        <v>IntelliVue X3</v>
      </c>
      <c r="N767" s="4" t="str">
        <f>VLOOKUP($J767,WH_Data[],7,FALSE)</f>
        <v>DE694H5787</v>
      </c>
      <c r="O767" s="4" t="str">
        <f>VLOOKUP($J767,WH_Data[],8,FALSE)</f>
        <v>ICU FH</v>
      </c>
      <c r="P767" s="8">
        <v>1</v>
      </c>
      <c r="Q767" s="209">
        <f>Mon_ILR2[[#This Row],[Qty Required]]-Mon_ILR2[[#This Row],[QTY Transfer]]</f>
        <v>0</v>
      </c>
      <c r="R767" s="66" t="s">
        <v>905</v>
      </c>
      <c r="S767" s="66" t="s">
        <v>952</v>
      </c>
      <c r="T767" s="210">
        <v>1175</v>
      </c>
      <c r="U767" s="210">
        <f>_xlfn.IFNA(VLOOKUP(Mon_ILR2[[#This Row],[New Model]],PhilipsLibary[],5,FALSE),"0")</f>
        <v>0</v>
      </c>
      <c r="V767" s="210">
        <v>500</v>
      </c>
      <c r="W767" s="210">
        <v>1675</v>
      </c>
      <c r="X767" s="246" t="s">
        <v>954</v>
      </c>
      <c r="Y767" s="246" t="s">
        <v>1183</v>
      </c>
    </row>
    <row r="768" spans="2:25" ht="90" x14ac:dyDescent="0.25">
      <c r="B768" s="207" t="s">
        <v>299</v>
      </c>
      <c r="C768" s="66" t="s">
        <v>305</v>
      </c>
      <c r="D768" s="4" t="s">
        <v>345</v>
      </c>
      <c r="E768" s="4" t="s">
        <v>1072</v>
      </c>
      <c r="F768" s="4" t="s">
        <v>944</v>
      </c>
      <c r="G768" s="4" t="s">
        <v>1181</v>
      </c>
      <c r="H768" s="208">
        <v>1</v>
      </c>
      <c r="I768" s="4"/>
      <c r="J768" s="46" t="s">
        <v>1244</v>
      </c>
      <c r="K768" s="4" t="str">
        <f>VLOOKUP($J768,WH_Data[],6,FALSE)</f>
        <v>MULTI-PARAMETERS MODULE, PHYSIOLOGICAL</v>
      </c>
      <c r="L768" s="4" t="str">
        <f>VLOOKUP($J768,WH_Data[],3,FALSE)</f>
        <v>PHILIPS MEDICAL SYSTEMS AUSTRA</v>
      </c>
      <c r="M768" s="4" t="str">
        <f>VLOOKUP($J768,WH_Data[],5,FALSE)</f>
        <v>IntelliVue X3</v>
      </c>
      <c r="N768" s="4" t="str">
        <f>VLOOKUP($J768,WH_Data[],7,FALSE)</f>
        <v>DE694H5621</v>
      </c>
      <c r="O768" s="4" t="str">
        <f>VLOOKUP($J768,WH_Data[],8,FALSE)</f>
        <v>ICU FH</v>
      </c>
      <c r="P768" s="8">
        <v>1</v>
      </c>
      <c r="Q768" s="209">
        <f>Mon_ILR2[[#This Row],[Qty Required]]-Mon_ILR2[[#This Row],[QTY Transfer]]</f>
        <v>0</v>
      </c>
      <c r="R768" s="66" t="s">
        <v>905</v>
      </c>
      <c r="S768" s="66" t="s">
        <v>952</v>
      </c>
      <c r="T768" s="210">
        <v>1175</v>
      </c>
      <c r="U768" s="210">
        <f>_xlfn.IFNA(VLOOKUP(Mon_ILR2[[#This Row],[New Model]],PhilipsLibary[],5,FALSE),"0")</f>
        <v>0</v>
      </c>
      <c r="V768" s="210">
        <v>500</v>
      </c>
      <c r="W768" s="210">
        <v>1675</v>
      </c>
      <c r="X768" s="246" t="s">
        <v>954</v>
      </c>
      <c r="Y768" s="246" t="s">
        <v>1183</v>
      </c>
    </row>
    <row r="769" spans="2:25" ht="90" x14ac:dyDescent="0.25">
      <c r="B769" s="207" t="s">
        <v>299</v>
      </c>
      <c r="C769" s="66" t="s">
        <v>324</v>
      </c>
      <c r="D769" s="4" t="s">
        <v>348</v>
      </c>
      <c r="E769" s="4" t="s">
        <v>1072</v>
      </c>
      <c r="F769" s="4" t="s">
        <v>944</v>
      </c>
      <c r="G769" s="4" t="s">
        <v>1181</v>
      </c>
      <c r="H769" s="208">
        <v>1</v>
      </c>
      <c r="I769" s="4"/>
      <c r="J769" s="46" t="s">
        <v>1245</v>
      </c>
      <c r="K769" s="4" t="str">
        <f>VLOOKUP($J769,WH_Data[],6,FALSE)</f>
        <v>MULTI-PARAMETERS MODULE, PHYSIOLOGICAL</v>
      </c>
      <c r="L769" s="4" t="str">
        <f>VLOOKUP($J769,WH_Data[],3,FALSE)</f>
        <v>PHILIPS MEDICAL SYSTEMS AUSTRA</v>
      </c>
      <c r="M769" s="4" t="str">
        <f>VLOOKUP($J769,WH_Data[],5,FALSE)</f>
        <v>IntelliVue X3</v>
      </c>
      <c r="N769" s="4" t="str">
        <f>VLOOKUP($J769,WH_Data[],7,FALSE)</f>
        <v>DE694H5784</v>
      </c>
      <c r="O769" s="4" t="str">
        <f>VLOOKUP($J769,WH_Data[],8,FALSE)</f>
        <v>ICU FH</v>
      </c>
      <c r="P769" s="8">
        <v>1</v>
      </c>
      <c r="Q769" s="209">
        <f>Mon_ILR2[[#This Row],[Qty Required]]-Mon_ILR2[[#This Row],[QTY Transfer]]</f>
        <v>0</v>
      </c>
      <c r="R769" s="66" t="s">
        <v>905</v>
      </c>
      <c r="S769" s="66" t="s">
        <v>952</v>
      </c>
      <c r="T769" s="210">
        <v>1175</v>
      </c>
      <c r="U769" s="210">
        <f>_xlfn.IFNA(VLOOKUP(Mon_ILR2[[#This Row],[New Model]],PhilipsLibary[],5,FALSE),"0")</f>
        <v>0</v>
      </c>
      <c r="V769" s="210">
        <v>500</v>
      </c>
      <c r="W769" s="210">
        <v>1675</v>
      </c>
      <c r="X769" s="246" t="s">
        <v>954</v>
      </c>
      <c r="Y769" s="246" t="s">
        <v>1183</v>
      </c>
    </row>
    <row r="770" spans="2:25" ht="90" x14ac:dyDescent="0.25">
      <c r="B770" s="207" t="s">
        <v>299</v>
      </c>
      <c r="C770" s="66" t="s">
        <v>305</v>
      </c>
      <c r="D770" s="4" t="s">
        <v>350</v>
      </c>
      <c r="E770" s="4" t="s">
        <v>1072</v>
      </c>
      <c r="F770" s="4" t="s">
        <v>944</v>
      </c>
      <c r="G770" s="4" t="s">
        <v>1181</v>
      </c>
      <c r="H770" s="208">
        <v>1</v>
      </c>
      <c r="I770" s="4"/>
      <c r="J770" s="46" t="s">
        <v>1246</v>
      </c>
      <c r="K770" s="4" t="str">
        <f>VLOOKUP($J770,WH_Data[],6,FALSE)</f>
        <v>MULTI-PARAMETERS MODULE, PHYSIOLOGICAL</v>
      </c>
      <c r="L770" s="4" t="str">
        <f>VLOOKUP($J770,WH_Data[],3,FALSE)</f>
        <v>PHILIPS MEDICAL SYSTEMS AUSTRA</v>
      </c>
      <c r="M770" s="4" t="str">
        <f>VLOOKUP($J770,WH_Data[],5,FALSE)</f>
        <v>IntelliVue X3</v>
      </c>
      <c r="N770" s="4" t="str">
        <f>VLOOKUP($J770,WH_Data[],7,FALSE)</f>
        <v>DE694H5628</v>
      </c>
      <c r="O770" s="4" t="str">
        <f>VLOOKUP($J770,WH_Data[],8,FALSE)</f>
        <v>ICU FH</v>
      </c>
      <c r="P770" s="8">
        <v>1</v>
      </c>
      <c r="Q770" s="209">
        <f>Mon_ILR2[[#This Row],[Qty Required]]-Mon_ILR2[[#This Row],[QTY Transfer]]</f>
        <v>0</v>
      </c>
      <c r="R770" s="66" t="s">
        <v>905</v>
      </c>
      <c r="S770" s="66" t="s">
        <v>952</v>
      </c>
      <c r="T770" s="210">
        <v>1175</v>
      </c>
      <c r="U770" s="210">
        <f>_xlfn.IFNA(VLOOKUP(Mon_ILR2[[#This Row],[New Model]],PhilipsLibary[],5,FALSE),"0")</f>
        <v>0</v>
      </c>
      <c r="V770" s="210">
        <v>500</v>
      </c>
      <c r="W770" s="210">
        <v>1675</v>
      </c>
      <c r="X770" s="246" t="s">
        <v>954</v>
      </c>
      <c r="Y770" s="246" t="s">
        <v>1183</v>
      </c>
    </row>
    <row r="771" spans="2:25" ht="90" x14ac:dyDescent="0.25">
      <c r="B771" s="207" t="s">
        <v>299</v>
      </c>
      <c r="C771" s="66" t="s">
        <v>333</v>
      </c>
      <c r="D771" s="4" t="s">
        <v>353</v>
      </c>
      <c r="E771" s="4" t="s">
        <v>1072</v>
      </c>
      <c r="F771" s="4" t="s">
        <v>944</v>
      </c>
      <c r="G771" s="4" t="s">
        <v>1181</v>
      </c>
      <c r="H771" s="208">
        <v>1</v>
      </c>
      <c r="I771" s="4"/>
      <c r="J771" s="46" t="s">
        <v>1247</v>
      </c>
      <c r="K771" s="4" t="str">
        <f>VLOOKUP($J771,WH_Data[],6,FALSE)</f>
        <v>MULTI-PARAMETERS MODULE, PHYSIOLOGICAL</v>
      </c>
      <c r="L771" s="4" t="str">
        <f>VLOOKUP($J771,WH_Data[],3,FALSE)</f>
        <v>PHILIPS MEDICAL SYSTEMS AUSTRA</v>
      </c>
      <c r="M771" s="4" t="str">
        <f>VLOOKUP($J771,WH_Data[],5,FALSE)</f>
        <v>IntelliVue X3</v>
      </c>
      <c r="N771" s="4" t="str">
        <f>VLOOKUP($J771,WH_Data[],7,FALSE)</f>
        <v>DE694H5816</v>
      </c>
      <c r="O771" s="4" t="str">
        <f>VLOOKUP($J771,WH_Data[],8,FALSE)</f>
        <v>ICU FH</v>
      </c>
      <c r="P771" s="8">
        <v>1</v>
      </c>
      <c r="Q771" s="209">
        <f>Mon_ILR2[[#This Row],[Qty Required]]-Mon_ILR2[[#This Row],[QTY Transfer]]</f>
        <v>0</v>
      </c>
      <c r="R771" s="66" t="s">
        <v>905</v>
      </c>
      <c r="S771" s="66" t="s">
        <v>952</v>
      </c>
      <c r="T771" s="210">
        <v>1175</v>
      </c>
      <c r="U771" s="210">
        <f>_xlfn.IFNA(VLOOKUP(Mon_ILR2[[#This Row],[New Model]],PhilipsLibary[],5,FALSE),"0")</f>
        <v>0</v>
      </c>
      <c r="V771" s="210">
        <v>500</v>
      </c>
      <c r="W771" s="210">
        <v>1675</v>
      </c>
      <c r="X771" s="246" t="s">
        <v>954</v>
      </c>
      <c r="Y771" s="246" t="s">
        <v>1183</v>
      </c>
    </row>
    <row r="772" spans="2:25" ht="90" x14ac:dyDescent="0.25">
      <c r="B772" s="207" t="s">
        <v>299</v>
      </c>
      <c r="C772" s="66" t="s">
        <v>305</v>
      </c>
      <c r="D772" s="4" t="s">
        <v>355</v>
      </c>
      <c r="E772" s="4" t="s">
        <v>1072</v>
      </c>
      <c r="F772" s="4" t="s">
        <v>944</v>
      </c>
      <c r="G772" s="4" t="s">
        <v>1181</v>
      </c>
      <c r="H772" s="208">
        <v>1</v>
      </c>
      <c r="I772" s="4"/>
      <c r="J772" s="46" t="s">
        <v>1248</v>
      </c>
      <c r="K772" s="4" t="str">
        <f>VLOOKUP($J772,WH_Data[],6,FALSE)</f>
        <v>MULTI-PARAMETERS MODULE, PHYSIOLOGICAL</v>
      </c>
      <c r="L772" s="4" t="str">
        <f>VLOOKUP($J772,WH_Data[],3,FALSE)</f>
        <v>PHILIPS MEDICAL SYSTEMS AUSTRA</v>
      </c>
      <c r="M772" s="4" t="str">
        <f>VLOOKUP($J772,WH_Data[],5,FALSE)</f>
        <v>IntelliVue X3</v>
      </c>
      <c r="N772" s="4" t="str">
        <f>VLOOKUP($J772,WH_Data[],7,FALSE)</f>
        <v>DE694H5617</v>
      </c>
      <c r="O772" s="4" t="str">
        <f>VLOOKUP($J772,WH_Data[],8,FALSE)</f>
        <v>ICU FH</v>
      </c>
      <c r="P772" s="8">
        <v>1</v>
      </c>
      <c r="Q772" s="209">
        <f>Mon_ILR2[[#This Row],[Qty Required]]-Mon_ILR2[[#This Row],[QTY Transfer]]</f>
        <v>0</v>
      </c>
      <c r="R772" s="66" t="s">
        <v>905</v>
      </c>
      <c r="S772" s="66" t="s">
        <v>952</v>
      </c>
      <c r="T772" s="210">
        <v>1175</v>
      </c>
      <c r="U772" s="210">
        <f>_xlfn.IFNA(VLOOKUP(Mon_ILR2[[#This Row],[New Model]],PhilipsLibary[],5,FALSE),"0")</f>
        <v>0</v>
      </c>
      <c r="V772" s="210">
        <v>500</v>
      </c>
      <c r="W772" s="210">
        <v>1675</v>
      </c>
      <c r="X772" s="246" t="s">
        <v>954</v>
      </c>
      <c r="Y772" s="246" t="s">
        <v>1183</v>
      </c>
    </row>
    <row r="773" spans="2:25" ht="90" x14ac:dyDescent="0.25">
      <c r="B773" s="207" t="s">
        <v>299</v>
      </c>
      <c r="C773" s="66" t="s">
        <v>305</v>
      </c>
      <c r="D773" s="4" t="s">
        <v>358</v>
      </c>
      <c r="E773" s="4" t="s">
        <v>1072</v>
      </c>
      <c r="F773" s="4" t="s">
        <v>944</v>
      </c>
      <c r="G773" s="4" t="s">
        <v>1181</v>
      </c>
      <c r="H773" s="208">
        <v>1</v>
      </c>
      <c r="I773" s="4"/>
      <c r="J773" s="46" t="s">
        <v>1249</v>
      </c>
      <c r="K773" s="4" t="str">
        <f>VLOOKUP($J773,WH_Data[],6,FALSE)</f>
        <v>MULTI-PARAMETERS MODULE, PHYSIOLOGICAL</v>
      </c>
      <c r="L773" s="4" t="str">
        <f>VLOOKUP($J773,WH_Data[],3,FALSE)</f>
        <v>PHILIPS MEDICAL SYSTEMS AUSTRA</v>
      </c>
      <c r="M773" s="4" t="str">
        <f>VLOOKUP($J773,WH_Data[],5,FALSE)</f>
        <v>IntelliVue X3</v>
      </c>
      <c r="N773" s="4" t="str">
        <f>VLOOKUP($J773,WH_Data[],7,FALSE)</f>
        <v>DE694H5714</v>
      </c>
      <c r="O773" s="4" t="str">
        <f>VLOOKUP($J773,WH_Data[],8,FALSE)</f>
        <v>ICU FH</v>
      </c>
      <c r="P773" s="8">
        <v>1</v>
      </c>
      <c r="Q773" s="209">
        <f>Mon_ILR2[[#This Row],[Qty Required]]-Mon_ILR2[[#This Row],[QTY Transfer]]</f>
        <v>0</v>
      </c>
      <c r="R773" s="66" t="s">
        <v>905</v>
      </c>
      <c r="S773" s="66" t="s">
        <v>952</v>
      </c>
      <c r="T773" s="210">
        <v>1175</v>
      </c>
      <c r="U773" s="210">
        <f>_xlfn.IFNA(VLOOKUP(Mon_ILR2[[#This Row],[New Model]],PhilipsLibary[],5,FALSE),"0")</f>
        <v>0</v>
      </c>
      <c r="V773" s="210">
        <v>500</v>
      </c>
      <c r="W773" s="210">
        <v>1675</v>
      </c>
      <c r="X773" s="246" t="s">
        <v>954</v>
      </c>
      <c r="Y773" s="246" t="s">
        <v>1183</v>
      </c>
    </row>
    <row r="774" spans="2:25" ht="90" x14ac:dyDescent="0.25">
      <c r="B774" s="207" t="s">
        <v>299</v>
      </c>
      <c r="C774" s="66" t="s">
        <v>333</v>
      </c>
      <c r="D774" s="4" t="s">
        <v>361</v>
      </c>
      <c r="E774" s="4" t="s">
        <v>1072</v>
      </c>
      <c r="F774" s="4" t="s">
        <v>944</v>
      </c>
      <c r="G774" s="4" t="s">
        <v>1181</v>
      </c>
      <c r="H774" s="208">
        <v>1</v>
      </c>
      <c r="I774" s="4"/>
      <c r="J774" s="46" t="s">
        <v>1250</v>
      </c>
      <c r="K774" s="4" t="str">
        <f>VLOOKUP($J774,WH_Data[],6,FALSE)</f>
        <v>MULTI-PARAMETERS MODULE, PHYSIOLOGICAL</v>
      </c>
      <c r="L774" s="4" t="str">
        <f>VLOOKUP($J774,WH_Data[],3,FALSE)</f>
        <v>PHILIPS MEDICAL SYSTEMS AUSTRA</v>
      </c>
      <c r="M774" s="4" t="str">
        <f>VLOOKUP($J774,WH_Data[],5,FALSE)</f>
        <v>IntelliVue X3</v>
      </c>
      <c r="N774" s="4" t="str">
        <f>VLOOKUP($J774,WH_Data[],7,FALSE)</f>
        <v>DE694H5873</v>
      </c>
      <c r="O774" s="4" t="str">
        <f>VLOOKUP($J774,WH_Data[],8,FALSE)</f>
        <v>ICU FH</v>
      </c>
      <c r="P774" s="8">
        <v>1</v>
      </c>
      <c r="Q774" s="209">
        <f>Mon_ILR2[[#This Row],[Qty Required]]-Mon_ILR2[[#This Row],[QTY Transfer]]</f>
        <v>0</v>
      </c>
      <c r="R774" s="66" t="s">
        <v>905</v>
      </c>
      <c r="S774" s="66" t="s">
        <v>952</v>
      </c>
      <c r="T774" s="210">
        <v>1175</v>
      </c>
      <c r="U774" s="210">
        <f>_xlfn.IFNA(VLOOKUP(Mon_ILR2[[#This Row],[New Model]],PhilipsLibary[],5,FALSE),"0")</f>
        <v>0</v>
      </c>
      <c r="V774" s="210">
        <v>500</v>
      </c>
      <c r="W774" s="210">
        <v>1675</v>
      </c>
      <c r="X774" s="246" t="s">
        <v>954</v>
      </c>
      <c r="Y774" s="246" t="s">
        <v>1183</v>
      </c>
    </row>
    <row r="775" spans="2:25" ht="15.75" customHeight="1" x14ac:dyDescent="0.25">
      <c r="B775" s="207" t="s">
        <v>363</v>
      </c>
      <c r="C775" s="66" t="s">
        <v>364</v>
      </c>
      <c r="D775" s="4" t="s">
        <v>365</v>
      </c>
      <c r="E775" s="4" t="s">
        <v>1027</v>
      </c>
      <c r="F775" s="4" t="s">
        <v>944</v>
      </c>
      <c r="G775" s="4" t="s">
        <v>1181</v>
      </c>
      <c r="H775" s="208">
        <v>1</v>
      </c>
      <c r="I775" s="4"/>
      <c r="J775" s="15"/>
      <c r="K775" s="4" t="str">
        <f>_xlfn.IFNA(VLOOKUP($J775,WH_Data[],6,FALSE),"")</f>
        <v/>
      </c>
      <c r="L775" s="4" t="str">
        <f>_xlfn.IFNA(VLOOKUP($J775,WH_Data[],3,FALSE),"")</f>
        <v/>
      </c>
      <c r="M775" s="4" t="str">
        <f>_xlfn.IFNA(VLOOKUP($J775,WH_Data[],5,FALSE),"")</f>
        <v/>
      </c>
      <c r="N775" s="4" t="str">
        <f>_xlfn.IFNA(VLOOKUP($J775,WH_Data[],7,FALSE),"")</f>
        <v/>
      </c>
      <c r="O775" s="4" t="str">
        <f>_xlfn.IFNA(VLOOKUP($J775,WH_Data[],8,FALSE),"")</f>
        <v/>
      </c>
      <c r="P775" s="8"/>
      <c r="Q775" s="209">
        <f>Mon_ILR2[[#This Row],[Qty Required]]-Mon_ILR2[[#This Row],[QTY Transfer]]</f>
        <v>1</v>
      </c>
      <c r="R775" s="66" t="s">
        <v>905</v>
      </c>
      <c r="S775" s="66" t="s">
        <v>946</v>
      </c>
      <c r="T775" s="210">
        <f>_xlfn.IFNA(VLOOKUP(Mon_ILR2[[#This Row],[New Model]],PhilipsLibary[],4,FALSE),"0")</f>
        <v>7999</v>
      </c>
      <c r="U775" s="210">
        <f>_xlfn.IFNA(VLOOKUP(Mon_ILR2[[#This Row],[New Model]],PhilipsLibary[],5,FALSE),"0")</f>
        <v>0</v>
      </c>
      <c r="V775" s="210">
        <f>_xlfn.IFNA(VLOOKUP(Mon_ILR2[[#This Row],[New Model]],PhilipsLibary[],5,FALSE),"0")</f>
        <v>0</v>
      </c>
      <c r="W775" s="210">
        <f>Mon_ILR2[[#This Row],[Accessory Rate]]+Mon_ILR2[[#This Row],[Mounting Rate]]+Mon_ILR2[[#This Row],[Unit Rate]]*Mon_ILR2[[#This Row],[New Quantity Required ]]</f>
        <v>7999</v>
      </c>
      <c r="X775" s="8"/>
      <c r="Y775" s="246"/>
    </row>
    <row r="776" spans="2:25" ht="15.75" customHeight="1" x14ac:dyDescent="0.25">
      <c r="B776" s="207" t="s">
        <v>528</v>
      </c>
      <c r="C776" s="66" t="s">
        <v>594</v>
      </c>
      <c r="D776" s="4" t="s">
        <v>777</v>
      </c>
      <c r="E776" s="4" t="s">
        <v>1027</v>
      </c>
      <c r="F776" s="4" t="s">
        <v>944</v>
      </c>
      <c r="G776" s="4" t="s">
        <v>1181</v>
      </c>
      <c r="H776" s="208">
        <v>1</v>
      </c>
      <c r="I776" s="4"/>
      <c r="J776" s="15"/>
      <c r="K776" s="4" t="str">
        <f>_xlfn.IFNA(VLOOKUP($J776,WH_Data[],6,FALSE),"")</f>
        <v/>
      </c>
      <c r="L776" s="4" t="str">
        <f>_xlfn.IFNA(VLOOKUP($J776,WH_Data[],3,FALSE),"")</f>
        <v/>
      </c>
      <c r="M776" s="4" t="str">
        <f>_xlfn.IFNA(VLOOKUP($J776,WH_Data[],5,FALSE),"")</f>
        <v/>
      </c>
      <c r="N776" s="4" t="str">
        <f>_xlfn.IFNA(VLOOKUP($J776,WH_Data[],7,FALSE),"")</f>
        <v/>
      </c>
      <c r="O776" s="4" t="str">
        <f>_xlfn.IFNA(VLOOKUP($J776,WH_Data[],8,FALSE),"")</f>
        <v/>
      </c>
      <c r="P776" s="8"/>
      <c r="Q776" s="209">
        <f>Mon_ILR2[[#This Row],[Qty Required]]-Mon_ILR2[[#This Row],[QTY Transfer]]</f>
        <v>1</v>
      </c>
      <c r="R776" s="66" t="s">
        <v>905</v>
      </c>
      <c r="S776" s="66" t="s">
        <v>946</v>
      </c>
      <c r="T776" s="210">
        <f>_xlfn.IFNA(VLOOKUP(Mon_ILR2[[#This Row],[New Model]],PhilipsLibary[],4,FALSE),"0")</f>
        <v>7999</v>
      </c>
      <c r="U776" s="210">
        <f>_xlfn.IFNA(VLOOKUP(Mon_ILR2[[#This Row],[New Model]],PhilipsLibary[],5,FALSE),"0")</f>
        <v>0</v>
      </c>
      <c r="V776" s="210">
        <f>_xlfn.IFNA(VLOOKUP(Mon_ILR2[[#This Row],[New Model]],PhilipsLibary[],5,FALSE),"0")</f>
        <v>0</v>
      </c>
      <c r="W776" s="210">
        <f>Mon_ILR2[[#This Row],[Accessory Rate]]+Mon_ILR2[[#This Row],[Mounting Rate]]+Mon_ILR2[[#This Row],[Unit Rate]]*Mon_ILR2[[#This Row],[New Quantity Required ]]</f>
        <v>7999</v>
      </c>
      <c r="X776" s="8"/>
      <c r="Y776" s="246"/>
    </row>
    <row r="777" spans="2:25" ht="15.75" customHeight="1" x14ac:dyDescent="0.25">
      <c r="B777" s="207" t="s">
        <v>528</v>
      </c>
      <c r="C777" s="66" t="s">
        <v>471</v>
      </c>
      <c r="D777" s="4" t="s">
        <v>778</v>
      </c>
      <c r="E777" s="4" t="s">
        <v>1027</v>
      </c>
      <c r="F777" s="4" t="s">
        <v>944</v>
      </c>
      <c r="G777" s="4" t="s">
        <v>1181</v>
      </c>
      <c r="H777" s="208">
        <v>1</v>
      </c>
      <c r="I777" s="4"/>
      <c r="J777" s="15"/>
      <c r="K777" s="4" t="str">
        <f>_xlfn.IFNA(VLOOKUP($J777,WH_Data[],6,FALSE),"")</f>
        <v/>
      </c>
      <c r="L777" s="4" t="str">
        <f>_xlfn.IFNA(VLOOKUP($J777,WH_Data[],3,FALSE),"")</f>
        <v/>
      </c>
      <c r="M777" s="4" t="str">
        <f>_xlfn.IFNA(VLOOKUP($J777,WH_Data[],5,FALSE),"")</f>
        <v/>
      </c>
      <c r="N777" s="4" t="str">
        <f>_xlfn.IFNA(VLOOKUP($J777,WH_Data[],7,FALSE),"")</f>
        <v/>
      </c>
      <c r="O777" s="4" t="str">
        <f>_xlfn.IFNA(VLOOKUP($J777,WH_Data[],8,FALSE),"")</f>
        <v/>
      </c>
      <c r="P777" s="8"/>
      <c r="Q777" s="209">
        <f>Mon_ILR2[[#This Row],[Qty Required]]-Mon_ILR2[[#This Row],[QTY Transfer]]</f>
        <v>1</v>
      </c>
      <c r="R777" s="66" t="s">
        <v>905</v>
      </c>
      <c r="S777" s="66" t="s">
        <v>946</v>
      </c>
      <c r="T777" s="210">
        <f>_xlfn.IFNA(VLOOKUP(Mon_ILR2[[#This Row],[New Model]],PhilipsLibary[],4,FALSE),"0")</f>
        <v>7999</v>
      </c>
      <c r="U777" s="210">
        <f>_xlfn.IFNA(VLOOKUP(Mon_ILR2[[#This Row],[New Model]],PhilipsLibary[],5,FALSE),"0")</f>
        <v>0</v>
      </c>
      <c r="V777" s="210">
        <f>_xlfn.IFNA(VLOOKUP(Mon_ILR2[[#This Row],[New Model]],PhilipsLibary[],5,FALSE),"0")</f>
        <v>0</v>
      </c>
      <c r="W777" s="210">
        <f>Mon_ILR2[[#This Row],[Accessory Rate]]+Mon_ILR2[[#This Row],[Mounting Rate]]+Mon_ILR2[[#This Row],[Unit Rate]]*Mon_ILR2[[#This Row],[New Quantity Required ]]</f>
        <v>7999</v>
      </c>
      <c r="X777" s="8"/>
      <c r="Y777" s="246"/>
    </row>
    <row r="778" spans="2:25" ht="15.75" customHeight="1" x14ac:dyDescent="0.25">
      <c r="B778" s="207" t="s">
        <v>368</v>
      </c>
      <c r="C778" s="66" t="s">
        <v>36</v>
      </c>
      <c r="D778" s="4" t="s">
        <v>369</v>
      </c>
      <c r="E778" s="4" t="s">
        <v>1027</v>
      </c>
      <c r="F778" s="4" t="s">
        <v>944</v>
      </c>
      <c r="G778" s="4" t="s">
        <v>1181</v>
      </c>
      <c r="H778" s="208">
        <v>1</v>
      </c>
      <c r="I778" s="4"/>
      <c r="J778" s="15"/>
      <c r="K778" s="4" t="str">
        <f>_xlfn.IFNA(VLOOKUP($J778,WH_Data[],6,FALSE),"")</f>
        <v/>
      </c>
      <c r="L778" s="4" t="str">
        <f>_xlfn.IFNA(VLOOKUP($J778,WH_Data[],3,FALSE),"")</f>
        <v/>
      </c>
      <c r="M778" s="4" t="str">
        <f>_xlfn.IFNA(VLOOKUP($J778,WH_Data[],5,FALSE),"")</f>
        <v/>
      </c>
      <c r="N778" s="4" t="str">
        <f>_xlfn.IFNA(VLOOKUP($J778,WH_Data[],7,FALSE),"")</f>
        <v/>
      </c>
      <c r="O778" s="4" t="str">
        <f>_xlfn.IFNA(VLOOKUP($J778,WH_Data[],8,FALSE),"")</f>
        <v/>
      </c>
      <c r="P778" s="8"/>
      <c r="Q778" s="209">
        <f>Mon_ILR2[[#This Row],[Qty Required]]-Mon_ILR2[[#This Row],[QTY Transfer]]</f>
        <v>1</v>
      </c>
      <c r="R778" s="66" t="s">
        <v>905</v>
      </c>
      <c r="S778" s="66" t="s">
        <v>946</v>
      </c>
      <c r="T778" s="210">
        <f>_xlfn.IFNA(VLOOKUP(Mon_ILR2[[#This Row],[New Model]],PhilipsLibary[],4,FALSE),"0")</f>
        <v>7999</v>
      </c>
      <c r="U778" s="210">
        <f>_xlfn.IFNA(VLOOKUP(Mon_ILR2[[#This Row],[New Model]],PhilipsLibary[],5,FALSE),"0")</f>
        <v>0</v>
      </c>
      <c r="V778" s="210">
        <f>_xlfn.IFNA(VLOOKUP(Mon_ILR2[[#This Row],[New Model]],PhilipsLibary[],5,FALSE),"0")</f>
        <v>0</v>
      </c>
      <c r="W778" s="210">
        <f>Mon_ILR2[[#This Row],[Accessory Rate]]+Mon_ILR2[[#This Row],[Mounting Rate]]+Mon_ILR2[[#This Row],[Unit Rate]]*Mon_ILR2[[#This Row],[New Quantity Required ]]</f>
        <v>7999</v>
      </c>
      <c r="X778" s="8"/>
      <c r="Y778" s="246"/>
    </row>
    <row r="779" spans="2:25" ht="15.75" customHeight="1" x14ac:dyDescent="0.25">
      <c r="B779" s="207" t="s">
        <v>368</v>
      </c>
      <c r="C779" s="66" t="s">
        <v>371</v>
      </c>
      <c r="D779" s="4" t="s">
        <v>372</v>
      </c>
      <c r="E779" s="4" t="s">
        <v>1027</v>
      </c>
      <c r="F779" s="4" t="s">
        <v>944</v>
      </c>
      <c r="G779" s="4" t="s">
        <v>1181</v>
      </c>
      <c r="H779" s="208">
        <v>1</v>
      </c>
      <c r="I779" s="4"/>
      <c r="J779" s="15"/>
      <c r="K779" s="4" t="str">
        <f>_xlfn.IFNA(VLOOKUP($J779,WH_Data[],6,FALSE),"")</f>
        <v/>
      </c>
      <c r="L779" s="4" t="str">
        <f>_xlfn.IFNA(VLOOKUP($J779,WH_Data[],3,FALSE),"")</f>
        <v/>
      </c>
      <c r="M779" s="4" t="str">
        <f>_xlfn.IFNA(VLOOKUP($J779,WH_Data[],5,FALSE),"")</f>
        <v/>
      </c>
      <c r="N779" s="4" t="str">
        <f>_xlfn.IFNA(VLOOKUP($J779,WH_Data[],7,FALSE),"")</f>
        <v/>
      </c>
      <c r="O779" s="4" t="str">
        <f>_xlfn.IFNA(VLOOKUP($J779,WH_Data[],8,FALSE),"")</f>
        <v/>
      </c>
      <c r="P779" s="8"/>
      <c r="Q779" s="209">
        <f>Mon_ILR2[[#This Row],[Qty Required]]-Mon_ILR2[[#This Row],[QTY Transfer]]</f>
        <v>1</v>
      </c>
      <c r="R779" s="66" t="s">
        <v>905</v>
      </c>
      <c r="S779" s="66" t="s">
        <v>946</v>
      </c>
      <c r="T779" s="210">
        <f>_xlfn.IFNA(VLOOKUP(Mon_ILR2[[#This Row],[New Model]],PhilipsLibary[],4,FALSE),"0")</f>
        <v>7999</v>
      </c>
      <c r="U779" s="210">
        <f>_xlfn.IFNA(VLOOKUP(Mon_ILR2[[#This Row],[New Model]],PhilipsLibary[],5,FALSE),"0")</f>
        <v>0</v>
      </c>
      <c r="V779" s="210">
        <f>_xlfn.IFNA(VLOOKUP(Mon_ILR2[[#This Row],[New Model]],PhilipsLibary[],5,FALSE),"0")</f>
        <v>0</v>
      </c>
      <c r="W779" s="210">
        <f>Mon_ILR2[[#This Row],[Accessory Rate]]+Mon_ILR2[[#This Row],[Mounting Rate]]+Mon_ILR2[[#This Row],[Unit Rate]]*Mon_ILR2[[#This Row],[New Quantity Required ]]</f>
        <v>7999</v>
      </c>
      <c r="X779" s="8"/>
      <c r="Y779" s="302" t="s">
        <v>2174</v>
      </c>
    </row>
    <row r="780" spans="2:25" ht="15.75" customHeight="1" x14ac:dyDescent="0.25">
      <c r="B780" s="207" t="s">
        <v>368</v>
      </c>
      <c r="C780" s="66" t="s">
        <v>374</v>
      </c>
      <c r="D780" s="4" t="s">
        <v>375</v>
      </c>
      <c r="E780" s="4" t="s">
        <v>1027</v>
      </c>
      <c r="F780" s="4" t="s">
        <v>944</v>
      </c>
      <c r="G780" s="4" t="s">
        <v>1181</v>
      </c>
      <c r="H780" s="208">
        <v>1</v>
      </c>
      <c r="I780" s="4"/>
      <c r="J780" s="15"/>
      <c r="K780" s="4" t="str">
        <f>_xlfn.IFNA(VLOOKUP($J780,WH_Data[],6,FALSE),"")</f>
        <v/>
      </c>
      <c r="L780" s="4" t="str">
        <f>_xlfn.IFNA(VLOOKUP($J780,WH_Data[],3,FALSE),"")</f>
        <v/>
      </c>
      <c r="M780" s="4" t="str">
        <f>_xlfn.IFNA(VLOOKUP($J780,WH_Data[],5,FALSE),"")</f>
        <v/>
      </c>
      <c r="N780" s="4" t="str">
        <f>_xlfn.IFNA(VLOOKUP($J780,WH_Data[],7,FALSE),"")</f>
        <v/>
      </c>
      <c r="O780" s="4" t="str">
        <f>_xlfn.IFNA(VLOOKUP($J780,WH_Data[],8,FALSE),"")</f>
        <v/>
      </c>
      <c r="P780" s="8"/>
      <c r="Q780" s="209">
        <f>Mon_ILR2[[#This Row],[Qty Required]]-Mon_ILR2[[#This Row],[QTY Transfer]]</f>
        <v>1</v>
      </c>
      <c r="R780" s="66" t="s">
        <v>905</v>
      </c>
      <c r="S780" s="66" t="s">
        <v>946</v>
      </c>
      <c r="T780" s="210">
        <f>_xlfn.IFNA(VLOOKUP(Mon_ILR2[[#This Row],[New Model]],PhilipsLibary[],4,FALSE),"0")</f>
        <v>7999</v>
      </c>
      <c r="U780" s="210">
        <f>_xlfn.IFNA(VLOOKUP(Mon_ILR2[[#This Row],[New Model]],PhilipsLibary[],5,FALSE),"0")</f>
        <v>0</v>
      </c>
      <c r="V780" s="210">
        <f>_xlfn.IFNA(VLOOKUP(Mon_ILR2[[#This Row],[New Model]],PhilipsLibary[],5,FALSE),"0")</f>
        <v>0</v>
      </c>
      <c r="W780" s="210">
        <f>Mon_ILR2[[#This Row],[Accessory Rate]]+Mon_ILR2[[#This Row],[Mounting Rate]]+Mon_ILR2[[#This Row],[Unit Rate]]*Mon_ILR2[[#This Row],[New Quantity Required ]]</f>
        <v>7999</v>
      </c>
      <c r="X780" s="8"/>
      <c r="Y780" s="302" t="s">
        <v>2174</v>
      </c>
    </row>
    <row r="781" spans="2:25" ht="15.75" customHeight="1" x14ac:dyDescent="0.25">
      <c r="B781" s="207" t="s">
        <v>368</v>
      </c>
      <c r="C781" s="66" t="s">
        <v>374</v>
      </c>
      <c r="D781" s="4" t="s">
        <v>377</v>
      </c>
      <c r="E781" s="4" t="s">
        <v>1027</v>
      </c>
      <c r="F781" s="4" t="s">
        <v>944</v>
      </c>
      <c r="G781" s="4" t="s">
        <v>1181</v>
      </c>
      <c r="H781" s="208">
        <v>1</v>
      </c>
      <c r="I781" s="4"/>
      <c r="J781" s="15"/>
      <c r="K781" s="4" t="str">
        <f>_xlfn.IFNA(VLOOKUP($J781,WH_Data[],6,FALSE),"")</f>
        <v/>
      </c>
      <c r="L781" s="4" t="str">
        <f>_xlfn.IFNA(VLOOKUP($J781,WH_Data[],3,FALSE),"")</f>
        <v/>
      </c>
      <c r="M781" s="4" t="str">
        <f>_xlfn.IFNA(VLOOKUP($J781,WH_Data[],5,FALSE),"")</f>
        <v/>
      </c>
      <c r="N781" s="4" t="str">
        <f>_xlfn.IFNA(VLOOKUP($J781,WH_Data[],7,FALSE),"")</f>
        <v/>
      </c>
      <c r="O781" s="4" t="str">
        <f>_xlfn.IFNA(VLOOKUP($J781,WH_Data[],8,FALSE),"")</f>
        <v/>
      </c>
      <c r="P781" s="8"/>
      <c r="Q781" s="209">
        <f>Mon_ILR2[[#This Row],[Qty Required]]-Mon_ILR2[[#This Row],[QTY Transfer]]</f>
        <v>1</v>
      </c>
      <c r="R781" s="66" t="s">
        <v>905</v>
      </c>
      <c r="S781" s="66" t="s">
        <v>946</v>
      </c>
      <c r="T781" s="210">
        <f>_xlfn.IFNA(VLOOKUP(Mon_ILR2[[#This Row],[New Model]],PhilipsLibary[],4,FALSE),"0")</f>
        <v>7999</v>
      </c>
      <c r="U781" s="210">
        <f>_xlfn.IFNA(VLOOKUP(Mon_ILR2[[#This Row],[New Model]],PhilipsLibary[],5,FALSE),"0")</f>
        <v>0</v>
      </c>
      <c r="V781" s="210">
        <f>_xlfn.IFNA(VLOOKUP(Mon_ILR2[[#This Row],[New Model]],PhilipsLibary[],5,FALSE),"0")</f>
        <v>0</v>
      </c>
      <c r="W781" s="210">
        <f>Mon_ILR2[[#This Row],[Accessory Rate]]+Mon_ILR2[[#This Row],[Mounting Rate]]+Mon_ILR2[[#This Row],[Unit Rate]]*Mon_ILR2[[#This Row],[New Quantity Required ]]</f>
        <v>7999</v>
      </c>
      <c r="X781" s="8"/>
      <c r="Y781" s="302" t="s">
        <v>2174</v>
      </c>
    </row>
    <row r="782" spans="2:25" ht="15.75" customHeight="1" x14ac:dyDescent="0.25">
      <c r="B782" s="207" t="s">
        <v>368</v>
      </c>
      <c r="C782" s="66" t="s">
        <v>379</v>
      </c>
      <c r="D782" s="4" t="s">
        <v>380</v>
      </c>
      <c r="E782" s="4" t="s">
        <v>1027</v>
      </c>
      <c r="F782" s="4" t="s">
        <v>944</v>
      </c>
      <c r="G782" s="4" t="s">
        <v>1181</v>
      </c>
      <c r="H782" s="208">
        <v>1</v>
      </c>
      <c r="I782" s="4"/>
      <c r="J782" s="15"/>
      <c r="K782" s="4" t="str">
        <f>_xlfn.IFNA(VLOOKUP($J782,WH_Data[],6,FALSE),"")</f>
        <v/>
      </c>
      <c r="L782" s="4" t="str">
        <f>_xlfn.IFNA(VLOOKUP($J782,WH_Data[],3,FALSE),"")</f>
        <v/>
      </c>
      <c r="M782" s="4" t="str">
        <f>_xlfn.IFNA(VLOOKUP($J782,WH_Data[],5,FALSE),"")</f>
        <v/>
      </c>
      <c r="N782" s="4" t="str">
        <f>_xlfn.IFNA(VLOOKUP($J782,WH_Data[],7,FALSE),"")</f>
        <v/>
      </c>
      <c r="O782" s="4" t="str">
        <f>_xlfn.IFNA(VLOOKUP($J782,WH_Data[],8,FALSE),"")</f>
        <v/>
      </c>
      <c r="P782" s="8"/>
      <c r="Q782" s="209">
        <f>Mon_ILR2[[#This Row],[Qty Required]]-Mon_ILR2[[#This Row],[QTY Transfer]]</f>
        <v>1</v>
      </c>
      <c r="R782" s="66" t="s">
        <v>905</v>
      </c>
      <c r="S782" s="66" t="s">
        <v>946</v>
      </c>
      <c r="T782" s="210">
        <f>_xlfn.IFNA(VLOOKUP(Mon_ILR2[[#This Row],[New Model]],PhilipsLibary[],4,FALSE),"0")</f>
        <v>7999</v>
      </c>
      <c r="U782" s="210">
        <f>_xlfn.IFNA(VLOOKUP(Mon_ILR2[[#This Row],[New Model]],PhilipsLibary[],5,FALSE),"0")</f>
        <v>0</v>
      </c>
      <c r="V782" s="210">
        <f>_xlfn.IFNA(VLOOKUP(Mon_ILR2[[#This Row],[New Model]],PhilipsLibary[],5,FALSE),"0")</f>
        <v>0</v>
      </c>
      <c r="W782" s="210">
        <f>Mon_ILR2[[#This Row],[Accessory Rate]]+Mon_ILR2[[#This Row],[Mounting Rate]]+Mon_ILR2[[#This Row],[Unit Rate]]*Mon_ILR2[[#This Row],[New Quantity Required ]]</f>
        <v>7999</v>
      </c>
      <c r="X782" s="8"/>
      <c r="Y782" s="246"/>
    </row>
    <row r="783" spans="2:25" ht="15.75" customHeight="1" x14ac:dyDescent="0.25">
      <c r="B783" s="207" t="s">
        <v>368</v>
      </c>
      <c r="C783" s="66" t="s">
        <v>382</v>
      </c>
      <c r="D783" s="4" t="s">
        <v>383</v>
      </c>
      <c r="E783" s="4" t="s">
        <v>1027</v>
      </c>
      <c r="F783" s="4" t="s">
        <v>944</v>
      </c>
      <c r="G783" s="4" t="s">
        <v>1181</v>
      </c>
      <c r="H783" s="208">
        <v>1</v>
      </c>
      <c r="I783" s="4"/>
      <c r="J783" s="15"/>
      <c r="K783" s="4" t="str">
        <f>_xlfn.IFNA(VLOOKUP($J783,WH_Data[],6,FALSE),"")</f>
        <v/>
      </c>
      <c r="L783" s="4" t="str">
        <f>_xlfn.IFNA(VLOOKUP($J783,WH_Data[],3,FALSE),"")</f>
        <v/>
      </c>
      <c r="M783" s="4" t="str">
        <f>_xlfn.IFNA(VLOOKUP($J783,WH_Data[],5,FALSE),"")</f>
        <v/>
      </c>
      <c r="N783" s="4" t="str">
        <f>_xlfn.IFNA(VLOOKUP($J783,WH_Data[],7,FALSE),"")</f>
        <v/>
      </c>
      <c r="O783" s="4" t="str">
        <f>_xlfn.IFNA(VLOOKUP($J783,WH_Data[],8,FALSE),"")</f>
        <v/>
      </c>
      <c r="P783" s="8"/>
      <c r="Q783" s="209">
        <f>Mon_ILR2[[#This Row],[Qty Required]]-Mon_ILR2[[#This Row],[QTY Transfer]]</f>
        <v>1</v>
      </c>
      <c r="R783" s="66" t="s">
        <v>905</v>
      </c>
      <c r="S783" s="66" t="s">
        <v>946</v>
      </c>
      <c r="T783" s="210">
        <f>_xlfn.IFNA(VLOOKUP(Mon_ILR2[[#This Row],[New Model]],PhilipsLibary[],4,FALSE),"0")</f>
        <v>7999</v>
      </c>
      <c r="U783" s="210">
        <f>_xlfn.IFNA(VLOOKUP(Mon_ILR2[[#This Row],[New Model]],PhilipsLibary[],5,FALSE),"0")</f>
        <v>0</v>
      </c>
      <c r="V783" s="210">
        <f>_xlfn.IFNA(VLOOKUP(Mon_ILR2[[#This Row],[New Model]],PhilipsLibary[],5,FALSE),"0")</f>
        <v>0</v>
      </c>
      <c r="W783" s="210">
        <f>Mon_ILR2[[#This Row],[Accessory Rate]]+Mon_ILR2[[#This Row],[Mounting Rate]]+Mon_ILR2[[#This Row],[Unit Rate]]*Mon_ILR2[[#This Row],[New Quantity Required ]]</f>
        <v>7999</v>
      </c>
      <c r="X783" s="8"/>
      <c r="Y783" s="302" t="s">
        <v>2174</v>
      </c>
    </row>
    <row r="784" spans="2:25" ht="15.75" customHeight="1" x14ac:dyDescent="0.25">
      <c r="B784" s="207" t="s">
        <v>368</v>
      </c>
      <c r="C784" s="66" t="s">
        <v>382</v>
      </c>
      <c r="D784" s="4" t="s">
        <v>385</v>
      </c>
      <c r="E784" s="4" t="s">
        <v>1027</v>
      </c>
      <c r="F784" s="4" t="s">
        <v>944</v>
      </c>
      <c r="G784" s="4" t="s">
        <v>1181</v>
      </c>
      <c r="H784" s="208">
        <v>1</v>
      </c>
      <c r="I784" s="4"/>
      <c r="J784" s="15"/>
      <c r="K784" s="4" t="str">
        <f>_xlfn.IFNA(VLOOKUP($J784,WH_Data[],6,FALSE),"")</f>
        <v/>
      </c>
      <c r="L784" s="4" t="str">
        <f>_xlfn.IFNA(VLOOKUP($J784,WH_Data[],3,FALSE),"")</f>
        <v/>
      </c>
      <c r="M784" s="4" t="str">
        <f>_xlfn.IFNA(VLOOKUP($J784,WH_Data[],5,FALSE),"")</f>
        <v/>
      </c>
      <c r="N784" s="4" t="str">
        <f>_xlfn.IFNA(VLOOKUP($J784,WH_Data[],7,FALSE),"")</f>
        <v/>
      </c>
      <c r="O784" s="4" t="str">
        <f>_xlfn.IFNA(VLOOKUP($J784,WH_Data[],8,FALSE),"")</f>
        <v/>
      </c>
      <c r="P784" s="8"/>
      <c r="Q784" s="209">
        <f>Mon_ILR2[[#This Row],[Qty Required]]-Mon_ILR2[[#This Row],[QTY Transfer]]</f>
        <v>1</v>
      </c>
      <c r="R784" s="66" t="s">
        <v>905</v>
      </c>
      <c r="S784" s="66" t="s">
        <v>946</v>
      </c>
      <c r="T784" s="210">
        <f>_xlfn.IFNA(VLOOKUP(Mon_ILR2[[#This Row],[New Model]],PhilipsLibary[],4,FALSE),"0")</f>
        <v>7999</v>
      </c>
      <c r="U784" s="210">
        <f>_xlfn.IFNA(VLOOKUP(Mon_ILR2[[#This Row],[New Model]],PhilipsLibary[],5,FALSE),"0")</f>
        <v>0</v>
      </c>
      <c r="V784" s="210">
        <f>_xlfn.IFNA(VLOOKUP(Mon_ILR2[[#This Row],[New Model]],PhilipsLibary[],5,FALSE),"0")</f>
        <v>0</v>
      </c>
      <c r="W784" s="210">
        <f>Mon_ILR2[[#This Row],[Accessory Rate]]+Mon_ILR2[[#This Row],[Mounting Rate]]+Mon_ILR2[[#This Row],[Unit Rate]]*Mon_ILR2[[#This Row],[New Quantity Required ]]</f>
        <v>7999</v>
      </c>
      <c r="X784" s="8"/>
      <c r="Y784" s="302" t="s">
        <v>2174</v>
      </c>
    </row>
    <row r="785" spans="2:25" ht="15.75" customHeight="1" x14ac:dyDescent="0.25">
      <c r="B785" s="207" t="s">
        <v>368</v>
      </c>
      <c r="C785" s="66" t="s">
        <v>387</v>
      </c>
      <c r="D785" s="4" t="s">
        <v>388</v>
      </c>
      <c r="E785" s="4" t="s">
        <v>1027</v>
      </c>
      <c r="F785" s="4" t="s">
        <v>944</v>
      </c>
      <c r="G785" s="4" t="s">
        <v>1181</v>
      </c>
      <c r="H785" s="208">
        <v>1</v>
      </c>
      <c r="I785" s="4"/>
      <c r="J785" s="15"/>
      <c r="K785" s="4" t="str">
        <f>_xlfn.IFNA(VLOOKUP($J785,WH_Data[],6,FALSE),"")</f>
        <v/>
      </c>
      <c r="L785" s="4" t="str">
        <f>_xlfn.IFNA(VLOOKUP($J785,WH_Data[],3,FALSE),"")</f>
        <v/>
      </c>
      <c r="M785" s="4" t="str">
        <f>_xlfn.IFNA(VLOOKUP($J785,WH_Data[],5,FALSE),"")</f>
        <v/>
      </c>
      <c r="N785" s="4" t="str">
        <f>_xlfn.IFNA(VLOOKUP($J785,WH_Data[],7,FALSE),"")</f>
        <v/>
      </c>
      <c r="O785" s="4" t="str">
        <f>_xlfn.IFNA(VLOOKUP($J785,WH_Data[],8,FALSE),"")</f>
        <v/>
      </c>
      <c r="P785" s="8"/>
      <c r="Q785" s="209">
        <f>Mon_ILR2[[#This Row],[Qty Required]]-Mon_ILR2[[#This Row],[QTY Transfer]]</f>
        <v>1</v>
      </c>
      <c r="R785" s="66" t="s">
        <v>905</v>
      </c>
      <c r="S785" s="66" t="s">
        <v>946</v>
      </c>
      <c r="T785" s="210">
        <f>_xlfn.IFNA(VLOOKUP(Mon_ILR2[[#This Row],[New Model]],PhilipsLibary[],4,FALSE),"0")</f>
        <v>7999</v>
      </c>
      <c r="U785" s="210">
        <f>_xlfn.IFNA(VLOOKUP(Mon_ILR2[[#This Row],[New Model]],PhilipsLibary[],5,FALSE),"0")</f>
        <v>0</v>
      </c>
      <c r="V785" s="210">
        <f>_xlfn.IFNA(VLOOKUP(Mon_ILR2[[#This Row],[New Model]],PhilipsLibary[],5,FALSE),"0")</f>
        <v>0</v>
      </c>
      <c r="W785" s="210">
        <f>Mon_ILR2[[#This Row],[Accessory Rate]]+Mon_ILR2[[#This Row],[Mounting Rate]]+Mon_ILR2[[#This Row],[Unit Rate]]*Mon_ILR2[[#This Row],[New Quantity Required ]]</f>
        <v>7999</v>
      </c>
      <c r="X785" s="8"/>
      <c r="Y785" s="302" t="s">
        <v>2174</v>
      </c>
    </row>
    <row r="786" spans="2:25" ht="15.75" customHeight="1" x14ac:dyDescent="0.25">
      <c r="B786" s="207" t="s">
        <v>368</v>
      </c>
      <c r="C786" s="66" t="s">
        <v>390</v>
      </c>
      <c r="D786" s="4" t="s">
        <v>391</v>
      </c>
      <c r="E786" s="4" t="s">
        <v>1027</v>
      </c>
      <c r="F786" s="4" t="s">
        <v>944</v>
      </c>
      <c r="G786" s="4" t="s">
        <v>1181</v>
      </c>
      <c r="H786" s="208">
        <v>1</v>
      </c>
      <c r="I786" s="4"/>
      <c r="J786" s="15"/>
      <c r="K786" s="4" t="str">
        <f>_xlfn.IFNA(VLOOKUP($J786,WH_Data[],6,FALSE),"")</f>
        <v/>
      </c>
      <c r="L786" s="4" t="str">
        <f>_xlfn.IFNA(VLOOKUP($J786,WH_Data[],3,FALSE),"")</f>
        <v/>
      </c>
      <c r="M786" s="4" t="str">
        <f>_xlfn.IFNA(VLOOKUP($J786,WH_Data[],5,FALSE),"")</f>
        <v/>
      </c>
      <c r="N786" s="4" t="str">
        <f>_xlfn.IFNA(VLOOKUP($J786,WH_Data[],7,FALSE),"")</f>
        <v/>
      </c>
      <c r="O786" s="4" t="str">
        <f>_xlfn.IFNA(VLOOKUP($J786,WH_Data[],8,FALSE),"")</f>
        <v/>
      </c>
      <c r="P786" s="8"/>
      <c r="Q786" s="209">
        <f>Mon_ILR2[[#This Row],[Qty Required]]-Mon_ILR2[[#This Row],[QTY Transfer]]</f>
        <v>1</v>
      </c>
      <c r="R786" s="66" t="s">
        <v>905</v>
      </c>
      <c r="S786" s="66" t="s">
        <v>946</v>
      </c>
      <c r="T786" s="210">
        <f>_xlfn.IFNA(VLOOKUP(Mon_ILR2[[#This Row],[New Model]],PhilipsLibary[],4,FALSE),"0")</f>
        <v>7999</v>
      </c>
      <c r="U786" s="210">
        <f>_xlfn.IFNA(VLOOKUP(Mon_ILR2[[#This Row],[New Model]],PhilipsLibary[],5,FALSE),"0")</f>
        <v>0</v>
      </c>
      <c r="V786" s="210">
        <f>_xlfn.IFNA(VLOOKUP(Mon_ILR2[[#This Row],[New Model]],PhilipsLibary[],5,FALSE),"0")</f>
        <v>0</v>
      </c>
      <c r="W786" s="210">
        <f>Mon_ILR2[[#This Row],[Accessory Rate]]+Mon_ILR2[[#This Row],[Mounting Rate]]+Mon_ILR2[[#This Row],[Unit Rate]]*Mon_ILR2[[#This Row],[New Quantity Required ]]</f>
        <v>7999</v>
      </c>
      <c r="X786" s="8"/>
      <c r="Y786" s="246"/>
    </row>
    <row r="787" spans="2:25" ht="15.75" customHeight="1" x14ac:dyDescent="0.25">
      <c r="B787" s="207" t="s">
        <v>368</v>
      </c>
      <c r="C787" s="66" t="s">
        <v>393</v>
      </c>
      <c r="D787" s="4" t="s">
        <v>394</v>
      </c>
      <c r="E787" s="4" t="s">
        <v>1027</v>
      </c>
      <c r="F787" s="4" t="s">
        <v>944</v>
      </c>
      <c r="G787" s="4" t="s">
        <v>1181</v>
      </c>
      <c r="H787" s="208">
        <v>1</v>
      </c>
      <c r="I787" s="4"/>
      <c r="J787" s="15"/>
      <c r="K787" s="4" t="str">
        <f>_xlfn.IFNA(VLOOKUP($J787,WH_Data[],6,FALSE),"")</f>
        <v/>
      </c>
      <c r="L787" s="4" t="str">
        <f>_xlfn.IFNA(VLOOKUP($J787,WH_Data[],3,FALSE),"")</f>
        <v/>
      </c>
      <c r="M787" s="4" t="str">
        <f>_xlfn.IFNA(VLOOKUP($J787,WH_Data[],5,FALSE),"")</f>
        <v/>
      </c>
      <c r="N787" s="4" t="str">
        <f>_xlfn.IFNA(VLOOKUP($J787,WH_Data[],7,FALSE),"")</f>
        <v/>
      </c>
      <c r="O787" s="4" t="str">
        <f>_xlfn.IFNA(VLOOKUP($J787,WH_Data[],8,FALSE),"")</f>
        <v/>
      </c>
      <c r="P787" s="8"/>
      <c r="Q787" s="209">
        <f>Mon_ILR2[[#This Row],[Qty Required]]-Mon_ILR2[[#This Row],[QTY Transfer]]</f>
        <v>1</v>
      </c>
      <c r="R787" s="66" t="s">
        <v>905</v>
      </c>
      <c r="S787" s="66" t="s">
        <v>946</v>
      </c>
      <c r="T787" s="210">
        <f>_xlfn.IFNA(VLOOKUP(Mon_ILR2[[#This Row],[New Model]],PhilipsLibary[],4,FALSE),"0")</f>
        <v>7999</v>
      </c>
      <c r="U787" s="210">
        <f>_xlfn.IFNA(VLOOKUP(Mon_ILR2[[#This Row],[New Model]],PhilipsLibary[],5,FALSE),"0")</f>
        <v>0</v>
      </c>
      <c r="V787" s="210">
        <f>_xlfn.IFNA(VLOOKUP(Mon_ILR2[[#This Row],[New Model]],PhilipsLibary[],5,FALSE),"0")</f>
        <v>0</v>
      </c>
      <c r="W787" s="210">
        <f>Mon_ILR2[[#This Row],[Accessory Rate]]+Mon_ILR2[[#This Row],[Mounting Rate]]+Mon_ILR2[[#This Row],[Unit Rate]]*Mon_ILR2[[#This Row],[New Quantity Required ]]</f>
        <v>7999</v>
      </c>
      <c r="X787" s="8"/>
      <c r="Y787" s="246"/>
    </row>
    <row r="788" spans="2:25" ht="15.75" customHeight="1" x14ac:dyDescent="0.25">
      <c r="B788" s="207" t="s">
        <v>368</v>
      </c>
      <c r="C788" s="66" t="s">
        <v>397</v>
      </c>
      <c r="D788" s="4" t="s">
        <v>398</v>
      </c>
      <c r="E788" s="4" t="s">
        <v>1027</v>
      </c>
      <c r="F788" s="4" t="s">
        <v>944</v>
      </c>
      <c r="G788" s="4" t="s">
        <v>1181</v>
      </c>
      <c r="H788" s="208">
        <v>1</v>
      </c>
      <c r="I788" s="4"/>
      <c r="J788" s="15"/>
      <c r="K788" s="4" t="str">
        <f>_xlfn.IFNA(VLOOKUP($J788,WH_Data[],6,FALSE),"")</f>
        <v/>
      </c>
      <c r="L788" s="4" t="str">
        <f>_xlfn.IFNA(VLOOKUP($J788,WH_Data[],3,FALSE),"")</f>
        <v/>
      </c>
      <c r="M788" s="4" t="str">
        <f>_xlfn.IFNA(VLOOKUP($J788,WH_Data[],5,FALSE),"")</f>
        <v/>
      </c>
      <c r="N788" s="4" t="str">
        <f>_xlfn.IFNA(VLOOKUP($J788,WH_Data[],7,FALSE),"")</f>
        <v/>
      </c>
      <c r="O788" s="4" t="str">
        <f>_xlfn.IFNA(VLOOKUP($J788,WH_Data[],8,FALSE),"")</f>
        <v/>
      </c>
      <c r="P788" s="8"/>
      <c r="Q788" s="209">
        <f>Mon_ILR2[[#This Row],[Qty Required]]-Mon_ILR2[[#This Row],[QTY Transfer]]</f>
        <v>1</v>
      </c>
      <c r="R788" s="66" t="s">
        <v>905</v>
      </c>
      <c r="S788" s="66" t="s">
        <v>946</v>
      </c>
      <c r="T788" s="210">
        <f>_xlfn.IFNA(VLOOKUP(Mon_ILR2[[#This Row],[New Model]],PhilipsLibary[],4,FALSE),"0")</f>
        <v>7999</v>
      </c>
      <c r="U788" s="210">
        <f>_xlfn.IFNA(VLOOKUP(Mon_ILR2[[#This Row],[New Model]],PhilipsLibary[],5,FALSE),"0")</f>
        <v>0</v>
      </c>
      <c r="V788" s="210">
        <f>_xlfn.IFNA(VLOOKUP(Mon_ILR2[[#This Row],[New Model]],PhilipsLibary[],5,FALSE),"0")</f>
        <v>0</v>
      </c>
      <c r="W788" s="210">
        <f>Mon_ILR2[[#This Row],[Accessory Rate]]+Mon_ILR2[[#This Row],[Mounting Rate]]+Mon_ILR2[[#This Row],[Unit Rate]]*Mon_ILR2[[#This Row],[New Quantity Required ]]</f>
        <v>7999</v>
      </c>
      <c r="X788" s="8"/>
      <c r="Y788" s="246"/>
    </row>
    <row r="789" spans="2:25" ht="30" x14ac:dyDescent="0.25">
      <c r="B789" s="207" t="s">
        <v>368</v>
      </c>
      <c r="C789" s="66" t="s">
        <v>401</v>
      </c>
      <c r="D789" s="4" t="s">
        <v>402</v>
      </c>
      <c r="E789" s="4" t="s">
        <v>1027</v>
      </c>
      <c r="F789" s="4" t="s">
        <v>944</v>
      </c>
      <c r="G789" s="4" t="s">
        <v>1181</v>
      </c>
      <c r="H789" s="208">
        <v>1</v>
      </c>
      <c r="I789" s="4"/>
      <c r="J789" s="15"/>
      <c r="K789" s="4" t="str">
        <f>_xlfn.IFNA(VLOOKUP($J789,WH_Data[],6,FALSE),"")</f>
        <v/>
      </c>
      <c r="L789" s="4" t="str">
        <f>_xlfn.IFNA(VLOOKUP($J789,WH_Data[],3,FALSE),"")</f>
        <v/>
      </c>
      <c r="M789" s="4" t="str">
        <f>_xlfn.IFNA(VLOOKUP($J789,WH_Data[],5,FALSE),"")</f>
        <v/>
      </c>
      <c r="N789" s="4" t="str">
        <f>_xlfn.IFNA(VLOOKUP($J789,WH_Data[],7,FALSE),"")</f>
        <v/>
      </c>
      <c r="O789" s="4" t="str">
        <f>_xlfn.IFNA(VLOOKUP($J789,WH_Data[],8,FALSE),"")</f>
        <v/>
      </c>
      <c r="P789" s="8"/>
      <c r="Q789" s="300">
        <v>0</v>
      </c>
      <c r="R789" s="66" t="s">
        <v>905</v>
      </c>
      <c r="S789" s="304" t="s">
        <v>946</v>
      </c>
      <c r="T789" s="210">
        <f>_xlfn.IFNA(VLOOKUP(Mon_ILR2[[#This Row],[New Model]],PhilipsLibary[],4,FALSE),"0")</f>
        <v>7999</v>
      </c>
      <c r="U789" s="210">
        <f>_xlfn.IFNA(VLOOKUP(Mon_ILR2[[#This Row],[New Model]],PhilipsLibary[],5,FALSE),"0")</f>
        <v>0</v>
      </c>
      <c r="V789" s="210">
        <f>_xlfn.IFNA(VLOOKUP(Mon_ILR2[[#This Row],[New Model]],PhilipsLibary[],5,FALSE),"0")</f>
        <v>0</v>
      </c>
      <c r="W789" s="210">
        <f>Mon_ILR2[[#This Row],[Accessory Rate]]+Mon_ILR2[[#This Row],[Mounting Rate]]+Mon_ILR2[[#This Row],[Unit Rate]]*Mon_ILR2[[#This Row],[New Quantity Required ]]</f>
        <v>0</v>
      </c>
      <c r="X789" s="8"/>
      <c r="Y789" s="302" t="s">
        <v>2159</v>
      </c>
    </row>
    <row r="790" spans="2:25" ht="30" x14ac:dyDescent="0.25">
      <c r="B790" s="207" t="s">
        <v>368</v>
      </c>
      <c r="C790" s="66" t="s">
        <v>405</v>
      </c>
      <c r="D790" s="4" t="s">
        <v>406</v>
      </c>
      <c r="E790" s="4" t="s">
        <v>1027</v>
      </c>
      <c r="F790" s="4" t="s">
        <v>944</v>
      </c>
      <c r="G790" s="4" t="s">
        <v>1181</v>
      </c>
      <c r="H790" s="208">
        <v>1</v>
      </c>
      <c r="I790" s="4"/>
      <c r="J790" s="15"/>
      <c r="K790" s="4" t="str">
        <f>_xlfn.IFNA(VLOOKUP($J790,WH_Data[],6,FALSE),"")</f>
        <v/>
      </c>
      <c r="L790" s="4" t="str">
        <f>_xlfn.IFNA(VLOOKUP($J790,WH_Data[],3,FALSE),"")</f>
        <v/>
      </c>
      <c r="M790" s="4" t="str">
        <f>_xlfn.IFNA(VLOOKUP($J790,WH_Data[],5,FALSE),"")</f>
        <v/>
      </c>
      <c r="N790" s="4" t="str">
        <f>_xlfn.IFNA(VLOOKUP($J790,WH_Data[],7,FALSE),"")</f>
        <v/>
      </c>
      <c r="O790" s="4" t="str">
        <f>_xlfn.IFNA(VLOOKUP($J790,WH_Data[],8,FALSE),"")</f>
        <v/>
      </c>
      <c r="P790" s="8"/>
      <c r="Q790" s="300">
        <v>0</v>
      </c>
      <c r="R790" s="66" t="s">
        <v>905</v>
      </c>
      <c r="S790" s="304" t="s">
        <v>946</v>
      </c>
      <c r="T790" s="210">
        <f>_xlfn.IFNA(VLOOKUP(Mon_ILR2[[#This Row],[New Model]],PhilipsLibary[],4,FALSE),"0")</f>
        <v>7999</v>
      </c>
      <c r="U790" s="210">
        <f>_xlfn.IFNA(VLOOKUP(Mon_ILR2[[#This Row],[New Model]],PhilipsLibary[],5,FALSE),"0")</f>
        <v>0</v>
      </c>
      <c r="V790" s="210">
        <f>_xlfn.IFNA(VLOOKUP(Mon_ILR2[[#This Row],[New Model]],PhilipsLibary[],5,FALSE),"0")</f>
        <v>0</v>
      </c>
      <c r="W790" s="210">
        <f>Mon_ILR2[[#This Row],[Accessory Rate]]+Mon_ILR2[[#This Row],[Mounting Rate]]+Mon_ILR2[[#This Row],[Unit Rate]]*Mon_ILR2[[#This Row],[New Quantity Required ]]</f>
        <v>0</v>
      </c>
      <c r="X790" s="8"/>
      <c r="Y790" s="302" t="s">
        <v>2159</v>
      </c>
    </row>
    <row r="791" spans="2:25" ht="15.75" customHeight="1" x14ac:dyDescent="0.25">
      <c r="B791" s="207" t="s">
        <v>368</v>
      </c>
      <c r="C791" s="66" t="s">
        <v>410</v>
      </c>
      <c r="D791" s="4" t="s">
        <v>411</v>
      </c>
      <c r="E791" s="4" t="s">
        <v>1027</v>
      </c>
      <c r="F791" s="4" t="s">
        <v>944</v>
      </c>
      <c r="G791" s="4" t="s">
        <v>1181</v>
      </c>
      <c r="H791" s="208">
        <v>1</v>
      </c>
      <c r="I791" s="4"/>
      <c r="J791" s="15"/>
      <c r="K791" s="4" t="str">
        <f>_xlfn.IFNA(VLOOKUP($J791,WH_Data[],6,FALSE),"")</f>
        <v/>
      </c>
      <c r="L791" s="4" t="str">
        <f>_xlfn.IFNA(VLOOKUP($J791,WH_Data[],3,FALSE),"")</f>
        <v/>
      </c>
      <c r="M791" s="4" t="str">
        <f>_xlfn.IFNA(VLOOKUP($J791,WH_Data[],5,FALSE),"")</f>
        <v/>
      </c>
      <c r="N791" s="4" t="str">
        <f>_xlfn.IFNA(VLOOKUP($J791,WH_Data[],7,FALSE),"")</f>
        <v/>
      </c>
      <c r="O791" s="4" t="str">
        <f>_xlfn.IFNA(VLOOKUP($J791,WH_Data[],8,FALSE),"")</f>
        <v/>
      </c>
      <c r="P791" s="8"/>
      <c r="Q791" s="209">
        <f>Mon_ILR2[[#This Row],[Qty Required]]-Mon_ILR2[[#This Row],[QTY Transfer]]</f>
        <v>1</v>
      </c>
      <c r="R791" s="66" t="s">
        <v>905</v>
      </c>
      <c r="S791" s="66" t="s">
        <v>946</v>
      </c>
      <c r="T791" s="210">
        <f>_xlfn.IFNA(VLOOKUP(Mon_ILR2[[#This Row],[New Model]],PhilipsLibary[],4,FALSE),"0")</f>
        <v>7999</v>
      </c>
      <c r="U791" s="210">
        <f>_xlfn.IFNA(VLOOKUP(Mon_ILR2[[#This Row],[New Model]],PhilipsLibary[],5,FALSE),"0")</f>
        <v>0</v>
      </c>
      <c r="V791" s="210">
        <f>_xlfn.IFNA(VLOOKUP(Mon_ILR2[[#This Row],[New Model]],PhilipsLibary[],5,FALSE),"0")</f>
        <v>0</v>
      </c>
      <c r="W791" s="210">
        <f>Mon_ILR2[[#This Row],[Accessory Rate]]+Mon_ILR2[[#This Row],[Mounting Rate]]+Mon_ILR2[[#This Row],[Unit Rate]]*Mon_ILR2[[#This Row],[New Quantity Required ]]</f>
        <v>7999</v>
      </c>
      <c r="X791" s="8"/>
      <c r="Y791" s="246"/>
    </row>
    <row r="792" spans="2:25" ht="15.75" customHeight="1" x14ac:dyDescent="0.25">
      <c r="B792" s="207" t="s">
        <v>35</v>
      </c>
      <c r="C792" s="66" t="s">
        <v>36</v>
      </c>
      <c r="D792" s="4" t="s">
        <v>37</v>
      </c>
      <c r="E792" s="4" t="s">
        <v>1027</v>
      </c>
      <c r="F792" s="4" t="s">
        <v>944</v>
      </c>
      <c r="G792" s="4" t="s">
        <v>1181</v>
      </c>
      <c r="H792" s="208">
        <v>1</v>
      </c>
      <c r="I792" s="4"/>
      <c r="J792" s="15"/>
      <c r="K792" s="4" t="str">
        <f>_xlfn.IFNA(VLOOKUP($J792,WH_Data[],6,FALSE),"")</f>
        <v/>
      </c>
      <c r="L792" s="4" t="str">
        <f>_xlfn.IFNA(VLOOKUP($J792,WH_Data[],3,FALSE),"")</f>
        <v/>
      </c>
      <c r="M792" s="4" t="str">
        <f>_xlfn.IFNA(VLOOKUP($J792,WH_Data[],5,FALSE),"")</f>
        <v/>
      </c>
      <c r="N792" s="4" t="str">
        <f>_xlfn.IFNA(VLOOKUP($J792,WH_Data[],7,FALSE),"")</f>
        <v/>
      </c>
      <c r="O792" s="4" t="str">
        <f>_xlfn.IFNA(VLOOKUP($J792,WH_Data[],8,FALSE),"")</f>
        <v/>
      </c>
      <c r="P792" s="8"/>
      <c r="Q792" s="209">
        <f>Mon_ILR2[[#This Row],[Qty Required]]-Mon_ILR2[[#This Row],[QTY Transfer]]</f>
        <v>1</v>
      </c>
      <c r="R792" s="66" t="s">
        <v>905</v>
      </c>
      <c r="S792" s="66" t="s">
        <v>946</v>
      </c>
      <c r="T792" s="210">
        <f>_xlfn.IFNA(VLOOKUP(Mon_ILR2[[#This Row],[New Model]],PhilipsLibary[],4,FALSE),"0")</f>
        <v>7999</v>
      </c>
      <c r="U792" s="210">
        <f>_xlfn.IFNA(VLOOKUP(Mon_ILR2[[#This Row],[New Model]],PhilipsLibary[],5,FALSE),"0")</f>
        <v>0</v>
      </c>
      <c r="V792" s="210">
        <f>_xlfn.IFNA(VLOOKUP(Mon_ILR2[[#This Row],[New Model]],PhilipsLibary[],5,FALSE),"0")</f>
        <v>0</v>
      </c>
      <c r="W792" s="210">
        <f>Mon_ILR2[[#This Row],[Accessory Rate]]+Mon_ILR2[[#This Row],[Mounting Rate]]+Mon_ILR2[[#This Row],[Unit Rate]]*Mon_ILR2[[#This Row],[New Quantity Required ]]</f>
        <v>7999</v>
      </c>
      <c r="X792" s="8"/>
      <c r="Y792" s="246"/>
    </row>
    <row r="793" spans="2:25" ht="15.75" customHeight="1" x14ac:dyDescent="0.25">
      <c r="B793" s="207" t="s">
        <v>35</v>
      </c>
      <c r="C793" s="66" t="s">
        <v>36</v>
      </c>
      <c r="D793" s="4" t="s">
        <v>55</v>
      </c>
      <c r="E793" s="4" t="s">
        <v>1027</v>
      </c>
      <c r="F793" s="4" t="s">
        <v>944</v>
      </c>
      <c r="G793" s="4" t="s">
        <v>1181</v>
      </c>
      <c r="H793" s="208">
        <v>1</v>
      </c>
      <c r="I793" s="4"/>
      <c r="J793" s="15"/>
      <c r="K793" s="4" t="str">
        <f>_xlfn.IFNA(VLOOKUP($J793,WH_Data[],6,FALSE),"")</f>
        <v/>
      </c>
      <c r="L793" s="4" t="str">
        <f>_xlfn.IFNA(VLOOKUP($J793,WH_Data[],3,FALSE),"")</f>
        <v/>
      </c>
      <c r="M793" s="4" t="str">
        <f>_xlfn.IFNA(VLOOKUP($J793,WH_Data[],5,FALSE),"")</f>
        <v/>
      </c>
      <c r="N793" s="4" t="str">
        <f>_xlfn.IFNA(VLOOKUP($J793,WH_Data[],7,FALSE),"")</f>
        <v/>
      </c>
      <c r="O793" s="4" t="str">
        <f>_xlfn.IFNA(VLOOKUP($J793,WH_Data[],8,FALSE),"")</f>
        <v/>
      </c>
      <c r="P793" s="8"/>
      <c r="Q793" s="209">
        <f>Mon_ILR2[[#This Row],[Qty Required]]-Mon_ILR2[[#This Row],[QTY Transfer]]</f>
        <v>1</v>
      </c>
      <c r="R793" s="66" t="s">
        <v>905</v>
      </c>
      <c r="S793" s="66" t="s">
        <v>946</v>
      </c>
      <c r="T793" s="210">
        <f>_xlfn.IFNA(VLOOKUP(Mon_ILR2[[#This Row],[New Model]],PhilipsLibary[],4,FALSE),"0")</f>
        <v>7999</v>
      </c>
      <c r="U793" s="210">
        <f>_xlfn.IFNA(VLOOKUP(Mon_ILR2[[#This Row],[New Model]],PhilipsLibary[],5,FALSE),"0")</f>
        <v>0</v>
      </c>
      <c r="V793" s="210">
        <f>_xlfn.IFNA(VLOOKUP(Mon_ILR2[[#This Row],[New Model]],PhilipsLibary[],5,FALSE),"0")</f>
        <v>0</v>
      </c>
      <c r="W793" s="210">
        <f>Mon_ILR2[[#This Row],[Accessory Rate]]+Mon_ILR2[[#This Row],[Mounting Rate]]+Mon_ILR2[[#This Row],[Unit Rate]]*Mon_ILR2[[#This Row],[New Quantity Required ]]</f>
        <v>7999</v>
      </c>
      <c r="X793" s="8"/>
      <c r="Y793" s="246"/>
    </row>
    <row r="794" spans="2:25" ht="15.75" customHeight="1" x14ac:dyDescent="0.25">
      <c r="B794" s="207" t="s">
        <v>35</v>
      </c>
      <c r="C794" s="66" t="s">
        <v>58</v>
      </c>
      <c r="D794" s="4" t="s">
        <v>59</v>
      </c>
      <c r="E794" s="4" t="s">
        <v>1027</v>
      </c>
      <c r="F794" s="4" t="s">
        <v>944</v>
      </c>
      <c r="G794" s="4" t="s">
        <v>1181</v>
      </c>
      <c r="H794" s="208">
        <v>1</v>
      </c>
      <c r="I794" s="4"/>
      <c r="J794" s="15"/>
      <c r="K794" s="4" t="str">
        <f>_xlfn.IFNA(VLOOKUP($J794,WH_Data[],6,FALSE),"")</f>
        <v/>
      </c>
      <c r="L794" s="4" t="str">
        <f>_xlfn.IFNA(VLOOKUP($J794,WH_Data[],3,FALSE),"")</f>
        <v/>
      </c>
      <c r="M794" s="4" t="str">
        <f>_xlfn.IFNA(VLOOKUP($J794,WH_Data[],5,FALSE),"")</f>
        <v/>
      </c>
      <c r="N794" s="4" t="str">
        <f>_xlfn.IFNA(VLOOKUP($J794,WH_Data[],7,FALSE),"")</f>
        <v/>
      </c>
      <c r="O794" s="4" t="str">
        <f>_xlfn.IFNA(VLOOKUP($J794,WH_Data[],8,FALSE),"")</f>
        <v/>
      </c>
      <c r="P794" s="8"/>
      <c r="Q794" s="209">
        <f>Mon_ILR2[[#This Row],[Qty Required]]-Mon_ILR2[[#This Row],[QTY Transfer]]</f>
        <v>1</v>
      </c>
      <c r="R794" s="66" t="s">
        <v>905</v>
      </c>
      <c r="S794" s="66" t="s">
        <v>946</v>
      </c>
      <c r="T794" s="210">
        <f>_xlfn.IFNA(VLOOKUP(Mon_ILR2[[#This Row],[New Model]],PhilipsLibary[],4,FALSE),"0")</f>
        <v>7999</v>
      </c>
      <c r="U794" s="210">
        <f>_xlfn.IFNA(VLOOKUP(Mon_ILR2[[#This Row],[New Model]],PhilipsLibary[],5,FALSE),"0")</f>
        <v>0</v>
      </c>
      <c r="V794" s="210">
        <f>_xlfn.IFNA(VLOOKUP(Mon_ILR2[[#This Row],[New Model]],PhilipsLibary[],5,FALSE),"0")</f>
        <v>0</v>
      </c>
      <c r="W794" s="210">
        <f>Mon_ILR2[[#This Row],[Accessory Rate]]+Mon_ILR2[[#This Row],[Mounting Rate]]+Mon_ILR2[[#This Row],[Unit Rate]]*Mon_ILR2[[#This Row],[New Quantity Required ]]</f>
        <v>7999</v>
      </c>
      <c r="X794" s="8"/>
      <c r="Y794" s="246"/>
    </row>
    <row r="795" spans="2:25" ht="15.75" customHeight="1" x14ac:dyDescent="0.25">
      <c r="B795" s="207" t="s">
        <v>35</v>
      </c>
      <c r="C795" s="66" t="s">
        <v>58</v>
      </c>
      <c r="D795" s="4" t="s">
        <v>62</v>
      </c>
      <c r="E795" s="4" t="s">
        <v>1027</v>
      </c>
      <c r="F795" s="4" t="s">
        <v>944</v>
      </c>
      <c r="G795" s="4" t="s">
        <v>1181</v>
      </c>
      <c r="H795" s="208">
        <v>1</v>
      </c>
      <c r="I795" s="4"/>
      <c r="J795" s="15"/>
      <c r="K795" s="4" t="str">
        <f>_xlfn.IFNA(VLOOKUP($J795,WH_Data[],6,FALSE),"")</f>
        <v/>
      </c>
      <c r="L795" s="4" t="str">
        <f>_xlfn.IFNA(VLOOKUP($J795,WH_Data[],3,FALSE),"")</f>
        <v/>
      </c>
      <c r="M795" s="4" t="str">
        <f>_xlfn.IFNA(VLOOKUP($J795,WH_Data[],5,FALSE),"")</f>
        <v/>
      </c>
      <c r="N795" s="4" t="str">
        <f>_xlfn.IFNA(VLOOKUP($J795,WH_Data[],7,FALSE),"")</f>
        <v/>
      </c>
      <c r="O795" s="4" t="str">
        <f>_xlfn.IFNA(VLOOKUP($J795,WH_Data[],8,FALSE),"")</f>
        <v/>
      </c>
      <c r="P795" s="8"/>
      <c r="Q795" s="209">
        <f>Mon_ILR2[[#This Row],[Qty Required]]-Mon_ILR2[[#This Row],[QTY Transfer]]</f>
        <v>1</v>
      </c>
      <c r="R795" s="66" t="s">
        <v>905</v>
      </c>
      <c r="S795" s="66" t="s">
        <v>946</v>
      </c>
      <c r="T795" s="210">
        <f>_xlfn.IFNA(VLOOKUP(Mon_ILR2[[#This Row],[New Model]],PhilipsLibary[],4,FALSE),"0")</f>
        <v>7999</v>
      </c>
      <c r="U795" s="210">
        <f>_xlfn.IFNA(VLOOKUP(Mon_ILR2[[#This Row],[New Model]],PhilipsLibary[],5,FALSE),"0")</f>
        <v>0</v>
      </c>
      <c r="V795" s="210">
        <f>_xlfn.IFNA(VLOOKUP(Mon_ILR2[[#This Row],[New Model]],PhilipsLibary[],5,FALSE),"0")</f>
        <v>0</v>
      </c>
      <c r="W795" s="210">
        <f>Mon_ILR2[[#This Row],[Accessory Rate]]+Mon_ILR2[[#This Row],[Mounting Rate]]+Mon_ILR2[[#This Row],[Unit Rate]]*Mon_ILR2[[#This Row],[New Quantity Required ]]</f>
        <v>7999</v>
      </c>
      <c r="X795" s="8"/>
      <c r="Y795" s="246"/>
    </row>
    <row r="796" spans="2:25" ht="15.75" customHeight="1" x14ac:dyDescent="0.25">
      <c r="B796" s="207" t="s">
        <v>35</v>
      </c>
      <c r="C796" s="66" t="s">
        <v>58</v>
      </c>
      <c r="D796" s="4" t="s">
        <v>67</v>
      </c>
      <c r="E796" s="4" t="s">
        <v>1027</v>
      </c>
      <c r="F796" s="4" t="s">
        <v>944</v>
      </c>
      <c r="G796" s="4" t="s">
        <v>1181</v>
      </c>
      <c r="H796" s="208">
        <v>1</v>
      </c>
      <c r="I796" s="4"/>
      <c r="J796" s="15"/>
      <c r="K796" s="4" t="str">
        <f>_xlfn.IFNA(VLOOKUP($J796,WH_Data[],6,FALSE),"")</f>
        <v/>
      </c>
      <c r="L796" s="4" t="str">
        <f>_xlfn.IFNA(VLOOKUP($J796,WH_Data[],3,FALSE),"")</f>
        <v/>
      </c>
      <c r="M796" s="4" t="str">
        <f>_xlfn.IFNA(VLOOKUP($J796,WH_Data[],5,FALSE),"")</f>
        <v/>
      </c>
      <c r="N796" s="4" t="str">
        <f>_xlfn.IFNA(VLOOKUP($J796,WH_Data[],7,FALSE),"")</f>
        <v/>
      </c>
      <c r="O796" s="4" t="str">
        <f>_xlfn.IFNA(VLOOKUP($J796,WH_Data[],8,FALSE),"")</f>
        <v/>
      </c>
      <c r="P796" s="8"/>
      <c r="Q796" s="209">
        <f>Mon_ILR2[[#This Row],[Qty Required]]-Mon_ILR2[[#This Row],[QTY Transfer]]</f>
        <v>1</v>
      </c>
      <c r="R796" s="66" t="s">
        <v>905</v>
      </c>
      <c r="S796" s="66" t="s">
        <v>946</v>
      </c>
      <c r="T796" s="210">
        <f>_xlfn.IFNA(VLOOKUP(Mon_ILR2[[#This Row],[New Model]],PhilipsLibary[],4,FALSE),"0")</f>
        <v>7999</v>
      </c>
      <c r="U796" s="210">
        <f>_xlfn.IFNA(VLOOKUP(Mon_ILR2[[#This Row],[New Model]],PhilipsLibary[],5,FALSE),"0")</f>
        <v>0</v>
      </c>
      <c r="V796" s="210">
        <f>_xlfn.IFNA(VLOOKUP(Mon_ILR2[[#This Row],[New Model]],PhilipsLibary[],5,FALSE),"0")</f>
        <v>0</v>
      </c>
      <c r="W796" s="210">
        <f>Mon_ILR2[[#This Row],[Accessory Rate]]+Mon_ILR2[[#This Row],[Mounting Rate]]+Mon_ILR2[[#This Row],[Unit Rate]]*Mon_ILR2[[#This Row],[New Quantity Required ]]</f>
        <v>7999</v>
      </c>
      <c r="X796" s="8"/>
      <c r="Y796" s="246"/>
    </row>
    <row r="797" spans="2:25" ht="15.75" customHeight="1" x14ac:dyDescent="0.25">
      <c r="B797" s="207" t="s">
        <v>35</v>
      </c>
      <c r="C797" s="66" t="s">
        <v>58</v>
      </c>
      <c r="D797" s="4" t="s">
        <v>70</v>
      </c>
      <c r="E797" s="4" t="s">
        <v>1027</v>
      </c>
      <c r="F797" s="4" t="s">
        <v>944</v>
      </c>
      <c r="G797" s="4" t="s">
        <v>1181</v>
      </c>
      <c r="H797" s="208">
        <v>1</v>
      </c>
      <c r="I797" s="4"/>
      <c r="J797" s="15"/>
      <c r="K797" s="4" t="str">
        <f>_xlfn.IFNA(VLOOKUP($J797,WH_Data[],6,FALSE),"")</f>
        <v/>
      </c>
      <c r="L797" s="4" t="str">
        <f>_xlfn.IFNA(VLOOKUP($J797,WH_Data[],3,FALSE),"")</f>
        <v/>
      </c>
      <c r="M797" s="4" t="str">
        <f>_xlfn.IFNA(VLOOKUP($J797,WH_Data[],5,FALSE),"")</f>
        <v/>
      </c>
      <c r="N797" s="4" t="str">
        <f>_xlfn.IFNA(VLOOKUP($J797,WH_Data[],7,FALSE),"")</f>
        <v/>
      </c>
      <c r="O797" s="4" t="str">
        <f>_xlfn.IFNA(VLOOKUP($J797,WH_Data[],8,FALSE),"")</f>
        <v/>
      </c>
      <c r="P797" s="8"/>
      <c r="Q797" s="209">
        <f>Mon_ILR2[[#This Row],[Qty Required]]-Mon_ILR2[[#This Row],[QTY Transfer]]</f>
        <v>1</v>
      </c>
      <c r="R797" s="66" t="s">
        <v>905</v>
      </c>
      <c r="S797" s="66" t="s">
        <v>946</v>
      </c>
      <c r="T797" s="210">
        <f>_xlfn.IFNA(VLOOKUP(Mon_ILR2[[#This Row],[New Model]],PhilipsLibary[],4,FALSE),"0")</f>
        <v>7999</v>
      </c>
      <c r="U797" s="210">
        <f>_xlfn.IFNA(VLOOKUP(Mon_ILR2[[#This Row],[New Model]],PhilipsLibary[],5,FALSE),"0")</f>
        <v>0</v>
      </c>
      <c r="V797" s="210">
        <f>_xlfn.IFNA(VLOOKUP(Mon_ILR2[[#This Row],[New Model]],PhilipsLibary[],5,FALSE),"0")</f>
        <v>0</v>
      </c>
      <c r="W797" s="210">
        <f>Mon_ILR2[[#This Row],[Accessory Rate]]+Mon_ILR2[[#This Row],[Mounting Rate]]+Mon_ILR2[[#This Row],[Unit Rate]]*Mon_ILR2[[#This Row],[New Quantity Required ]]</f>
        <v>7999</v>
      </c>
      <c r="X797" s="8"/>
      <c r="Y797" s="246"/>
    </row>
    <row r="798" spans="2:25" ht="15.75" customHeight="1" x14ac:dyDescent="0.25">
      <c r="B798" s="207" t="s">
        <v>35</v>
      </c>
      <c r="C798" s="66" t="s">
        <v>58</v>
      </c>
      <c r="D798" s="4" t="s">
        <v>73</v>
      </c>
      <c r="E798" s="4" t="s">
        <v>1027</v>
      </c>
      <c r="F798" s="4" t="s">
        <v>944</v>
      </c>
      <c r="G798" s="4" t="s">
        <v>1181</v>
      </c>
      <c r="H798" s="208">
        <v>1</v>
      </c>
      <c r="I798" s="4"/>
      <c r="J798" s="15"/>
      <c r="K798" s="4" t="str">
        <f>_xlfn.IFNA(VLOOKUP($J798,WH_Data[],6,FALSE),"")</f>
        <v/>
      </c>
      <c r="L798" s="4" t="str">
        <f>_xlfn.IFNA(VLOOKUP($J798,WH_Data[],3,FALSE),"")</f>
        <v/>
      </c>
      <c r="M798" s="4" t="str">
        <f>_xlfn.IFNA(VLOOKUP($J798,WH_Data[],5,FALSE),"")</f>
        <v/>
      </c>
      <c r="N798" s="4" t="str">
        <f>_xlfn.IFNA(VLOOKUP($J798,WH_Data[],7,FALSE),"")</f>
        <v/>
      </c>
      <c r="O798" s="4" t="str">
        <f>_xlfn.IFNA(VLOOKUP($J798,WH_Data[],8,FALSE),"")</f>
        <v/>
      </c>
      <c r="P798" s="8"/>
      <c r="Q798" s="209">
        <f>Mon_ILR2[[#This Row],[Qty Required]]-Mon_ILR2[[#This Row],[QTY Transfer]]</f>
        <v>1</v>
      </c>
      <c r="R798" s="66" t="s">
        <v>905</v>
      </c>
      <c r="S798" s="66" t="s">
        <v>946</v>
      </c>
      <c r="T798" s="210">
        <f>_xlfn.IFNA(VLOOKUP(Mon_ILR2[[#This Row],[New Model]],PhilipsLibary[],4,FALSE),"0")</f>
        <v>7999</v>
      </c>
      <c r="U798" s="210">
        <f>_xlfn.IFNA(VLOOKUP(Mon_ILR2[[#This Row],[New Model]],PhilipsLibary[],5,FALSE),"0")</f>
        <v>0</v>
      </c>
      <c r="V798" s="210">
        <f>_xlfn.IFNA(VLOOKUP(Mon_ILR2[[#This Row],[New Model]],PhilipsLibary[],5,FALSE),"0")</f>
        <v>0</v>
      </c>
      <c r="W798" s="210">
        <f>Mon_ILR2[[#This Row],[Accessory Rate]]+Mon_ILR2[[#This Row],[Mounting Rate]]+Mon_ILR2[[#This Row],[Unit Rate]]*Mon_ILR2[[#This Row],[New Quantity Required ]]</f>
        <v>7999</v>
      </c>
      <c r="X798" s="8"/>
      <c r="Y798" s="246"/>
    </row>
    <row r="799" spans="2:25" ht="15.75" customHeight="1" x14ac:dyDescent="0.25">
      <c r="B799" s="207" t="s">
        <v>35</v>
      </c>
      <c r="C799" s="66" t="s">
        <v>58</v>
      </c>
      <c r="D799" s="4" t="s">
        <v>76</v>
      </c>
      <c r="E799" s="4" t="s">
        <v>1027</v>
      </c>
      <c r="F799" s="4" t="s">
        <v>944</v>
      </c>
      <c r="G799" s="4" t="s">
        <v>1181</v>
      </c>
      <c r="H799" s="208">
        <v>1</v>
      </c>
      <c r="I799" s="4"/>
      <c r="J799" s="15"/>
      <c r="K799" s="4" t="str">
        <f>_xlfn.IFNA(VLOOKUP($J799,WH_Data[],6,FALSE),"")</f>
        <v/>
      </c>
      <c r="L799" s="4" t="str">
        <f>_xlfn.IFNA(VLOOKUP($J799,WH_Data[],3,FALSE),"")</f>
        <v/>
      </c>
      <c r="M799" s="4" t="str">
        <f>_xlfn.IFNA(VLOOKUP($J799,WH_Data[],5,FALSE),"")</f>
        <v/>
      </c>
      <c r="N799" s="4" t="str">
        <f>_xlfn.IFNA(VLOOKUP($J799,WH_Data[],7,FALSE),"")</f>
        <v/>
      </c>
      <c r="O799" s="4" t="str">
        <f>_xlfn.IFNA(VLOOKUP($J799,WH_Data[],8,FALSE),"")</f>
        <v/>
      </c>
      <c r="P799" s="8"/>
      <c r="Q799" s="209">
        <f>Mon_ILR2[[#This Row],[Qty Required]]-Mon_ILR2[[#This Row],[QTY Transfer]]</f>
        <v>1</v>
      </c>
      <c r="R799" s="66" t="s">
        <v>905</v>
      </c>
      <c r="S799" s="66" t="s">
        <v>946</v>
      </c>
      <c r="T799" s="210">
        <f>_xlfn.IFNA(VLOOKUP(Mon_ILR2[[#This Row],[New Model]],PhilipsLibary[],4,FALSE),"0")</f>
        <v>7999</v>
      </c>
      <c r="U799" s="210">
        <f>_xlfn.IFNA(VLOOKUP(Mon_ILR2[[#This Row],[New Model]],PhilipsLibary[],5,FALSE),"0")</f>
        <v>0</v>
      </c>
      <c r="V799" s="210">
        <f>_xlfn.IFNA(VLOOKUP(Mon_ILR2[[#This Row],[New Model]],PhilipsLibary[],5,FALSE),"0")</f>
        <v>0</v>
      </c>
      <c r="W799" s="210">
        <f>Mon_ILR2[[#This Row],[Accessory Rate]]+Mon_ILR2[[#This Row],[Mounting Rate]]+Mon_ILR2[[#This Row],[Unit Rate]]*Mon_ILR2[[#This Row],[New Quantity Required ]]</f>
        <v>7999</v>
      </c>
      <c r="X799" s="8"/>
      <c r="Y799" s="246"/>
    </row>
    <row r="800" spans="2:25" ht="15.75" customHeight="1" x14ac:dyDescent="0.25">
      <c r="B800" s="207" t="s">
        <v>35</v>
      </c>
      <c r="C800" s="66" t="s">
        <v>58</v>
      </c>
      <c r="D800" s="4" t="s">
        <v>79</v>
      </c>
      <c r="E800" s="4" t="s">
        <v>1027</v>
      </c>
      <c r="F800" s="4" t="s">
        <v>944</v>
      </c>
      <c r="G800" s="4" t="s">
        <v>1181</v>
      </c>
      <c r="H800" s="208">
        <v>1</v>
      </c>
      <c r="I800" s="4"/>
      <c r="J800" s="15"/>
      <c r="K800" s="4" t="str">
        <f>_xlfn.IFNA(VLOOKUP($J800,WH_Data[],6,FALSE),"")</f>
        <v/>
      </c>
      <c r="L800" s="4" t="str">
        <f>_xlfn.IFNA(VLOOKUP($J800,WH_Data[],3,FALSE),"")</f>
        <v/>
      </c>
      <c r="M800" s="4" t="str">
        <f>_xlfn.IFNA(VLOOKUP($J800,WH_Data[],5,FALSE),"")</f>
        <v/>
      </c>
      <c r="N800" s="4" t="str">
        <f>_xlfn.IFNA(VLOOKUP($J800,WH_Data[],7,FALSE),"")</f>
        <v/>
      </c>
      <c r="O800" s="4" t="str">
        <f>_xlfn.IFNA(VLOOKUP($J800,WH_Data[],8,FALSE),"")</f>
        <v/>
      </c>
      <c r="P800" s="8"/>
      <c r="Q800" s="209">
        <f>Mon_ILR2[[#This Row],[Qty Required]]-Mon_ILR2[[#This Row],[QTY Transfer]]</f>
        <v>1</v>
      </c>
      <c r="R800" s="66" t="s">
        <v>905</v>
      </c>
      <c r="S800" s="66" t="s">
        <v>946</v>
      </c>
      <c r="T800" s="210">
        <f>_xlfn.IFNA(VLOOKUP(Mon_ILR2[[#This Row],[New Model]],PhilipsLibary[],4,FALSE),"0")</f>
        <v>7999</v>
      </c>
      <c r="U800" s="210">
        <f>_xlfn.IFNA(VLOOKUP(Mon_ILR2[[#This Row],[New Model]],PhilipsLibary[],5,FALSE),"0")</f>
        <v>0</v>
      </c>
      <c r="V800" s="210">
        <f>_xlfn.IFNA(VLOOKUP(Mon_ILR2[[#This Row],[New Model]],PhilipsLibary[],5,FALSE),"0")</f>
        <v>0</v>
      </c>
      <c r="W800" s="210">
        <f>Mon_ILR2[[#This Row],[Accessory Rate]]+Mon_ILR2[[#This Row],[Mounting Rate]]+Mon_ILR2[[#This Row],[Unit Rate]]*Mon_ILR2[[#This Row],[New Quantity Required ]]</f>
        <v>7999</v>
      </c>
      <c r="X800" s="8"/>
      <c r="Y800" s="246"/>
    </row>
    <row r="801" spans="2:25" ht="15.75" customHeight="1" x14ac:dyDescent="0.25">
      <c r="B801" s="207" t="s">
        <v>35</v>
      </c>
      <c r="C801" s="66" t="s">
        <v>58</v>
      </c>
      <c r="D801" s="4" t="s">
        <v>82</v>
      </c>
      <c r="E801" s="4" t="s">
        <v>1027</v>
      </c>
      <c r="F801" s="4" t="s">
        <v>944</v>
      </c>
      <c r="G801" s="4" t="s">
        <v>1181</v>
      </c>
      <c r="H801" s="208">
        <v>1</v>
      </c>
      <c r="I801" s="4"/>
      <c r="J801" s="15"/>
      <c r="K801" s="4" t="str">
        <f>_xlfn.IFNA(VLOOKUP($J801,WH_Data[],6,FALSE),"")</f>
        <v/>
      </c>
      <c r="L801" s="4" t="str">
        <f>_xlfn.IFNA(VLOOKUP($J801,WH_Data[],3,FALSE),"")</f>
        <v/>
      </c>
      <c r="M801" s="4" t="str">
        <f>_xlfn.IFNA(VLOOKUP($J801,WH_Data[],5,FALSE),"")</f>
        <v/>
      </c>
      <c r="N801" s="4" t="str">
        <f>_xlfn.IFNA(VLOOKUP($J801,WH_Data[],7,FALSE),"")</f>
        <v/>
      </c>
      <c r="O801" s="4" t="str">
        <f>_xlfn.IFNA(VLOOKUP($J801,WH_Data[],8,FALSE),"")</f>
        <v/>
      </c>
      <c r="P801" s="8"/>
      <c r="Q801" s="209">
        <f>Mon_ILR2[[#This Row],[Qty Required]]-Mon_ILR2[[#This Row],[QTY Transfer]]</f>
        <v>1</v>
      </c>
      <c r="R801" s="66" t="s">
        <v>905</v>
      </c>
      <c r="S801" s="66" t="s">
        <v>946</v>
      </c>
      <c r="T801" s="210">
        <f>_xlfn.IFNA(VLOOKUP(Mon_ILR2[[#This Row],[New Model]],PhilipsLibary[],4,FALSE),"0")</f>
        <v>7999</v>
      </c>
      <c r="U801" s="210">
        <f>_xlfn.IFNA(VLOOKUP(Mon_ILR2[[#This Row],[New Model]],PhilipsLibary[],5,FALSE),"0")</f>
        <v>0</v>
      </c>
      <c r="V801" s="210">
        <f>_xlfn.IFNA(VLOOKUP(Mon_ILR2[[#This Row],[New Model]],PhilipsLibary[],5,FALSE),"0")</f>
        <v>0</v>
      </c>
      <c r="W801" s="210">
        <f>Mon_ILR2[[#This Row],[Accessory Rate]]+Mon_ILR2[[#This Row],[Mounting Rate]]+Mon_ILR2[[#This Row],[Unit Rate]]*Mon_ILR2[[#This Row],[New Quantity Required ]]</f>
        <v>7999</v>
      </c>
      <c r="X801" s="8"/>
      <c r="Y801" s="246"/>
    </row>
    <row r="802" spans="2:25" ht="15.75" customHeight="1" x14ac:dyDescent="0.25">
      <c r="B802" s="207" t="s">
        <v>35</v>
      </c>
      <c r="C802" s="66" t="s">
        <v>58</v>
      </c>
      <c r="D802" s="4" t="s">
        <v>85</v>
      </c>
      <c r="E802" s="4" t="s">
        <v>1027</v>
      </c>
      <c r="F802" s="4" t="s">
        <v>944</v>
      </c>
      <c r="G802" s="4" t="s">
        <v>1181</v>
      </c>
      <c r="H802" s="208">
        <v>1</v>
      </c>
      <c r="I802" s="4"/>
      <c r="J802" s="15"/>
      <c r="K802" s="4" t="str">
        <f>_xlfn.IFNA(VLOOKUP($J802,WH_Data[],6,FALSE),"")</f>
        <v/>
      </c>
      <c r="L802" s="4" t="str">
        <f>_xlfn.IFNA(VLOOKUP($J802,WH_Data[],3,FALSE),"")</f>
        <v/>
      </c>
      <c r="M802" s="4" t="str">
        <f>_xlfn.IFNA(VLOOKUP($J802,WH_Data[],5,FALSE),"")</f>
        <v/>
      </c>
      <c r="N802" s="4" t="str">
        <f>_xlfn.IFNA(VLOOKUP($J802,WH_Data[],7,FALSE),"")</f>
        <v/>
      </c>
      <c r="O802" s="4" t="str">
        <f>_xlfn.IFNA(VLOOKUP($J802,WH_Data[],8,FALSE),"")</f>
        <v/>
      </c>
      <c r="P802" s="8"/>
      <c r="Q802" s="209">
        <f>Mon_ILR2[[#This Row],[Qty Required]]-Mon_ILR2[[#This Row],[QTY Transfer]]</f>
        <v>1</v>
      </c>
      <c r="R802" s="66" t="s">
        <v>905</v>
      </c>
      <c r="S802" s="66" t="s">
        <v>946</v>
      </c>
      <c r="T802" s="210">
        <f>_xlfn.IFNA(VLOOKUP(Mon_ILR2[[#This Row],[New Model]],PhilipsLibary[],4,FALSE),"0")</f>
        <v>7999</v>
      </c>
      <c r="U802" s="210">
        <f>_xlfn.IFNA(VLOOKUP(Mon_ILR2[[#This Row],[New Model]],PhilipsLibary[],5,FALSE),"0")</f>
        <v>0</v>
      </c>
      <c r="V802" s="210">
        <f>_xlfn.IFNA(VLOOKUP(Mon_ILR2[[#This Row],[New Model]],PhilipsLibary[],5,FALSE),"0")</f>
        <v>0</v>
      </c>
      <c r="W802" s="210">
        <f>Mon_ILR2[[#This Row],[Accessory Rate]]+Mon_ILR2[[#This Row],[Mounting Rate]]+Mon_ILR2[[#This Row],[Unit Rate]]*Mon_ILR2[[#This Row],[New Quantity Required ]]</f>
        <v>7999</v>
      </c>
      <c r="X802" s="8"/>
      <c r="Y802" s="246"/>
    </row>
    <row r="803" spans="2:25" ht="15.75" customHeight="1" x14ac:dyDescent="0.25">
      <c r="B803" s="207" t="s">
        <v>35</v>
      </c>
      <c r="C803" s="66" t="s">
        <v>58</v>
      </c>
      <c r="D803" s="4" t="s">
        <v>88</v>
      </c>
      <c r="E803" s="4" t="s">
        <v>1027</v>
      </c>
      <c r="F803" s="4" t="s">
        <v>944</v>
      </c>
      <c r="G803" s="4" t="s">
        <v>1181</v>
      </c>
      <c r="H803" s="208">
        <v>1</v>
      </c>
      <c r="I803" s="4"/>
      <c r="J803" s="15"/>
      <c r="K803" s="4" t="str">
        <f>_xlfn.IFNA(VLOOKUP($J803,WH_Data[],6,FALSE),"")</f>
        <v/>
      </c>
      <c r="L803" s="4" t="str">
        <f>_xlfn.IFNA(VLOOKUP($J803,WH_Data[],3,FALSE),"")</f>
        <v/>
      </c>
      <c r="M803" s="4" t="str">
        <f>_xlfn.IFNA(VLOOKUP($J803,WH_Data[],5,FALSE),"")</f>
        <v/>
      </c>
      <c r="N803" s="4" t="str">
        <f>_xlfn.IFNA(VLOOKUP($J803,WH_Data[],7,FALSE),"")</f>
        <v/>
      </c>
      <c r="O803" s="4" t="str">
        <f>_xlfn.IFNA(VLOOKUP($J803,WH_Data[],8,FALSE),"")</f>
        <v/>
      </c>
      <c r="P803" s="8"/>
      <c r="Q803" s="209">
        <f>Mon_ILR2[[#This Row],[Qty Required]]-Mon_ILR2[[#This Row],[QTY Transfer]]</f>
        <v>1</v>
      </c>
      <c r="R803" s="66" t="s">
        <v>905</v>
      </c>
      <c r="S803" s="66" t="s">
        <v>946</v>
      </c>
      <c r="T803" s="210">
        <f>_xlfn.IFNA(VLOOKUP(Mon_ILR2[[#This Row],[New Model]],PhilipsLibary[],4,FALSE),"0")</f>
        <v>7999</v>
      </c>
      <c r="U803" s="210">
        <f>_xlfn.IFNA(VLOOKUP(Mon_ILR2[[#This Row],[New Model]],PhilipsLibary[],5,FALSE),"0")</f>
        <v>0</v>
      </c>
      <c r="V803" s="210">
        <f>_xlfn.IFNA(VLOOKUP(Mon_ILR2[[#This Row],[New Model]],PhilipsLibary[],5,FALSE),"0")</f>
        <v>0</v>
      </c>
      <c r="W803" s="210">
        <f>Mon_ILR2[[#This Row],[Accessory Rate]]+Mon_ILR2[[#This Row],[Mounting Rate]]+Mon_ILR2[[#This Row],[Unit Rate]]*Mon_ILR2[[#This Row],[New Quantity Required ]]</f>
        <v>7999</v>
      </c>
      <c r="X803" s="8"/>
      <c r="Y803" s="246"/>
    </row>
    <row r="804" spans="2:25" ht="15.75" customHeight="1" x14ac:dyDescent="0.25">
      <c r="B804" s="207" t="s">
        <v>35</v>
      </c>
      <c r="C804" s="66" t="s">
        <v>58</v>
      </c>
      <c r="D804" s="4" t="s">
        <v>91</v>
      </c>
      <c r="E804" s="4" t="s">
        <v>1027</v>
      </c>
      <c r="F804" s="4" t="s">
        <v>944</v>
      </c>
      <c r="G804" s="4" t="s">
        <v>1181</v>
      </c>
      <c r="H804" s="208">
        <v>1</v>
      </c>
      <c r="I804" s="4"/>
      <c r="J804" s="15"/>
      <c r="K804" s="4" t="str">
        <f>_xlfn.IFNA(VLOOKUP($J804,WH_Data[],6,FALSE),"")</f>
        <v/>
      </c>
      <c r="L804" s="4" t="str">
        <f>_xlfn.IFNA(VLOOKUP($J804,WH_Data[],3,FALSE),"")</f>
        <v/>
      </c>
      <c r="M804" s="4" t="str">
        <f>_xlfn.IFNA(VLOOKUP($J804,WH_Data[],5,FALSE),"")</f>
        <v/>
      </c>
      <c r="N804" s="4" t="str">
        <f>_xlfn.IFNA(VLOOKUP($J804,WH_Data[],7,FALSE),"")</f>
        <v/>
      </c>
      <c r="O804" s="4" t="str">
        <f>_xlfn.IFNA(VLOOKUP($J804,WH_Data[],8,FALSE),"")</f>
        <v/>
      </c>
      <c r="P804" s="8"/>
      <c r="Q804" s="209">
        <f>Mon_ILR2[[#This Row],[Qty Required]]-Mon_ILR2[[#This Row],[QTY Transfer]]</f>
        <v>1</v>
      </c>
      <c r="R804" s="66" t="s">
        <v>905</v>
      </c>
      <c r="S804" s="66" t="s">
        <v>946</v>
      </c>
      <c r="T804" s="210">
        <f>_xlfn.IFNA(VLOOKUP(Mon_ILR2[[#This Row],[New Model]],PhilipsLibary[],4,FALSE),"0")</f>
        <v>7999</v>
      </c>
      <c r="U804" s="210">
        <f>_xlfn.IFNA(VLOOKUP(Mon_ILR2[[#This Row],[New Model]],PhilipsLibary[],5,FALSE),"0")</f>
        <v>0</v>
      </c>
      <c r="V804" s="210">
        <f>_xlfn.IFNA(VLOOKUP(Mon_ILR2[[#This Row],[New Model]],PhilipsLibary[],5,FALSE),"0")</f>
        <v>0</v>
      </c>
      <c r="W804" s="210">
        <f>Mon_ILR2[[#This Row],[Accessory Rate]]+Mon_ILR2[[#This Row],[Mounting Rate]]+Mon_ILR2[[#This Row],[Unit Rate]]*Mon_ILR2[[#This Row],[New Quantity Required ]]</f>
        <v>7999</v>
      </c>
      <c r="X804" s="8"/>
      <c r="Y804" s="246"/>
    </row>
    <row r="805" spans="2:25" ht="15.75" customHeight="1" x14ac:dyDescent="0.25">
      <c r="B805" s="207" t="s">
        <v>35</v>
      </c>
      <c r="C805" s="66" t="s">
        <v>58</v>
      </c>
      <c r="D805" s="4" t="s">
        <v>94</v>
      </c>
      <c r="E805" s="4" t="s">
        <v>1027</v>
      </c>
      <c r="F805" s="4" t="s">
        <v>944</v>
      </c>
      <c r="G805" s="4" t="s">
        <v>1181</v>
      </c>
      <c r="H805" s="208">
        <v>1</v>
      </c>
      <c r="I805" s="4"/>
      <c r="J805" s="15"/>
      <c r="K805" s="4" t="str">
        <f>_xlfn.IFNA(VLOOKUP($J805,WH_Data[],6,FALSE),"")</f>
        <v/>
      </c>
      <c r="L805" s="4" t="str">
        <f>_xlfn.IFNA(VLOOKUP($J805,WH_Data[],3,FALSE),"")</f>
        <v/>
      </c>
      <c r="M805" s="4" t="str">
        <f>_xlfn.IFNA(VLOOKUP($J805,WH_Data[],5,FALSE),"")</f>
        <v/>
      </c>
      <c r="N805" s="4" t="str">
        <f>_xlfn.IFNA(VLOOKUP($J805,WH_Data[],7,FALSE),"")</f>
        <v/>
      </c>
      <c r="O805" s="4" t="str">
        <f>_xlfn.IFNA(VLOOKUP($J805,WH_Data[],8,FALSE),"")</f>
        <v/>
      </c>
      <c r="P805" s="8"/>
      <c r="Q805" s="209">
        <f>Mon_ILR2[[#This Row],[Qty Required]]-Mon_ILR2[[#This Row],[QTY Transfer]]</f>
        <v>1</v>
      </c>
      <c r="R805" s="66" t="s">
        <v>905</v>
      </c>
      <c r="S805" s="66" t="s">
        <v>946</v>
      </c>
      <c r="T805" s="210">
        <f>_xlfn.IFNA(VLOOKUP(Mon_ILR2[[#This Row],[New Model]],PhilipsLibary[],4,FALSE),"0")</f>
        <v>7999</v>
      </c>
      <c r="U805" s="210">
        <f>_xlfn.IFNA(VLOOKUP(Mon_ILR2[[#This Row],[New Model]],PhilipsLibary[],5,FALSE),"0")</f>
        <v>0</v>
      </c>
      <c r="V805" s="210">
        <f>_xlfn.IFNA(VLOOKUP(Mon_ILR2[[#This Row],[New Model]],PhilipsLibary[],5,FALSE),"0")</f>
        <v>0</v>
      </c>
      <c r="W805" s="210">
        <f>Mon_ILR2[[#This Row],[Accessory Rate]]+Mon_ILR2[[#This Row],[Mounting Rate]]+Mon_ILR2[[#This Row],[Unit Rate]]*Mon_ILR2[[#This Row],[New Quantity Required ]]</f>
        <v>7999</v>
      </c>
      <c r="X805" s="8"/>
      <c r="Y805" s="246"/>
    </row>
    <row r="806" spans="2:25" ht="15.75" customHeight="1" x14ac:dyDescent="0.25">
      <c r="B806" s="207" t="s">
        <v>35</v>
      </c>
      <c r="C806" s="66" t="s">
        <v>58</v>
      </c>
      <c r="D806" s="4" t="s">
        <v>97</v>
      </c>
      <c r="E806" s="4" t="s">
        <v>1027</v>
      </c>
      <c r="F806" s="4" t="s">
        <v>944</v>
      </c>
      <c r="G806" s="4" t="s">
        <v>1181</v>
      </c>
      <c r="H806" s="208">
        <v>1</v>
      </c>
      <c r="I806" s="4"/>
      <c r="J806" s="15"/>
      <c r="K806" s="4" t="str">
        <f>_xlfn.IFNA(VLOOKUP($J806,WH_Data[],6,FALSE),"")</f>
        <v/>
      </c>
      <c r="L806" s="4" t="str">
        <f>_xlfn.IFNA(VLOOKUP($J806,WH_Data[],3,FALSE),"")</f>
        <v/>
      </c>
      <c r="M806" s="4" t="str">
        <f>_xlfn.IFNA(VLOOKUP($J806,WH_Data[],5,FALSE),"")</f>
        <v/>
      </c>
      <c r="N806" s="4" t="str">
        <f>_xlfn.IFNA(VLOOKUP($J806,WH_Data[],7,FALSE),"")</f>
        <v/>
      </c>
      <c r="O806" s="4" t="str">
        <f>_xlfn.IFNA(VLOOKUP($J806,WH_Data[],8,FALSE),"")</f>
        <v/>
      </c>
      <c r="P806" s="8"/>
      <c r="Q806" s="209">
        <f>Mon_ILR2[[#This Row],[Qty Required]]-Mon_ILR2[[#This Row],[QTY Transfer]]</f>
        <v>1</v>
      </c>
      <c r="R806" s="66" t="s">
        <v>905</v>
      </c>
      <c r="S806" s="66" t="s">
        <v>946</v>
      </c>
      <c r="T806" s="210">
        <f>_xlfn.IFNA(VLOOKUP(Mon_ILR2[[#This Row],[New Model]],PhilipsLibary[],4,FALSE),"0")</f>
        <v>7999</v>
      </c>
      <c r="U806" s="210">
        <f>_xlfn.IFNA(VLOOKUP(Mon_ILR2[[#This Row],[New Model]],PhilipsLibary[],5,FALSE),"0")</f>
        <v>0</v>
      </c>
      <c r="V806" s="210">
        <f>_xlfn.IFNA(VLOOKUP(Mon_ILR2[[#This Row],[New Model]],PhilipsLibary[],5,FALSE),"0")</f>
        <v>0</v>
      </c>
      <c r="W806" s="210">
        <f>Mon_ILR2[[#This Row],[Accessory Rate]]+Mon_ILR2[[#This Row],[Mounting Rate]]+Mon_ILR2[[#This Row],[Unit Rate]]*Mon_ILR2[[#This Row],[New Quantity Required ]]</f>
        <v>7999</v>
      </c>
      <c r="X806" s="8"/>
      <c r="Y806" s="246"/>
    </row>
    <row r="807" spans="2:25" ht="15.75" customHeight="1" x14ac:dyDescent="0.25">
      <c r="B807" s="207" t="s">
        <v>35</v>
      </c>
      <c r="C807" s="66" t="s">
        <v>58</v>
      </c>
      <c r="D807" s="4" t="s">
        <v>100</v>
      </c>
      <c r="E807" s="4" t="s">
        <v>1027</v>
      </c>
      <c r="F807" s="4" t="s">
        <v>944</v>
      </c>
      <c r="G807" s="4" t="s">
        <v>1181</v>
      </c>
      <c r="H807" s="208">
        <v>1</v>
      </c>
      <c r="I807" s="4"/>
      <c r="J807" s="15"/>
      <c r="K807" s="4" t="str">
        <f>_xlfn.IFNA(VLOOKUP($J807,WH_Data[],6,FALSE),"")</f>
        <v/>
      </c>
      <c r="L807" s="4" t="str">
        <f>_xlfn.IFNA(VLOOKUP($J807,WH_Data[],3,FALSE),"")</f>
        <v/>
      </c>
      <c r="M807" s="4" t="str">
        <f>_xlfn.IFNA(VLOOKUP($J807,WH_Data[],5,FALSE),"")</f>
        <v/>
      </c>
      <c r="N807" s="4" t="str">
        <f>_xlfn.IFNA(VLOOKUP($J807,WH_Data[],7,FALSE),"")</f>
        <v/>
      </c>
      <c r="O807" s="4" t="str">
        <f>_xlfn.IFNA(VLOOKUP($J807,WH_Data[],8,FALSE),"")</f>
        <v/>
      </c>
      <c r="P807" s="8"/>
      <c r="Q807" s="209">
        <f>Mon_ILR2[[#This Row],[Qty Required]]-Mon_ILR2[[#This Row],[QTY Transfer]]</f>
        <v>1</v>
      </c>
      <c r="R807" s="66" t="s">
        <v>905</v>
      </c>
      <c r="S807" s="66" t="s">
        <v>946</v>
      </c>
      <c r="T807" s="210">
        <f>_xlfn.IFNA(VLOOKUP(Mon_ILR2[[#This Row],[New Model]],PhilipsLibary[],4,FALSE),"0")</f>
        <v>7999</v>
      </c>
      <c r="U807" s="210">
        <f>_xlfn.IFNA(VLOOKUP(Mon_ILR2[[#This Row],[New Model]],PhilipsLibary[],5,FALSE),"0")</f>
        <v>0</v>
      </c>
      <c r="V807" s="210">
        <f>_xlfn.IFNA(VLOOKUP(Mon_ILR2[[#This Row],[New Model]],PhilipsLibary[],5,FALSE),"0")</f>
        <v>0</v>
      </c>
      <c r="W807" s="210">
        <f>Mon_ILR2[[#This Row],[Accessory Rate]]+Mon_ILR2[[#This Row],[Mounting Rate]]+Mon_ILR2[[#This Row],[Unit Rate]]*Mon_ILR2[[#This Row],[New Quantity Required ]]</f>
        <v>7999</v>
      </c>
      <c r="X807" s="8"/>
      <c r="Y807" s="246"/>
    </row>
    <row r="808" spans="2:25" ht="15.75" customHeight="1" x14ac:dyDescent="0.25">
      <c r="B808" s="207" t="s">
        <v>35</v>
      </c>
      <c r="C808" s="66" t="s">
        <v>58</v>
      </c>
      <c r="D808" s="4" t="s">
        <v>103</v>
      </c>
      <c r="E808" s="4" t="s">
        <v>1027</v>
      </c>
      <c r="F808" s="4" t="s">
        <v>944</v>
      </c>
      <c r="G808" s="4" t="s">
        <v>1181</v>
      </c>
      <c r="H808" s="208">
        <v>1</v>
      </c>
      <c r="I808" s="4"/>
      <c r="J808" s="15"/>
      <c r="K808" s="4" t="str">
        <f>_xlfn.IFNA(VLOOKUP($J808,WH_Data[],6,FALSE),"")</f>
        <v/>
      </c>
      <c r="L808" s="4" t="str">
        <f>_xlfn.IFNA(VLOOKUP($J808,WH_Data[],3,FALSE),"")</f>
        <v/>
      </c>
      <c r="M808" s="4" t="str">
        <f>_xlfn.IFNA(VLOOKUP($J808,WH_Data[],5,FALSE),"")</f>
        <v/>
      </c>
      <c r="N808" s="4" t="str">
        <f>_xlfn.IFNA(VLOOKUP($J808,WH_Data[],7,FALSE),"")</f>
        <v/>
      </c>
      <c r="O808" s="4" t="str">
        <f>_xlfn.IFNA(VLOOKUP($J808,WH_Data[],8,FALSE),"")</f>
        <v/>
      </c>
      <c r="P808" s="8"/>
      <c r="Q808" s="209">
        <f>Mon_ILR2[[#This Row],[Qty Required]]-Mon_ILR2[[#This Row],[QTY Transfer]]</f>
        <v>1</v>
      </c>
      <c r="R808" s="66" t="s">
        <v>905</v>
      </c>
      <c r="S808" s="66" t="s">
        <v>946</v>
      </c>
      <c r="T808" s="210">
        <f>_xlfn.IFNA(VLOOKUP(Mon_ILR2[[#This Row],[New Model]],PhilipsLibary[],4,FALSE),"0")</f>
        <v>7999</v>
      </c>
      <c r="U808" s="210">
        <f>_xlfn.IFNA(VLOOKUP(Mon_ILR2[[#This Row],[New Model]],PhilipsLibary[],5,FALSE),"0")</f>
        <v>0</v>
      </c>
      <c r="V808" s="210">
        <f>_xlfn.IFNA(VLOOKUP(Mon_ILR2[[#This Row],[New Model]],PhilipsLibary[],5,FALSE),"0")</f>
        <v>0</v>
      </c>
      <c r="W808" s="210">
        <f>Mon_ILR2[[#This Row],[Accessory Rate]]+Mon_ILR2[[#This Row],[Mounting Rate]]+Mon_ILR2[[#This Row],[Unit Rate]]*Mon_ILR2[[#This Row],[New Quantity Required ]]</f>
        <v>7999</v>
      </c>
      <c r="X808" s="8"/>
      <c r="Y808" s="246"/>
    </row>
    <row r="809" spans="2:25" ht="15.75" customHeight="1" x14ac:dyDescent="0.25">
      <c r="B809" s="207" t="s">
        <v>35</v>
      </c>
      <c r="C809" s="66" t="s">
        <v>58</v>
      </c>
      <c r="D809" s="4" t="s">
        <v>106</v>
      </c>
      <c r="E809" s="4" t="s">
        <v>1027</v>
      </c>
      <c r="F809" s="4" t="s">
        <v>944</v>
      </c>
      <c r="G809" s="4" t="s">
        <v>1181</v>
      </c>
      <c r="H809" s="208">
        <v>1</v>
      </c>
      <c r="I809" s="4"/>
      <c r="J809" s="15"/>
      <c r="K809" s="4" t="str">
        <f>_xlfn.IFNA(VLOOKUP($J809,WH_Data[],6,FALSE),"")</f>
        <v/>
      </c>
      <c r="L809" s="4" t="str">
        <f>_xlfn.IFNA(VLOOKUP($J809,WH_Data[],3,FALSE),"")</f>
        <v/>
      </c>
      <c r="M809" s="4" t="str">
        <f>_xlfn.IFNA(VLOOKUP($J809,WH_Data[],5,FALSE),"")</f>
        <v/>
      </c>
      <c r="N809" s="4" t="str">
        <f>_xlfn.IFNA(VLOOKUP($J809,WH_Data[],7,FALSE),"")</f>
        <v/>
      </c>
      <c r="O809" s="4" t="str">
        <f>_xlfn.IFNA(VLOOKUP($J809,WH_Data[],8,FALSE),"")</f>
        <v/>
      </c>
      <c r="P809" s="8"/>
      <c r="Q809" s="209">
        <f>Mon_ILR2[[#This Row],[Qty Required]]-Mon_ILR2[[#This Row],[QTY Transfer]]</f>
        <v>1</v>
      </c>
      <c r="R809" s="66" t="s">
        <v>905</v>
      </c>
      <c r="S809" s="66" t="s">
        <v>946</v>
      </c>
      <c r="T809" s="210">
        <f>_xlfn.IFNA(VLOOKUP(Mon_ILR2[[#This Row],[New Model]],PhilipsLibary[],4,FALSE),"0")</f>
        <v>7999</v>
      </c>
      <c r="U809" s="210">
        <f>_xlfn.IFNA(VLOOKUP(Mon_ILR2[[#This Row],[New Model]],PhilipsLibary[],5,FALSE),"0")</f>
        <v>0</v>
      </c>
      <c r="V809" s="210">
        <f>_xlfn.IFNA(VLOOKUP(Mon_ILR2[[#This Row],[New Model]],PhilipsLibary[],5,FALSE),"0")</f>
        <v>0</v>
      </c>
      <c r="W809" s="210">
        <f>Mon_ILR2[[#This Row],[Accessory Rate]]+Mon_ILR2[[#This Row],[Mounting Rate]]+Mon_ILR2[[#This Row],[Unit Rate]]*Mon_ILR2[[#This Row],[New Quantity Required ]]</f>
        <v>7999</v>
      </c>
      <c r="X809" s="8"/>
      <c r="Y809" s="246"/>
    </row>
    <row r="810" spans="2:25" ht="15.75" customHeight="1" x14ac:dyDescent="0.25">
      <c r="B810" s="207" t="s">
        <v>35</v>
      </c>
      <c r="C810" s="66" t="s">
        <v>58</v>
      </c>
      <c r="D810" s="4" t="s">
        <v>110</v>
      </c>
      <c r="E810" s="4" t="s">
        <v>1027</v>
      </c>
      <c r="F810" s="4" t="s">
        <v>944</v>
      </c>
      <c r="G810" s="4" t="s">
        <v>1181</v>
      </c>
      <c r="H810" s="208">
        <v>1</v>
      </c>
      <c r="I810" s="4"/>
      <c r="J810" s="15"/>
      <c r="K810" s="4" t="str">
        <f>_xlfn.IFNA(VLOOKUP($J810,WH_Data[],6,FALSE),"")</f>
        <v/>
      </c>
      <c r="L810" s="4" t="str">
        <f>_xlfn.IFNA(VLOOKUP($J810,WH_Data[],3,FALSE),"")</f>
        <v/>
      </c>
      <c r="M810" s="4" t="str">
        <f>_xlfn.IFNA(VLOOKUP($J810,WH_Data[],5,FALSE),"")</f>
        <v/>
      </c>
      <c r="N810" s="4" t="str">
        <f>_xlfn.IFNA(VLOOKUP($J810,WH_Data[],7,FALSE),"")</f>
        <v/>
      </c>
      <c r="O810" s="4" t="str">
        <f>_xlfn.IFNA(VLOOKUP($J810,WH_Data[],8,FALSE),"")</f>
        <v/>
      </c>
      <c r="P810" s="8"/>
      <c r="Q810" s="209">
        <f>Mon_ILR2[[#This Row],[Qty Required]]-Mon_ILR2[[#This Row],[QTY Transfer]]</f>
        <v>1</v>
      </c>
      <c r="R810" s="66" t="s">
        <v>905</v>
      </c>
      <c r="S810" s="66" t="s">
        <v>946</v>
      </c>
      <c r="T810" s="210">
        <f>_xlfn.IFNA(VLOOKUP(Mon_ILR2[[#This Row],[New Model]],PhilipsLibary[],4,FALSE),"0")</f>
        <v>7999</v>
      </c>
      <c r="U810" s="210">
        <f>_xlfn.IFNA(VLOOKUP(Mon_ILR2[[#This Row],[New Model]],PhilipsLibary[],5,FALSE),"0")</f>
        <v>0</v>
      </c>
      <c r="V810" s="210">
        <f>_xlfn.IFNA(VLOOKUP(Mon_ILR2[[#This Row],[New Model]],PhilipsLibary[],5,FALSE),"0")</f>
        <v>0</v>
      </c>
      <c r="W810" s="210">
        <f>Mon_ILR2[[#This Row],[Accessory Rate]]+Mon_ILR2[[#This Row],[Mounting Rate]]+Mon_ILR2[[#This Row],[Unit Rate]]*Mon_ILR2[[#This Row],[New Quantity Required ]]</f>
        <v>7999</v>
      </c>
      <c r="X810" s="8"/>
      <c r="Y810" s="246"/>
    </row>
    <row r="811" spans="2:25" ht="15.75" customHeight="1" x14ac:dyDescent="0.25">
      <c r="B811" s="207" t="s">
        <v>35</v>
      </c>
      <c r="C811" s="66" t="s">
        <v>58</v>
      </c>
      <c r="D811" s="4" t="s">
        <v>114</v>
      </c>
      <c r="E811" s="4" t="s">
        <v>1027</v>
      </c>
      <c r="F811" s="4" t="s">
        <v>944</v>
      </c>
      <c r="G811" s="4" t="s">
        <v>1181</v>
      </c>
      <c r="H811" s="208">
        <v>1</v>
      </c>
      <c r="I811" s="4"/>
      <c r="J811" s="15"/>
      <c r="K811" s="4" t="str">
        <f>_xlfn.IFNA(VLOOKUP($J811,WH_Data[],6,FALSE),"")</f>
        <v/>
      </c>
      <c r="L811" s="4" t="str">
        <f>_xlfn.IFNA(VLOOKUP($J811,WH_Data[],3,FALSE),"")</f>
        <v/>
      </c>
      <c r="M811" s="4" t="str">
        <f>_xlfn.IFNA(VLOOKUP($J811,WH_Data[],5,FALSE),"")</f>
        <v/>
      </c>
      <c r="N811" s="4" t="str">
        <f>_xlfn.IFNA(VLOOKUP($J811,WH_Data[],7,FALSE),"")</f>
        <v/>
      </c>
      <c r="O811" s="4" t="str">
        <f>_xlfn.IFNA(VLOOKUP($J811,WH_Data[],8,FALSE),"")</f>
        <v/>
      </c>
      <c r="P811" s="8"/>
      <c r="Q811" s="209">
        <f>Mon_ILR2[[#This Row],[Qty Required]]-Mon_ILR2[[#This Row],[QTY Transfer]]</f>
        <v>1</v>
      </c>
      <c r="R811" s="66" t="s">
        <v>905</v>
      </c>
      <c r="S811" s="66" t="s">
        <v>946</v>
      </c>
      <c r="T811" s="210">
        <f>_xlfn.IFNA(VLOOKUP(Mon_ILR2[[#This Row],[New Model]],PhilipsLibary[],4,FALSE),"0")</f>
        <v>7999</v>
      </c>
      <c r="U811" s="210">
        <f>_xlfn.IFNA(VLOOKUP(Mon_ILR2[[#This Row],[New Model]],PhilipsLibary[],5,FALSE),"0")</f>
        <v>0</v>
      </c>
      <c r="V811" s="210">
        <f>_xlfn.IFNA(VLOOKUP(Mon_ILR2[[#This Row],[New Model]],PhilipsLibary[],5,FALSE),"0")</f>
        <v>0</v>
      </c>
      <c r="W811" s="210">
        <f>Mon_ILR2[[#This Row],[Accessory Rate]]+Mon_ILR2[[#This Row],[Mounting Rate]]+Mon_ILR2[[#This Row],[Unit Rate]]*Mon_ILR2[[#This Row],[New Quantity Required ]]</f>
        <v>7999</v>
      </c>
      <c r="X811" s="8"/>
      <c r="Y811" s="246"/>
    </row>
    <row r="812" spans="2:25" ht="15.75" customHeight="1" x14ac:dyDescent="0.25">
      <c r="B812" s="207" t="s">
        <v>35</v>
      </c>
      <c r="C812" s="66" t="s">
        <v>58</v>
      </c>
      <c r="D812" s="4" t="s">
        <v>118</v>
      </c>
      <c r="E812" s="4" t="s">
        <v>1027</v>
      </c>
      <c r="F812" s="4" t="s">
        <v>944</v>
      </c>
      <c r="G812" s="4" t="s">
        <v>1181</v>
      </c>
      <c r="H812" s="208">
        <v>1</v>
      </c>
      <c r="I812" s="4"/>
      <c r="J812" s="15"/>
      <c r="K812" s="4" t="str">
        <f>_xlfn.IFNA(VLOOKUP($J812,WH_Data[],6,FALSE),"")</f>
        <v/>
      </c>
      <c r="L812" s="4" t="str">
        <f>_xlfn.IFNA(VLOOKUP($J812,WH_Data[],3,FALSE),"")</f>
        <v/>
      </c>
      <c r="M812" s="4" t="str">
        <f>_xlfn.IFNA(VLOOKUP($J812,WH_Data[],5,FALSE),"")</f>
        <v/>
      </c>
      <c r="N812" s="4" t="str">
        <f>_xlfn.IFNA(VLOOKUP($J812,WH_Data[],7,FALSE),"")</f>
        <v/>
      </c>
      <c r="O812" s="4" t="str">
        <f>_xlfn.IFNA(VLOOKUP($J812,WH_Data[],8,FALSE),"")</f>
        <v/>
      </c>
      <c r="P812" s="8"/>
      <c r="Q812" s="209">
        <f>Mon_ILR2[[#This Row],[Qty Required]]-Mon_ILR2[[#This Row],[QTY Transfer]]</f>
        <v>1</v>
      </c>
      <c r="R812" s="66" t="s">
        <v>905</v>
      </c>
      <c r="S812" s="66" t="s">
        <v>946</v>
      </c>
      <c r="T812" s="210">
        <f>_xlfn.IFNA(VLOOKUP(Mon_ILR2[[#This Row],[New Model]],PhilipsLibary[],4,FALSE),"0")</f>
        <v>7999</v>
      </c>
      <c r="U812" s="210">
        <f>_xlfn.IFNA(VLOOKUP(Mon_ILR2[[#This Row],[New Model]],PhilipsLibary[],5,FALSE),"0")</f>
        <v>0</v>
      </c>
      <c r="V812" s="210">
        <f>_xlfn.IFNA(VLOOKUP(Mon_ILR2[[#This Row],[New Model]],PhilipsLibary[],5,FALSE),"0")</f>
        <v>0</v>
      </c>
      <c r="W812" s="210">
        <f>Mon_ILR2[[#This Row],[Accessory Rate]]+Mon_ILR2[[#This Row],[Mounting Rate]]+Mon_ILR2[[#This Row],[Unit Rate]]*Mon_ILR2[[#This Row],[New Quantity Required ]]</f>
        <v>7999</v>
      </c>
      <c r="X812" s="8"/>
      <c r="Y812" s="246"/>
    </row>
    <row r="813" spans="2:25" ht="15.75" customHeight="1" x14ac:dyDescent="0.25">
      <c r="B813" s="207" t="s">
        <v>35</v>
      </c>
      <c r="C813" s="66" t="s">
        <v>120</v>
      </c>
      <c r="D813" s="4" t="s">
        <v>121</v>
      </c>
      <c r="E813" s="4" t="s">
        <v>1072</v>
      </c>
      <c r="F813" s="4" t="s">
        <v>944</v>
      </c>
      <c r="G813" s="4" t="s">
        <v>1181</v>
      </c>
      <c r="H813" s="208">
        <v>1</v>
      </c>
      <c r="I813" s="4"/>
      <c r="J813" s="15"/>
      <c r="K813" s="4" t="str">
        <f>_xlfn.IFNA(VLOOKUP($J813,WH_Data[],6,FALSE),"")</f>
        <v/>
      </c>
      <c r="L813" s="4" t="str">
        <f>_xlfn.IFNA(VLOOKUP($J813,WH_Data[],3,FALSE),"")</f>
        <v/>
      </c>
      <c r="M813" s="4" t="str">
        <f>_xlfn.IFNA(VLOOKUP($J813,WH_Data[],5,FALSE),"")</f>
        <v/>
      </c>
      <c r="N813" s="4" t="str">
        <f>_xlfn.IFNA(VLOOKUP($J813,WH_Data[],7,FALSE),"")</f>
        <v/>
      </c>
      <c r="O813" s="4" t="str">
        <f>_xlfn.IFNA(VLOOKUP($J813,WH_Data[],8,FALSE),"")</f>
        <v/>
      </c>
      <c r="P813" s="8"/>
      <c r="Q813" s="209">
        <f>Mon_ILR2[[#This Row],[Qty Required]]-Mon_ILR2[[#This Row],[QTY Transfer]]</f>
        <v>1</v>
      </c>
      <c r="R813" s="66" t="s">
        <v>905</v>
      </c>
      <c r="S813" s="66" t="s">
        <v>946</v>
      </c>
      <c r="T813" s="210">
        <f>_xlfn.IFNA(VLOOKUP(Mon_ILR2[[#This Row],[New Model]],PhilipsLibary[],4,FALSE),"0")</f>
        <v>7999</v>
      </c>
      <c r="U813" s="210">
        <f>_xlfn.IFNA(VLOOKUP(Mon_ILR2[[#This Row],[New Model]],PhilipsLibary[],5,FALSE),"0")</f>
        <v>0</v>
      </c>
      <c r="V813" s="210">
        <f>_xlfn.IFNA(VLOOKUP(Mon_ILR2[[#This Row],[New Model]],PhilipsLibary[],5,FALSE),"0")</f>
        <v>0</v>
      </c>
      <c r="W813" s="210">
        <f>Mon_ILR2[[#This Row],[Accessory Rate]]+Mon_ILR2[[#This Row],[Mounting Rate]]+Mon_ILR2[[#This Row],[Unit Rate]]*Mon_ILR2[[#This Row],[New Quantity Required ]]</f>
        <v>7999</v>
      </c>
      <c r="X813" s="8"/>
      <c r="Y813" s="246"/>
    </row>
    <row r="814" spans="2:25" ht="15.75" customHeight="1" x14ac:dyDescent="0.25">
      <c r="B814" s="207" t="s">
        <v>35</v>
      </c>
      <c r="C814" s="66" t="s">
        <v>120</v>
      </c>
      <c r="D814" s="4" t="s">
        <v>134</v>
      </c>
      <c r="E814" s="4" t="s">
        <v>1072</v>
      </c>
      <c r="F814" s="4" t="s">
        <v>944</v>
      </c>
      <c r="G814" s="4" t="s">
        <v>1181</v>
      </c>
      <c r="H814" s="208">
        <v>1</v>
      </c>
      <c r="I814" s="4"/>
      <c r="J814" s="15"/>
      <c r="K814" s="4" t="str">
        <f>_xlfn.IFNA(VLOOKUP($J814,WH_Data[],6,FALSE),"")</f>
        <v/>
      </c>
      <c r="L814" s="4" t="str">
        <f>_xlfn.IFNA(VLOOKUP($J814,WH_Data[],3,FALSE),"")</f>
        <v/>
      </c>
      <c r="M814" s="4" t="str">
        <f>_xlfn.IFNA(VLOOKUP($J814,WH_Data[],5,FALSE),"")</f>
        <v/>
      </c>
      <c r="N814" s="4" t="str">
        <f>_xlfn.IFNA(VLOOKUP($J814,WH_Data[],7,FALSE),"")</f>
        <v/>
      </c>
      <c r="O814" s="4" t="str">
        <f>_xlfn.IFNA(VLOOKUP($J814,WH_Data[],8,FALSE),"")</f>
        <v/>
      </c>
      <c r="P814" s="8"/>
      <c r="Q814" s="209">
        <f>Mon_ILR2[[#This Row],[Qty Required]]-Mon_ILR2[[#This Row],[QTY Transfer]]</f>
        <v>1</v>
      </c>
      <c r="R814" s="66" t="s">
        <v>905</v>
      </c>
      <c r="S814" s="66" t="s">
        <v>946</v>
      </c>
      <c r="T814" s="210">
        <f>_xlfn.IFNA(VLOOKUP(Mon_ILR2[[#This Row],[New Model]],PhilipsLibary[],4,FALSE),"0")</f>
        <v>7999</v>
      </c>
      <c r="U814" s="210">
        <f>_xlfn.IFNA(VLOOKUP(Mon_ILR2[[#This Row],[New Model]],PhilipsLibary[],5,FALSE),"0")</f>
        <v>0</v>
      </c>
      <c r="V814" s="210">
        <f>_xlfn.IFNA(VLOOKUP(Mon_ILR2[[#This Row],[New Model]],PhilipsLibary[],5,FALSE),"0")</f>
        <v>0</v>
      </c>
      <c r="W814" s="210">
        <f>Mon_ILR2[[#This Row],[Accessory Rate]]+Mon_ILR2[[#This Row],[Mounting Rate]]+Mon_ILR2[[#This Row],[Unit Rate]]*Mon_ILR2[[#This Row],[New Quantity Required ]]</f>
        <v>7999</v>
      </c>
      <c r="X814" s="8"/>
      <c r="Y814" s="246"/>
    </row>
    <row r="815" spans="2:25" ht="15.75" customHeight="1" x14ac:dyDescent="0.25">
      <c r="B815" s="207" t="s">
        <v>35</v>
      </c>
      <c r="C815" s="66" t="s">
        <v>120</v>
      </c>
      <c r="D815" s="4" t="s">
        <v>138</v>
      </c>
      <c r="E815" s="4" t="s">
        <v>1072</v>
      </c>
      <c r="F815" s="4" t="s">
        <v>944</v>
      </c>
      <c r="G815" s="4" t="s">
        <v>1181</v>
      </c>
      <c r="H815" s="208">
        <v>1</v>
      </c>
      <c r="I815" s="4"/>
      <c r="J815" s="15"/>
      <c r="K815" s="4" t="str">
        <f>_xlfn.IFNA(VLOOKUP($J815,WH_Data[],6,FALSE),"")</f>
        <v/>
      </c>
      <c r="L815" s="4" t="str">
        <f>_xlfn.IFNA(VLOOKUP($J815,WH_Data[],3,FALSE),"")</f>
        <v/>
      </c>
      <c r="M815" s="4" t="str">
        <f>_xlfn.IFNA(VLOOKUP($J815,WH_Data[],5,FALSE),"")</f>
        <v/>
      </c>
      <c r="N815" s="4" t="str">
        <f>_xlfn.IFNA(VLOOKUP($J815,WH_Data[],7,FALSE),"")</f>
        <v/>
      </c>
      <c r="O815" s="4" t="str">
        <f>_xlfn.IFNA(VLOOKUP($J815,WH_Data[],8,FALSE),"")</f>
        <v/>
      </c>
      <c r="P815" s="8"/>
      <c r="Q815" s="209">
        <f>Mon_ILR2[[#This Row],[Qty Required]]-Mon_ILR2[[#This Row],[QTY Transfer]]</f>
        <v>1</v>
      </c>
      <c r="R815" s="66" t="s">
        <v>905</v>
      </c>
      <c r="S815" s="66" t="s">
        <v>946</v>
      </c>
      <c r="T815" s="210">
        <f>_xlfn.IFNA(VLOOKUP(Mon_ILR2[[#This Row],[New Model]],PhilipsLibary[],4,FALSE),"0")</f>
        <v>7999</v>
      </c>
      <c r="U815" s="210">
        <f>_xlfn.IFNA(VLOOKUP(Mon_ILR2[[#This Row],[New Model]],PhilipsLibary[],5,FALSE),"0")</f>
        <v>0</v>
      </c>
      <c r="V815" s="210">
        <f>_xlfn.IFNA(VLOOKUP(Mon_ILR2[[#This Row],[New Model]],PhilipsLibary[],5,FALSE),"0")</f>
        <v>0</v>
      </c>
      <c r="W815" s="210">
        <f>Mon_ILR2[[#This Row],[Accessory Rate]]+Mon_ILR2[[#This Row],[Mounting Rate]]+Mon_ILR2[[#This Row],[Unit Rate]]*Mon_ILR2[[#This Row],[New Quantity Required ]]</f>
        <v>7999</v>
      </c>
      <c r="X815" s="8"/>
      <c r="Y815" s="246"/>
    </row>
    <row r="816" spans="2:25" ht="15.75" customHeight="1" x14ac:dyDescent="0.25">
      <c r="B816" s="207" t="s">
        <v>35</v>
      </c>
      <c r="C816" s="66" t="s">
        <v>141</v>
      </c>
      <c r="D816" s="4" t="s">
        <v>142</v>
      </c>
      <c r="E816" s="4" t="s">
        <v>1072</v>
      </c>
      <c r="F816" s="4" t="s">
        <v>944</v>
      </c>
      <c r="G816" s="4" t="s">
        <v>1181</v>
      </c>
      <c r="H816" s="208">
        <v>1</v>
      </c>
      <c r="I816" s="4"/>
      <c r="J816" s="15"/>
      <c r="K816" s="4" t="str">
        <f>_xlfn.IFNA(VLOOKUP($J816,WH_Data[],6,FALSE),"")</f>
        <v/>
      </c>
      <c r="L816" s="4" t="str">
        <f>_xlfn.IFNA(VLOOKUP($J816,WH_Data[],3,FALSE),"")</f>
        <v/>
      </c>
      <c r="M816" s="4" t="str">
        <f>_xlfn.IFNA(VLOOKUP($J816,WH_Data[],5,FALSE),"")</f>
        <v/>
      </c>
      <c r="N816" s="4" t="str">
        <f>_xlfn.IFNA(VLOOKUP($J816,WH_Data[],7,FALSE),"")</f>
        <v/>
      </c>
      <c r="O816" s="4" t="str">
        <f>_xlfn.IFNA(VLOOKUP($J816,WH_Data[],8,FALSE),"")</f>
        <v/>
      </c>
      <c r="P816" s="8"/>
      <c r="Q816" s="209">
        <f>Mon_ILR2[[#This Row],[Qty Required]]-Mon_ILR2[[#This Row],[QTY Transfer]]</f>
        <v>1</v>
      </c>
      <c r="R816" s="66" t="s">
        <v>905</v>
      </c>
      <c r="S816" s="66" t="s">
        <v>946</v>
      </c>
      <c r="T816" s="210">
        <f>_xlfn.IFNA(VLOOKUP(Mon_ILR2[[#This Row],[New Model]],PhilipsLibary[],4,FALSE),"0")</f>
        <v>7999</v>
      </c>
      <c r="U816" s="210">
        <f>_xlfn.IFNA(VLOOKUP(Mon_ILR2[[#This Row],[New Model]],PhilipsLibary[],5,FALSE),"0")</f>
        <v>0</v>
      </c>
      <c r="V816" s="210">
        <f>_xlfn.IFNA(VLOOKUP(Mon_ILR2[[#This Row],[New Model]],PhilipsLibary[],5,FALSE),"0")</f>
        <v>0</v>
      </c>
      <c r="W816" s="210">
        <f>Mon_ILR2[[#This Row],[Accessory Rate]]+Mon_ILR2[[#This Row],[Mounting Rate]]+Mon_ILR2[[#This Row],[Unit Rate]]*Mon_ILR2[[#This Row],[New Quantity Required ]]</f>
        <v>7999</v>
      </c>
      <c r="X816" s="8"/>
      <c r="Y816" s="246"/>
    </row>
    <row r="817" spans="2:25" ht="15.75" customHeight="1" x14ac:dyDescent="0.25">
      <c r="B817" s="207" t="s">
        <v>35</v>
      </c>
      <c r="C817" s="66" t="s">
        <v>145</v>
      </c>
      <c r="D817" s="4" t="s">
        <v>146</v>
      </c>
      <c r="E817" s="4" t="s">
        <v>1072</v>
      </c>
      <c r="F817" s="4" t="s">
        <v>944</v>
      </c>
      <c r="G817" s="4" t="s">
        <v>1181</v>
      </c>
      <c r="H817" s="208">
        <v>1</v>
      </c>
      <c r="I817" s="4"/>
      <c r="J817" s="15"/>
      <c r="K817" s="4" t="str">
        <f>_xlfn.IFNA(VLOOKUP($J817,WH_Data[],6,FALSE),"")</f>
        <v/>
      </c>
      <c r="L817" s="4" t="str">
        <f>_xlfn.IFNA(VLOOKUP($J817,WH_Data[],3,FALSE),"")</f>
        <v/>
      </c>
      <c r="M817" s="4" t="str">
        <f>_xlfn.IFNA(VLOOKUP($J817,WH_Data[],5,FALSE),"")</f>
        <v/>
      </c>
      <c r="N817" s="4" t="str">
        <f>_xlfn.IFNA(VLOOKUP($J817,WH_Data[],7,FALSE),"")</f>
        <v/>
      </c>
      <c r="O817" s="4" t="str">
        <f>_xlfn.IFNA(VLOOKUP($J817,WH_Data[],8,FALSE),"")</f>
        <v/>
      </c>
      <c r="P817" s="8"/>
      <c r="Q817" s="209">
        <f>Mon_ILR2[[#This Row],[Qty Required]]-Mon_ILR2[[#This Row],[QTY Transfer]]</f>
        <v>1</v>
      </c>
      <c r="R817" s="66" t="s">
        <v>905</v>
      </c>
      <c r="S817" s="66" t="s">
        <v>946</v>
      </c>
      <c r="T817" s="210">
        <f>_xlfn.IFNA(VLOOKUP(Mon_ILR2[[#This Row],[New Model]],PhilipsLibary[],4,FALSE),"0")</f>
        <v>7999</v>
      </c>
      <c r="U817" s="210">
        <f>_xlfn.IFNA(VLOOKUP(Mon_ILR2[[#This Row],[New Model]],PhilipsLibary[],5,FALSE),"0")</f>
        <v>0</v>
      </c>
      <c r="V817" s="210">
        <f>_xlfn.IFNA(VLOOKUP(Mon_ILR2[[#This Row],[New Model]],PhilipsLibary[],5,FALSE),"0")</f>
        <v>0</v>
      </c>
      <c r="W817" s="210">
        <f>Mon_ILR2[[#This Row],[Accessory Rate]]+Mon_ILR2[[#This Row],[Mounting Rate]]+Mon_ILR2[[#This Row],[Unit Rate]]*Mon_ILR2[[#This Row],[New Quantity Required ]]</f>
        <v>7999</v>
      </c>
      <c r="X817" s="8"/>
      <c r="Y817" s="246"/>
    </row>
    <row r="818" spans="2:25" ht="15.75" customHeight="1" x14ac:dyDescent="0.25">
      <c r="B818" s="207" t="s">
        <v>35</v>
      </c>
      <c r="C818" s="66" t="s">
        <v>149</v>
      </c>
      <c r="D818" s="4" t="s">
        <v>150</v>
      </c>
      <c r="E818" s="4" t="s">
        <v>1072</v>
      </c>
      <c r="F818" s="4" t="s">
        <v>944</v>
      </c>
      <c r="G818" s="4" t="s">
        <v>1181</v>
      </c>
      <c r="H818" s="208">
        <v>1</v>
      </c>
      <c r="I818" s="4"/>
      <c r="J818" s="15"/>
      <c r="K818" s="4" t="str">
        <f>_xlfn.IFNA(VLOOKUP($J818,WH_Data[],6,FALSE),"")</f>
        <v/>
      </c>
      <c r="L818" s="4" t="str">
        <f>_xlfn.IFNA(VLOOKUP($J818,WH_Data[],3,FALSE),"")</f>
        <v/>
      </c>
      <c r="M818" s="4" t="str">
        <f>_xlfn.IFNA(VLOOKUP($J818,WH_Data[],5,FALSE),"")</f>
        <v/>
      </c>
      <c r="N818" s="4" t="str">
        <f>_xlfn.IFNA(VLOOKUP($J818,WH_Data[],7,FALSE),"")</f>
        <v/>
      </c>
      <c r="O818" s="4" t="str">
        <f>_xlfn.IFNA(VLOOKUP($J818,WH_Data[],8,FALSE),"")</f>
        <v/>
      </c>
      <c r="P818" s="8"/>
      <c r="Q818" s="209">
        <f>Mon_ILR2[[#This Row],[Qty Required]]-Mon_ILR2[[#This Row],[QTY Transfer]]</f>
        <v>1</v>
      </c>
      <c r="R818" s="66" t="s">
        <v>905</v>
      </c>
      <c r="S818" s="66" t="s">
        <v>946</v>
      </c>
      <c r="T818" s="210">
        <f>_xlfn.IFNA(VLOOKUP(Mon_ILR2[[#This Row],[New Model]],PhilipsLibary[],4,FALSE),"0")</f>
        <v>7999</v>
      </c>
      <c r="U818" s="210">
        <f>_xlfn.IFNA(VLOOKUP(Mon_ILR2[[#This Row],[New Model]],PhilipsLibary[],5,FALSE),"0")</f>
        <v>0</v>
      </c>
      <c r="V818" s="210">
        <f>_xlfn.IFNA(VLOOKUP(Mon_ILR2[[#This Row],[New Model]],PhilipsLibary[],5,FALSE),"0")</f>
        <v>0</v>
      </c>
      <c r="W818" s="210">
        <f>Mon_ILR2[[#This Row],[Accessory Rate]]+Mon_ILR2[[#This Row],[Mounting Rate]]+Mon_ILR2[[#This Row],[Unit Rate]]*Mon_ILR2[[#This Row],[New Quantity Required ]]</f>
        <v>7999</v>
      </c>
      <c r="X818" s="8"/>
      <c r="Y818" s="246"/>
    </row>
    <row r="819" spans="2:25" ht="15.75" customHeight="1" x14ac:dyDescent="0.25">
      <c r="B819" s="207" t="s">
        <v>35</v>
      </c>
      <c r="C819" s="66" t="s">
        <v>153</v>
      </c>
      <c r="D819" s="4" t="s">
        <v>154</v>
      </c>
      <c r="E819" s="4" t="s">
        <v>1072</v>
      </c>
      <c r="F819" s="4" t="s">
        <v>944</v>
      </c>
      <c r="G819" s="4" t="s">
        <v>1181</v>
      </c>
      <c r="H819" s="208">
        <v>1</v>
      </c>
      <c r="I819" s="4"/>
      <c r="J819" s="15"/>
      <c r="K819" s="4" t="str">
        <f>_xlfn.IFNA(VLOOKUP($J819,WH_Data[],6,FALSE),"")</f>
        <v/>
      </c>
      <c r="L819" s="4" t="str">
        <f>_xlfn.IFNA(VLOOKUP($J819,WH_Data[],3,FALSE),"")</f>
        <v/>
      </c>
      <c r="M819" s="4" t="str">
        <f>_xlfn.IFNA(VLOOKUP($J819,WH_Data[],5,FALSE),"")</f>
        <v/>
      </c>
      <c r="N819" s="4" t="str">
        <f>_xlfn.IFNA(VLOOKUP($J819,WH_Data[],7,FALSE),"")</f>
        <v/>
      </c>
      <c r="O819" s="4" t="str">
        <f>_xlfn.IFNA(VLOOKUP($J819,WH_Data[],8,FALSE),"")</f>
        <v/>
      </c>
      <c r="P819" s="8"/>
      <c r="Q819" s="209">
        <f>Mon_ILR2[[#This Row],[Qty Required]]-Mon_ILR2[[#This Row],[QTY Transfer]]</f>
        <v>1</v>
      </c>
      <c r="R819" s="66" t="s">
        <v>905</v>
      </c>
      <c r="S819" s="66" t="s">
        <v>946</v>
      </c>
      <c r="T819" s="210">
        <f>_xlfn.IFNA(VLOOKUP(Mon_ILR2[[#This Row],[New Model]],PhilipsLibary[],4,FALSE),"0")</f>
        <v>7999</v>
      </c>
      <c r="U819" s="210">
        <f>_xlfn.IFNA(VLOOKUP(Mon_ILR2[[#This Row],[New Model]],PhilipsLibary[],5,FALSE),"0")</f>
        <v>0</v>
      </c>
      <c r="V819" s="210">
        <f>_xlfn.IFNA(VLOOKUP(Mon_ILR2[[#This Row],[New Model]],PhilipsLibary[],5,FALSE),"0")</f>
        <v>0</v>
      </c>
      <c r="W819" s="210">
        <f>Mon_ILR2[[#This Row],[Accessory Rate]]+Mon_ILR2[[#This Row],[Mounting Rate]]+Mon_ILR2[[#This Row],[Unit Rate]]*Mon_ILR2[[#This Row],[New Quantity Required ]]</f>
        <v>7999</v>
      </c>
      <c r="X819" s="8"/>
      <c r="Y819" s="246"/>
    </row>
    <row r="820" spans="2:25" ht="15.75" customHeight="1" x14ac:dyDescent="0.25">
      <c r="B820" s="207" t="s">
        <v>35</v>
      </c>
      <c r="C820" s="66" t="s">
        <v>157</v>
      </c>
      <c r="D820" s="4" t="s">
        <v>158</v>
      </c>
      <c r="E820" s="4" t="s">
        <v>1072</v>
      </c>
      <c r="F820" s="4" t="s">
        <v>944</v>
      </c>
      <c r="G820" s="4" t="s">
        <v>1181</v>
      </c>
      <c r="H820" s="208">
        <v>1</v>
      </c>
      <c r="I820" s="4"/>
      <c r="J820" s="15"/>
      <c r="K820" s="4" t="str">
        <f>_xlfn.IFNA(VLOOKUP($J820,WH_Data[],6,FALSE),"")</f>
        <v/>
      </c>
      <c r="L820" s="4" t="str">
        <f>_xlfn.IFNA(VLOOKUP($J820,WH_Data[],3,FALSE),"")</f>
        <v/>
      </c>
      <c r="M820" s="4" t="str">
        <f>_xlfn.IFNA(VLOOKUP($J820,WH_Data[],5,FALSE),"")</f>
        <v/>
      </c>
      <c r="N820" s="4" t="str">
        <f>_xlfn.IFNA(VLOOKUP($J820,WH_Data[],7,FALSE),"")</f>
        <v/>
      </c>
      <c r="O820" s="4" t="str">
        <f>_xlfn.IFNA(VLOOKUP($J820,WH_Data[],8,FALSE),"")</f>
        <v/>
      </c>
      <c r="P820" s="8"/>
      <c r="Q820" s="209">
        <f>Mon_ILR2[[#This Row],[Qty Required]]-Mon_ILR2[[#This Row],[QTY Transfer]]</f>
        <v>1</v>
      </c>
      <c r="R820" s="66" t="s">
        <v>905</v>
      </c>
      <c r="S820" s="66" t="s">
        <v>946</v>
      </c>
      <c r="T820" s="210">
        <f>_xlfn.IFNA(VLOOKUP(Mon_ILR2[[#This Row],[New Model]],PhilipsLibary[],4,FALSE),"0")</f>
        <v>7999</v>
      </c>
      <c r="U820" s="210">
        <f>_xlfn.IFNA(VLOOKUP(Mon_ILR2[[#This Row],[New Model]],PhilipsLibary[],5,FALSE),"0")</f>
        <v>0</v>
      </c>
      <c r="V820" s="210">
        <f>_xlfn.IFNA(VLOOKUP(Mon_ILR2[[#This Row],[New Model]],PhilipsLibary[],5,FALSE),"0")</f>
        <v>0</v>
      </c>
      <c r="W820" s="210">
        <f>Mon_ILR2[[#This Row],[Accessory Rate]]+Mon_ILR2[[#This Row],[Mounting Rate]]+Mon_ILR2[[#This Row],[Unit Rate]]*Mon_ILR2[[#This Row],[New Quantity Required ]]</f>
        <v>7999</v>
      </c>
      <c r="X820" s="8"/>
      <c r="Y820" s="246"/>
    </row>
    <row r="821" spans="2:25" ht="15.75" customHeight="1" x14ac:dyDescent="0.25">
      <c r="B821" s="207" t="s">
        <v>35</v>
      </c>
      <c r="C821" s="66" t="s">
        <v>609</v>
      </c>
      <c r="D821" s="4" t="s">
        <v>798</v>
      </c>
      <c r="E821" s="4" t="s">
        <v>1027</v>
      </c>
      <c r="F821" s="4" t="s">
        <v>944</v>
      </c>
      <c r="G821" s="4" t="s">
        <v>1181</v>
      </c>
      <c r="H821" s="208">
        <v>1</v>
      </c>
      <c r="I821" s="4"/>
      <c r="J821" s="15"/>
      <c r="K821" s="4" t="str">
        <f>_xlfn.IFNA(VLOOKUP($J821,WH_Data[],6,FALSE),"")</f>
        <v/>
      </c>
      <c r="L821" s="4" t="str">
        <f>_xlfn.IFNA(VLOOKUP($J821,WH_Data[],3,FALSE),"")</f>
        <v/>
      </c>
      <c r="M821" s="4" t="str">
        <f>_xlfn.IFNA(VLOOKUP($J821,WH_Data[],5,FALSE),"")</f>
        <v/>
      </c>
      <c r="N821" s="4" t="str">
        <f>_xlfn.IFNA(VLOOKUP($J821,WH_Data[],7,FALSE),"")</f>
        <v/>
      </c>
      <c r="O821" s="4" t="str">
        <f>_xlfn.IFNA(VLOOKUP($J821,WH_Data[],8,FALSE),"")</f>
        <v/>
      </c>
      <c r="P821" s="8"/>
      <c r="Q821" s="209">
        <f>Mon_ILR2[[#This Row],[Qty Required]]-Mon_ILR2[[#This Row],[QTY Transfer]]</f>
        <v>1</v>
      </c>
      <c r="R821" s="66" t="s">
        <v>905</v>
      </c>
      <c r="S821" s="66" t="s">
        <v>946</v>
      </c>
      <c r="T821" s="210">
        <f>_xlfn.IFNA(VLOOKUP(Mon_ILR2[[#This Row],[New Model]],PhilipsLibary[],4,FALSE),"0")</f>
        <v>7999</v>
      </c>
      <c r="U821" s="210">
        <f>_xlfn.IFNA(VLOOKUP(Mon_ILR2[[#This Row],[New Model]],PhilipsLibary[],5,FALSE),"0")</f>
        <v>0</v>
      </c>
      <c r="V821" s="210">
        <f>_xlfn.IFNA(VLOOKUP(Mon_ILR2[[#This Row],[New Model]],PhilipsLibary[],5,FALSE),"0")</f>
        <v>0</v>
      </c>
      <c r="W821" s="210">
        <f>Mon_ILR2[[#This Row],[Accessory Rate]]+Mon_ILR2[[#This Row],[Mounting Rate]]+Mon_ILR2[[#This Row],[Unit Rate]]*Mon_ILR2[[#This Row],[New Quantity Required ]]</f>
        <v>7999</v>
      </c>
      <c r="X821" s="8"/>
      <c r="Y821" s="246"/>
    </row>
    <row r="822" spans="2:25" ht="15.75" customHeight="1" x14ac:dyDescent="0.25">
      <c r="B822" s="207" t="s">
        <v>35</v>
      </c>
      <c r="C822" s="66" t="s">
        <v>609</v>
      </c>
      <c r="D822" s="4" t="s">
        <v>799</v>
      </c>
      <c r="E822" s="4" t="s">
        <v>1027</v>
      </c>
      <c r="F822" s="4" t="s">
        <v>944</v>
      </c>
      <c r="G822" s="4" t="s">
        <v>1181</v>
      </c>
      <c r="H822" s="208">
        <v>1</v>
      </c>
      <c r="I822" s="4"/>
      <c r="J822" s="15"/>
      <c r="K822" s="4" t="str">
        <f>_xlfn.IFNA(VLOOKUP($J822,WH_Data[],6,FALSE),"")</f>
        <v/>
      </c>
      <c r="L822" s="4" t="str">
        <f>_xlfn.IFNA(VLOOKUP($J822,WH_Data[],3,FALSE),"")</f>
        <v/>
      </c>
      <c r="M822" s="4" t="str">
        <f>_xlfn.IFNA(VLOOKUP($J822,WH_Data[],5,FALSE),"")</f>
        <v/>
      </c>
      <c r="N822" s="4" t="str">
        <f>_xlfn.IFNA(VLOOKUP($J822,WH_Data[],7,FALSE),"")</f>
        <v/>
      </c>
      <c r="O822" s="4" t="str">
        <f>_xlfn.IFNA(VLOOKUP($J822,WH_Data[],8,FALSE),"")</f>
        <v/>
      </c>
      <c r="P822" s="8"/>
      <c r="Q822" s="209">
        <f>Mon_ILR2[[#This Row],[Qty Required]]-Mon_ILR2[[#This Row],[QTY Transfer]]</f>
        <v>1</v>
      </c>
      <c r="R822" s="66" t="s">
        <v>905</v>
      </c>
      <c r="S822" s="66" t="s">
        <v>946</v>
      </c>
      <c r="T822" s="210">
        <f>_xlfn.IFNA(VLOOKUP(Mon_ILR2[[#This Row],[New Model]],PhilipsLibary[],4,FALSE),"0")</f>
        <v>7999</v>
      </c>
      <c r="U822" s="210">
        <f>_xlfn.IFNA(VLOOKUP(Mon_ILR2[[#This Row],[New Model]],PhilipsLibary[],5,FALSE),"0")</f>
        <v>0</v>
      </c>
      <c r="V822" s="210">
        <f>_xlfn.IFNA(VLOOKUP(Mon_ILR2[[#This Row],[New Model]],PhilipsLibary[],5,FALSE),"0")</f>
        <v>0</v>
      </c>
      <c r="W822" s="210">
        <f>Mon_ILR2[[#This Row],[Accessory Rate]]+Mon_ILR2[[#This Row],[Mounting Rate]]+Mon_ILR2[[#This Row],[Unit Rate]]*Mon_ILR2[[#This Row],[New Quantity Required ]]</f>
        <v>7999</v>
      </c>
      <c r="X822" s="8"/>
      <c r="Y822" s="246"/>
    </row>
    <row r="823" spans="2:25" ht="15.75" customHeight="1" x14ac:dyDescent="0.25">
      <c r="B823" s="207" t="s">
        <v>35</v>
      </c>
      <c r="C823" s="66" t="s">
        <v>58</v>
      </c>
      <c r="D823" s="4" t="s">
        <v>800</v>
      </c>
      <c r="E823" s="4" t="s">
        <v>1027</v>
      </c>
      <c r="F823" s="4" t="s">
        <v>944</v>
      </c>
      <c r="G823" s="4" t="s">
        <v>1181</v>
      </c>
      <c r="H823" s="208">
        <v>1</v>
      </c>
      <c r="I823" s="4"/>
      <c r="J823" s="15"/>
      <c r="K823" s="4" t="str">
        <f>_xlfn.IFNA(VLOOKUP($J823,WH_Data[],6,FALSE),"")</f>
        <v/>
      </c>
      <c r="L823" s="4" t="str">
        <f>_xlfn.IFNA(VLOOKUP($J823,WH_Data[],3,FALSE),"")</f>
        <v/>
      </c>
      <c r="M823" s="4" t="str">
        <f>_xlfn.IFNA(VLOOKUP($J823,WH_Data[],5,FALSE),"")</f>
        <v/>
      </c>
      <c r="N823" s="4" t="str">
        <f>_xlfn.IFNA(VLOOKUP($J823,WH_Data[],7,FALSE),"")</f>
        <v/>
      </c>
      <c r="O823" s="4" t="str">
        <f>_xlfn.IFNA(VLOOKUP($J823,WH_Data[],8,FALSE),"")</f>
        <v/>
      </c>
      <c r="P823" s="8"/>
      <c r="Q823" s="209">
        <f>Mon_ILR2[[#This Row],[Qty Required]]-Mon_ILR2[[#This Row],[QTY Transfer]]</f>
        <v>1</v>
      </c>
      <c r="R823" s="66" t="s">
        <v>905</v>
      </c>
      <c r="S823" s="66" t="s">
        <v>946</v>
      </c>
      <c r="T823" s="210">
        <f>_xlfn.IFNA(VLOOKUP(Mon_ILR2[[#This Row],[New Model]],PhilipsLibary[],4,FALSE),"0")</f>
        <v>7999</v>
      </c>
      <c r="U823" s="210">
        <f>_xlfn.IFNA(VLOOKUP(Mon_ILR2[[#This Row],[New Model]],PhilipsLibary[],5,FALSE),"0")</f>
        <v>0</v>
      </c>
      <c r="V823" s="210">
        <f>_xlfn.IFNA(VLOOKUP(Mon_ILR2[[#This Row],[New Model]],PhilipsLibary[],5,FALSE),"0")</f>
        <v>0</v>
      </c>
      <c r="W823" s="210">
        <f>Mon_ILR2[[#This Row],[Accessory Rate]]+Mon_ILR2[[#This Row],[Mounting Rate]]+Mon_ILR2[[#This Row],[Unit Rate]]*Mon_ILR2[[#This Row],[New Quantity Required ]]</f>
        <v>7999</v>
      </c>
      <c r="X823" s="8"/>
      <c r="Y823" s="246"/>
    </row>
    <row r="824" spans="2:25" ht="15.75" customHeight="1" x14ac:dyDescent="0.25">
      <c r="B824" s="207" t="s">
        <v>35</v>
      </c>
      <c r="C824" s="66" t="s">
        <v>58</v>
      </c>
      <c r="D824" s="4" t="s">
        <v>801</v>
      </c>
      <c r="E824" s="4" t="s">
        <v>1027</v>
      </c>
      <c r="F824" s="4" t="s">
        <v>944</v>
      </c>
      <c r="G824" s="4" t="s">
        <v>1181</v>
      </c>
      <c r="H824" s="208">
        <v>1</v>
      </c>
      <c r="I824" s="4"/>
      <c r="J824" s="15"/>
      <c r="K824" s="4" t="str">
        <f>_xlfn.IFNA(VLOOKUP($J824,WH_Data[],6,FALSE),"")</f>
        <v/>
      </c>
      <c r="L824" s="4" t="str">
        <f>_xlfn.IFNA(VLOOKUP($J824,WH_Data[],3,FALSE),"")</f>
        <v/>
      </c>
      <c r="M824" s="4" t="str">
        <f>_xlfn.IFNA(VLOOKUP($J824,WH_Data[],5,FALSE),"")</f>
        <v/>
      </c>
      <c r="N824" s="4" t="str">
        <f>_xlfn.IFNA(VLOOKUP($J824,WH_Data[],7,FALSE),"")</f>
        <v/>
      </c>
      <c r="O824" s="4" t="str">
        <f>_xlfn.IFNA(VLOOKUP($J824,WH_Data[],8,FALSE),"")</f>
        <v/>
      </c>
      <c r="P824" s="8"/>
      <c r="Q824" s="209">
        <f>Mon_ILR2[[#This Row],[Qty Required]]-Mon_ILR2[[#This Row],[QTY Transfer]]</f>
        <v>1</v>
      </c>
      <c r="R824" s="66" t="s">
        <v>905</v>
      </c>
      <c r="S824" s="66" t="s">
        <v>946</v>
      </c>
      <c r="T824" s="210">
        <f>_xlfn.IFNA(VLOOKUP(Mon_ILR2[[#This Row],[New Model]],PhilipsLibary[],4,FALSE),"0")</f>
        <v>7999</v>
      </c>
      <c r="U824" s="210">
        <f>_xlfn.IFNA(VLOOKUP(Mon_ILR2[[#This Row],[New Model]],PhilipsLibary[],5,FALSE),"0")</f>
        <v>0</v>
      </c>
      <c r="V824" s="210">
        <f>_xlfn.IFNA(VLOOKUP(Mon_ILR2[[#This Row],[New Model]],PhilipsLibary[],5,FALSE),"0")</f>
        <v>0</v>
      </c>
      <c r="W824" s="210">
        <f>Mon_ILR2[[#This Row],[Accessory Rate]]+Mon_ILR2[[#This Row],[Mounting Rate]]+Mon_ILR2[[#This Row],[Unit Rate]]*Mon_ILR2[[#This Row],[New Quantity Required ]]</f>
        <v>7999</v>
      </c>
      <c r="X824" s="8"/>
      <c r="Y824" s="246"/>
    </row>
    <row r="825" spans="2:25" ht="15.75" customHeight="1" x14ac:dyDescent="0.25">
      <c r="B825" s="207" t="s">
        <v>35</v>
      </c>
      <c r="C825" s="66" t="s">
        <v>58</v>
      </c>
      <c r="D825" s="4" t="s">
        <v>802</v>
      </c>
      <c r="E825" s="4" t="s">
        <v>1027</v>
      </c>
      <c r="F825" s="4" t="s">
        <v>944</v>
      </c>
      <c r="G825" s="4" t="s">
        <v>1181</v>
      </c>
      <c r="H825" s="208">
        <v>1</v>
      </c>
      <c r="I825" s="4"/>
      <c r="J825" s="15"/>
      <c r="K825" s="4" t="str">
        <f>_xlfn.IFNA(VLOOKUP($J825,WH_Data[],6,FALSE),"")</f>
        <v/>
      </c>
      <c r="L825" s="4" t="str">
        <f>_xlfn.IFNA(VLOOKUP($J825,WH_Data[],3,FALSE),"")</f>
        <v/>
      </c>
      <c r="M825" s="4" t="str">
        <f>_xlfn.IFNA(VLOOKUP($J825,WH_Data[],5,FALSE),"")</f>
        <v/>
      </c>
      <c r="N825" s="4" t="str">
        <f>_xlfn.IFNA(VLOOKUP($J825,WH_Data[],7,FALSE),"")</f>
        <v/>
      </c>
      <c r="O825" s="4" t="str">
        <f>_xlfn.IFNA(VLOOKUP($J825,WH_Data[],8,FALSE),"")</f>
        <v/>
      </c>
      <c r="P825" s="8"/>
      <c r="Q825" s="209">
        <f>Mon_ILR2[[#This Row],[Qty Required]]-Mon_ILR2[[#This Row],[QTY Transfer]]</f>
        <v>1</v>
      </c>
      <c r="R825" s="66" t="s">
        <v>905</v>
      </c>
      <c r="S825" s="66" t="s">
        <v>946</v>
      </c>
      <c r="T825" s="210">
        <f>_xlfn.IFNA(VLOOKUP(Mon_ILR2[[#This Row],[New Model]],PhilipsLibary[],4,FALSE),"0")</f>
        <v>7999</v>
      </c>
      <c r="U825" s="210">
        <f>_xlfn.IFNA(VLOOKUP(Mon_ILR2[[#This Row],[New Model]],PhilipsLibary[],5,FALSE),"0")</f>
        <v>0</v>
      </c>
      <c r="V825" s="210">
        <f>_xlfn.IFNA(VLOOKUP(Mon_ILR2[[#This Row],[New Model]],PhilipsLibary[],5,FALSE),"0")</f>
        <v>0</v>
      </c>
      <c r="W825" s="210">
        <f>Mon_ILR2[[#This Row],[Accessory Rate]]+Mon_ILR2[[#This Row],[Mounting Rate]]+Mon_ILR2[[#This Row],[Unit Rate]]*Mon_ILR2[[#This Row],[New Quantity Required ]]</f>
        <v>7999</v>
      </c>
      <c r="X825" s="8"/>
      <c r="Y825" s="246"/>
    </row>
    <row r="826" spans="2:25" ht="15.75" customHeight="1" x14ac:dyDescent="0.25">
      <c r="B826" s="207" t="s">
        <v>35</v>
      </c>
      <c r="C826" s="66" t="s">
        <v>803</v>
      </c>
      <c r="D826" s="4" t="s">
        <v>804</v>
      </c>
      <c r="E826" s="4" t="s">
        <v>1027</v>
      </c>
      <c r="F826" s="4" t="s">
        <v>944</v>
      </c>
      <c r="G826" s="4" t="s">
        <v>1181</v>
      </c>
      <c r="H826" s="208">
        <v>1</v>
      </c>
      <c r="I826" s="4"/>
      <c r="J826" s="15"/>
      <c r="K826" s="4" t="str">
        <f>_xlfn.IFNA(VLOOKUP($J826,WH_Data[],6,FALSE),"")</f>
        <v/>
      </c>
      <c r="L826" s="4" t="str">
        <f>_xlfn.IFNA(VLOOKUP($J826,WH_Data[],3,FALSE),"")</f>
        <v/>
      </c>
      <c r="M826" s="4" t="str">
        <f>_xlfn.IFNA(VLOOKUP($J826,WH_Data[],5,FALSE),"")</f>
        <v/>
      </c>
      <c r="N826" s="4" t="str">
        <f>_xlfn.IFNA(VLOOKUP($J826,WH_Data[],7,FALSE),"")</f>
        <v/>
      </c>
      <c r="O826" s="4" t="str">
        <f>_xlfn.IFNA(VLOOKUP($J826,WH_Data[],8,FALSE),"")</f>
        <v/>
      </c>
      <c r="P826" s="8"/>
      <c r="Q826" s="209">
        <f>Mon_ILR2[[#This Row],[Qty Required]]-Mon_ILR2[[#This Row],[QTY Transfer]]</f>
        <v>1</v>
      </c>
      <c r="R826" s="66" t="s">
        <v>905</v>
      </c>
      <c r="S826" s="66" t="s">
        <v>946</v>
      </c>
      <c r="T826" s="210">
        <f>_xlfn.IFNA(VLOOKUP(Mon_ILR2[[#This Row],[New Model]],PhilipsLibary[],4,FALSE),"0")</f>
        <v>7999</v>
      </c>
      <c r="U826" s="210">
        <f>_xlfn.IFNA(VLOOKUP(Mon_ILR2[[#This Row],[New Model]],PhilipsLibary[],5,FALSE),"0")</f>
        <v>0</v>
      </c>
      <c r="V826" s="210">
        <f>_xlfn.IFNA(VLOOKUP(Mon_ILR2[[#This Row],[New Model]],PhilipsLibary[],5,FALSE),"0")</f>
        <v>0</v>
      </c>
      <c r="W826" s="210">
        <f>Mon_ILR2[[#This Row],[Accessory Rate]]+Mon_ILR2[[#This Row],[Mounting Rate]]+Mon_ILR2[[#This Row],[Unit Rate]]*Mon_ILR2[[#This Row],[New Quantity Required ]]</f>
        <v>7999</v>
      </c>
      <c r="X826" s="8"/>
      <c r="Y826" s="246"/>
    </row>
    <row r="827" spans="2:25" ht="15.75" customHeight="1" x14ac:dyDescent="0.25">
      <c r="B827" s="207" t="s">
        <v>35</v>
      </c>
      <c r="C827" s="66" t="s">
        <v>803</v>
      </c>
      <c r="D827" s="4" t="s">
        <v>805</v>
      </c>
      <c r="E827" s="4" t="s">
        <v>1027</v>
      </c>
      <c r="F827" s="4" t="s">
        <v>944</v>
      </c>
      <c r="G827" s="4" t="s">
        <v>1181</v>
      </c>
      <c r="H827" s="208">
        <v>1</v>
      </c>
      <c r="I827" s="4"/>
      <c r="J827" s="15"/>
      <c r="K827" s="4" t="str">
        <f>_xlfn.IFNA(VLOOKUP($J827,WH_Data[],6,FALSE),"")</f>
        <v/>
      </c>
      <c r="L827" s="4" t="str">
        <f>_xlfn.IFNA(VLOOKUP($J827,WH_Data[],3,FALSE),"")</f>
        <v/>
      </c>
      <c r="M827" s="4" t="str">
        <f>_xlfn.IFNA(VLOOKUP($J827,WH_Data[],5,FALSE),"")</f>
        <v/>
      </c>
      <c r="N827" s="4" t="str">
        <f>_xlfn.IFNA(VLOOKUP($J827,WH_Data[],7,FALSE),"")</f>
        <v/>
      </c>
      <c r="O827" s="4" t="str">
        <f>_xlfn.IFNA(VLOOKUP($J827,WH_Data[],8,FALSE),"")</f>
        <v/>
      </c>
      <c r="P827" s="8"/>
      <c r="Q827" s="209">
        <f>Mon_ILR2[[#This Row],[Qty Required]]-Mon_ILR2[[#This Row],[QTY Transfer]]</f>
        <v>1</v>
      </c>
      <c r="R827" s="66" t="s">
        <v>905</v>
      </c>
      <c r="S827" s="66" t="s">
        <v>946</v>
      </c>
      <c r="T827" s="210">
        <f>_xlfn.IFNA(VLOOKUP(Mon_ILR2[[#This Row],[New Model]],PhilipsLibary[],4,FALSE),"0")</f>
        <v>7999</v>
      </c>
      <c r="U827" s="210">
        <f>_xlfn.IFNA(VLOOKUP(Mon_ILR2[[#This Row],[New Model]],PhilipsLibary[],5,FALSE),"0")</f>
        <v>0</v>
      </c>
      <c r="V827" s="210">
        <f>_xlfn.IFNA(VLOOKUP(Mon_ILR2[[#This Row],[New Model]],PhilipsLibary[],5,FALSE),"0")</f>
        <v>0</v>
      </c>
      <c r="W827" s="210">
        <f>Mon_ILR2[[#This Row],[Accessory Rate]]+Mon_ILR2[[#This Row],[Mounting Rate]]+Mon_ILR2[[#This Row],[Unit Rate]]*Mon_ILR2[[#This Row],[New Quantity Required ]]</f>
        <v>7999</v>
      </c>
      <c r="X827" s="8"/>
      <c r="Y827" s="246"/>
    </row>
    <row r="828" spans="2:25" ht="15.75" customHeight="1" x14ac:dyDescent="0.25">
      <c r="B828" s="207" t="s">
        <v>35</v>
      </c>
      <c r="C828" s="66" t="s">
        <v>803</v>
      </c>
      <c r="D828" s="4" t="s">
        <v>806</v>
      </c>
      <c r="E828" s="4" t="s">
        <v>1027</v>
      </c>
      <c r="F828" s="4" t="s">
        <v>944</v>
      </c>
      <c r="G828" s="4" t="s">
        <v>1181</v>
      </c>
      <c r="H828" s="208">
        <v>1</v>
      </c>
      <c r="I828" s="4"/>
      <c r="J828" s="15"/>
      <c r="K828" s="4" t="str">
        <f>_xlfn.IFNA(VLOOKUP($J828,WH_Data[],6,FALSE),"")</f>
        <v/>
      </c>
      <c r="L828" s="4" t="str">
        <f>_xlfn.IFNA(VLOOKUP($J828,WH_Data[],3,FALSE),"")</f>
        <v/>
      </c>
      <c r="M828" s="4" t="str">
        <f>_xlfn.IFNA(VLOOKUP($J828,WH_Data[],5,FALSE),"")</f>
        <v/>
      </c>
      <c r="N828" s="4" t="str">
        <f>_xlfn.IFNA(VLOOKUP($J828,WH_Data[],7,FALSE),"")</f>
        <v/>
      </c>
      <c r="O828" s="4" t="str">
        <f>_xlfn.IFNA(VLOOKUP($J828,WH_Data[],8,FALSE),"")</f>
        <v/>
      </c>
      <c r="P828" s="8"/>
      <c r="Q828" s="209">
        <f>Mon_ILR2[[#This Row],[Qty Required]]-Mon_ILR2[[#This Row],[QTY Transfer]]</f>
        <v>1</v>
      </c>
      <c r="R828" s="66" t="s">
        <v>905</v>
      </c>
      <c r="S828" s="66" t="s">
        <v>946</v>
      </c>
      <c r="T828" s="210">
        <f>_xlfn.IFNA(VLOOKUP(Mon_ILR2[[#This Row],[New Model]],PhilipsLibary[],4,FALSE),"0")</f>
        <v>7999</v>
      </c>
      <c r="U828" s="210">
        <f>_xlfn.IFNA(VLOOKUP(Mon_ILR2[[#This Row],[New Model]],PhilipsLibary[],5,FALSE),"0")</f>
        <v>0</v>
      </c>
      <c r="V828" s="210">
        <f>_xlfn.IFNA(VLOOKUP(Mon_ILR2[[#This Row],[New Model]],PhilipsLibary[],5,FALSE),"0")</f>
        <v>0</v>
      </c>
      <c r="W828" s="210">
        <f>Mon_ILR2[[#This Row],[Accessory Rate]]+Mon_ILR2[[#This Row],[Mounting Rate]]+Mon_ILR2[[#This Row],[Unit Rate]]*Mon_ILR2[[#This Row],[New Quantity Required ]]</f>
        <v>7999</v>
      </c>
      <c r="X828" s="8"/>
      <c r="Y828" s="246"/>
    </row>
    <row r="829" spans="2:25" ht="15.75" customHeight="1" x14ac:dyDescent="0.25">
      <c r="B829" s="207" t="s">
        <v>35</v>
      </c>
      <c r="C829" s="66" t="s">
        <v>807</v>
      </c>
      <c r="D829" s="4" t="s">
        <v>808</v>
      </c>
      <c r="E829" s="4" t="s">
        <v>1027</v>
      </c>
      <c r="F829" s="4" t="s">
        <v>944</v>
      </c>
      <c r="G829" s="4" t="s">
        <v>1181</v>
      </c>
      <c r="H829" s="208">
        <v>1</v>
      </c>
      <c r="I829" s="4"/>
      <c r="J829" s="15"/>
      <c r="K829" s="4" t="str">
        <f>_xlfn.IFNA(VLOOKUP($J829,WH_Data[],6,FALSE),"")</f>
        <v/>
      </c>
      <c r="L829" s="4" t="str">
        <f>_xlfn.IFNA(VLOOKUP($J829,WH_Data[],3,FALSE),"")</f>
        <v/>
      </c>
      <c r="M829" s="4" t="str">
        <f>_xlfn.IFNA(VLOOKUP($J829,WH_Data[],5,FALSE),"")</f>
        <v/>
      </c>
      <c r="N829" s="4" t="str">
        <f>_xlfn.IFNA(VLOOKUP($J829,WH_Data[],7,FALSE),"")</f>
        <v/>
      </c>
      <c r="O829" s="4" t="str">
        <f>_xlfn.IFNA(VLOOKUP($J829,WH_Data[],8,FALSE),"")</f>
        <v/>
      </c>
      <c r="P829" s="8"/>
      <c r="Q829" s="209">
        <f>Mon_ILR2[[#This Row],[Qty Required]]-Mon_ILR2[[#This Row],[QTY Transfer]]</f>
        <v>1</v>
      </c>
      <c r="R829" s="66" t="s">
        <v>905</v>
      </c>
      <c r="S829" s="66" t="s">
        <v>946</v>
      </c>
      <c r="T829" s="210">
        <f>_xlfn.IFNA(VLOOKUP(Mon_ILR2[[#This Row],[New Model]],PhilipsLibary[],4,FALSE),"0")</f>
        <v>7999</v>
      </c>
      <c r="U829" s="210">
        <f>_xlfn.IFNA(VLOOKUP(Mon_ILR2[[#This Row],[New Model]],PhilipsLibary[],5,FALSE),"0")</f>
        <v>0</v>
      </c>
      <c r="V829" s="210">
        <f>_xlfn.IFNA(VLOOKUP(Mon_ILR2[[#This Row],[New Model]],PhilipsLibary[],5,FALSE),"0")</f>
        <v>0</v>
      </c>
      <c r="W829" s="210">
        <f>Mon_ILR2[[#This Row],[Accessory Rate]]+Mon_ILR2[[#This Row],[Mounting Rate]]+Mon_ILR2[[#This Row],[Unit Rate]]*Mon_ILR2[[#This Row],[New Quantity Required ]]</f>
        <v>7999</v>
      </c>
      <c r="X829" s="8"/>
      <c r="Y829" s="246"/>
    </row>
    <row r="830" spans="2:25" ht="15.75" customHeight="1" x14ac:dyDescent="0.25">
      <c r="B830" s="207" t="s">
        <v>35</v>
      </c>
      <c r="C830" s="66" t="s">
        <v>807</v>
      </c>
      <c r="D830" s="4" t="s">
        <v>809</v>
      </c>
      <c r="E830" s="4" t="s">
        <v>1027</v>
      </c>
      <c r="F830" s="4" t="s">
        <v>944</v>
      </c>
      <c r="G830" s="4" t="s">
        <v>1181</v>
      </c>
      <c r="H830" s="208">
        <v>1</v>
      </c>
      <c r="I830" s="4"/>
      <c r="J830" s="15"/>
      <c r="K830" s="4" t="str">
        <f>_xlfn.IFNA(VLOOKUP($J830,WH_Data[],6,FALSE),"")</f>
        <v/>
      </c>
      <c r="L830" s="4" t="str">
        <f>_xlfn.IFNA(VLOOKUP($J830,WH_Data[],3,FALSE),"")</f>
        <v/>
      </c>
      <c r="M830" s="4" t="str">
        <f>_xlfn.IFNA(VLOOKUP($J830,WH_Data[],5,FALSE),"")</f>
        <v/>
      </c>
      <c r="N830" s="4" t="str">
        <f>_xlfn.IFNA(VLOOKUP($J830,WH_Data[],7,FALSE),"")</f>
        <v/>
      </c>
      <c r="O830" s="4" t="str">
        <f>_xlfn.IFNA(VLOOKUP($J830,WH_Data[],8,FALSE),"")</f>
        <v/>
      </c>
      <c r="P830" s="8"/>
      <c r="Q830" s="209">
        <f>Mon_ILR2[[#This Row],[Qty Required]]-Mon_ILR2[[#This Row],[QTY Transfer]]</f>
        <v>1</v>
      </c>
      <c r="R830" s="66" t="s">
        <v>905</v>
      </c>
      <c r="S830" s="66" t="s">
        <v>946</v>
      </c>
      <c r="T830" s="210">
        <f>_xlfn.IFNA(VLOOKUP(Mon_ILR2[[#This Row],[New Model]],PhilipsLibary[],4,FALSE),"0")</f>
        <v>7999</v>
      </c>
      <c r="U830" s="210">
        <f>_xlfn.IFNA(VLOOKUP(Mon_ILR2[[#This Row],[New Model]],PhilipsLibary[],5,FALSE),"0")</f>
        <v>0</v>
      </c>
      <c r="V830" s="210">
        <f>_xlfn.IFNA(VLOOKUP(Mon_ILR2[[#This Row],[New Model]],PhilipsLibary[],5,FALSE),"0")</f>
        <v>0</v>
      </c>
      <c r="W830" s="210">
        <f>Mon_ILR2[[#This Row],[Accessory Rate]]+Mon_ILR2[[#This Row],[Mounting Rate]]+Mon_ILR2[[#This Row],[Unit Rate]]*Mon_ILR2[[#This Row],[New Quantity Required ]]</f>
        <v>7999</v>
      </c>
      <c r="X830" s="8"/>
      <c r="Y830" s="246"/>
    </row>
    <row r="831" spans="2:25" ht="15.75" customHeight="1" x14ac:dyDescent="0.25">
      <c r="B831" s="207" t="s">
        <v>35</v>
      </c>
      <c r="C831" s="66" t="s">
        <v>803</v>
      </c>
      <c r="D831" s="4" t="s">
        <v>810</v>
      </c>
      <c r="E831" s="4" t="s">
        <v>1027</v>
      </c>
      <c r="F831" s="4" t="s">
        <v>944</v>
      </c>
      <c r="G831" s="4" t="s">
        <v>1181</v>
      </c>
      <c r="H831" s="208">
        <v>1</v>
      </c>
      <c r="I831" s="4"/>
      <c r="J831" s="15"/>
      <c r="K831" s="4" t="str">
        <f>_xlfn.IFNA(VLOOKUP($J831,WH_Data[],6,FALSE),"")</f>
        <v/>
      </c>
      <c r="L831" s="4" t="str">
        <f>_xlfn.IFNA(VLOOKUP($J831,WH_Data[],3,FALSE),"")</f>
        <v/>
      </c>
      <c r="M831" s="4" t="str">
        <f>_xlfn.IFNA(VLOOKUP($J831,WH_Data[],5,FALSE),"")</f>
        <v/>
      </c>
      <c r="N831" s="4" t="str">
        <f>_xlfn.IFNA(VLOOKUP($J831,WH_Data[],7,FALSE),"")</f>
        <v/>
      </c>
      <c r="O831" s="4" t="str">
        <f>_xlfn.IFNA(VLOOKUP($J831,WH_Data[],8,FALSE),"")</f>
        <v/>
      </c>
      <c r="P831" s="8"/>
      <c r="Q831" s="209">
        <f>Mon_ILR2[[#This Row],[Qty Required]]-Mon_ILR2[[#This Row],[QTY Transfer]]</f>
        <v>1</v>
      </c>
      <c r="R831" s="66" t="s">
        <v>905</v>
      </c>
      <c r="S831" s="66" t="s">
        <v>946</v>
      </c>
      <c r="T831" s="210">
        <f>_xlfn.IFNA(VLOOKUP(Mon_ILR2[[#This Row],[New Model]],PhilipsLibary[],4,FALSE),"0")</f>
        <v>7999</v>
      </c>
      <c r="U831" s="210">
        <f>_xlfn.IFNA(VLOOKUP(Mon_ILR2[[#This Row],[New Model]],PhilipsLibary[],5,FALSE),"0")</f>
        <v>0</v>
      </c>
      <c r="V831" s="210">
        <f>_xlfn.IFNA(VLOOKUP(Mon_ILR2[[#This Row],[New Model]],PhilipsLibary[],5,FALSE),"0")</f>
        <v>0</v>
      </c>
      <c r="W831" s="210">
        <f>Mon_ILR2[[#This Row],[Accessory Rate]]+Mon_ILR2[[#This Row],[Mounting Rate]]+Mon_ILR2[[#This Row],[Unit Rate]]*Mon_ILR2[[#This Row],[New Quantity Required ]]</f>
        <v>7999</v>
      </c>
      <c r="X831" s="8"/>
      <c r="Y831" s="246"/>
    </row>
    <row r="832" spans="2:25" ht="15.75" customHeight="1" x14ac:dyDescent="0.25">
      <c r="B832" s="207" t="s">
        <v>35</v>
      </c>
      <c r="C832" s="66" t="s">
        <v>803</v>
      </c>
      <c r="D832" s="4" t="s">
        <v>811</v>
      </c>
      <c r="E832" s="4" t="s">
        <v>1027</v>
      </c>
      <c r="F832" s="4" t="s">
        <v>944</v>
      </c>
      <c r="G832" s="4" t="s">
        <v>1181</v>
      </c>
      <c r="H832" s="208">
        <v>1</v>
      </c>
      <c r="I832" s="4"/>
      <c r="J832" s="15"/>
      <c r="K832" s="4" t="str">
        <f>_xlfn.IFNA(VLOOKUP($J832,WH_Data[],6,FALSE),"")</f>
        <v/>
      </c>
      <c r="L832" s="4" t="str">
        <f>_xlfn.IFNA(VLOOKUP($J832,WH_Data[],3,FALSE),"")</f>
        <v/>
      </c>
      <c r="M832" s="4" t="str">
        <f>_xlfn.IFNA(VLOOKUP($J832,WH_Data[],5,FALSE),"")</f>
        <v/>
      </c>
      <c r="N832" s="4" t="str">
        <f>_xlfn.IFNA(VLOOKUP($J832,WH_Data[],7,FALSE),"")</f>
        <v/>
      </c>
      <c r="O832" s="4" t="str">
        <f>_xlfn.IFNA(VLOOKUP($J832,WH_Data[],8,FALSE),"")</f>
        <v/>
      </c>
      <c r="P832" s="8"/>
      <c r="Q832" s="209">
        <f>Mon_ILR2[[#This Row],[Qty Required]]-Mon_ILR2[[#This Row],[QTY Transfer]]</f>
        <v>1</v>
      </c>
      <c r="R832" s="66" t="s">
        <v>905</v>
      </c>
      <c r="S832" s="66" t="s">
        <v>946</v>
      </c>
      <c r="T832" s="210">
        <f>_xlfn.IFNA(VLOOKUP(Mon_ILR2[[#This Row],[New Model]],PhilipsLibary[],4,FALSE),"0")</f>
        <v>7999</v>
      </c>
      <c r="U832" s="210">
        <f>_xlfn.IFNA(VLOOKUP(Mon_ILR2[[#This Row],[New Model]],PhilipsLibary[],5,FALSE),"0")</f>
        <v>0</v>
      </c>
      <c r="V832" s="210">
        <f>_xlfn.IFNA(VLOOKUP(Mon_ILR2[[#This Row],[New Model]],PhilipsLibary[],5,FALSE),"0")</f>
        <v>0</v>
      </c>
      <c r="W832" s="210">
        <f>Mon_ILR2[[#This Row],[Accessory Rate]]+Mon_ILR2[[#This Row],[Mounting Rate]]+Mon_ILR2[[#This Row],[Unit Rate]]*Mon_ILR2[[#This Row],[New Quantity Required ]]</f>
        <v>7999</v>
      </c>
      <c r="X832" s="8"/>
      <c r="Y832" s="246"/>
    </row>
    <row r="833" spans="2:25" ht="15.75" customHeight="1" x14ac:dyDescent="0.25">
      <c r="B833" s="207" t="s">
        <v>35</v>
      </c>
      <c r="C833" s="66" t="s">
        <v>803</v>
      </c>
      <c r="D833" s="4" t="s">
        <v>812</v>
      </c>
      <c r="E833" s="4" t="s">
        <v>1027</v>
      </c>
      <c r="F833" s="4" t="s">
        <v>944</v>
      </c>
      <c r="G833" s="4" t="s">
        <v>1181</v>
      </c>
      <c r="H833" s="208">
        <v>1</v>
      </c>
      <c r="I833" s="4"/>
      <c r="J833" s="15"/>
      <c r="K833" s="4" t="str">
        <f>_xlfn.IFNA(VLOOKUP($J833,WH_Data[],6,FALSE),"")</f>
        <v/>
      </c>
      <c r="L833" s="4" t="str">
        <f>_xlfn.IFNA(VLOOKUP($J833,WH_Data[],3,FALSE),"")</f>
        <v/>
      </c>
      <c r="M833" s="4" t="str">
        <f>_xlfn.IFNA(VLOOKUP($J833,WH_Data[],5,FALSE),"")</f>
        <v/>
      </c>
      <c r="N833" s="4" t="str">
        <f>_xlfn.IFNA(VLOOKUP($J833,WH_Data[],7,FALSE),"")</f>
        <v/>
      </c>
      <c r="O833" s="4" t="str">
        <f>_xlfn.IFNA(VLOOKUP($J833,WH_Data[],8,FALSE),"")</f>
        <v/>
      </c>
      <c r="P833" s="8"/>
      <c r="Q833" s="209">
        <f>Mon_ILR2[[#This Row],[Qty Required]]-Mon_ILR2[[#This Row],[QTY Transfer]]</f>
        <v>1</v>
      </c>
      <c r="R833" s="66" t="s">
        <v>905</v>
      </c>
      <c r="S833" s="66" t="s">
        <v>946</v>
      </c>
      <c r="T833" s="210">
        <f>_xlfn.IFNA(VLOOKUP(Mon_ILR2[[#This Row],[New Model]],PhilipsLibary[],4,FALSE),"0")</f>
        <v>7999</v>
      </c>
      <c r="U833" s="210">
        <f>_xlfn.IFNA(VLOOKUP(Mon_ILR2[[#This Row],[New Model]],PhilipsLibary[],5,FALSE),"0")</f>
        <v>0</v>
      </c>
      <c r="V833" s="210">
        <f>_xlfn.IFNA(VLOOKUP(Mon_ILR2[[#This Row],[New Model]],PhilipsLibary[],5,FALSE),"0")</f>
        <v>0</v>
      </c>
      <c r="W833" s="210">
        <f>Mon_ILR2[[#This Row],[Accessory Rate]]+Mon_ILR2[[#This Row],[Mounting Rate]]+Mon_ILR2[[#This Row],[Unit Rate]]*Mon_ILR2[[#This Row],[New Quantity Required ]]</f>
        <v>7999</v>
      </c>
      <c r="X833" s="8"/>
      <c r="Y833" s="246"/>
    </row>
    <row r="834" spans="2:25" ht="15.75" customHeight="1" x14ac:dyDescent="0.25">
      <c r="B834" s="207" t="s">
        <v>35</v>
      </c>
      <c r="C834" s="66" t="s">
        <v>803</v>
      </c>
      <c r="D834" s="4" t="s">
        <v>813</v>
      </c>
      <c r="E834" s="4" t="s">
        <v>1027</v>
      </c>
      <c r="F834" s="4" t="s">
        <v>944</v>
      </c>
      <c r="G834" s="4" t="s">
        <v>1181</v>
      </c>
      <c r="H834" s="208">
        <v>1</v>
      </c>
      <c r="I834" s="4"/>
      <c r="J834" s="15"/>
      <c r="K834" s="4" t="str">
        <f>_xlfn.IFNA(VLOOKUP($J834,WH_Data[],6,FALSE),"")</f>
        <v/>
      </c>
      <c r="L834" s="4" t="str">
        <f>_xlfn.IFNA(VLOOKUP($J834,WH_Data[],3,FALSE),"")</f>
        <v/>
      </c>
      <c r="M834" s="4" t="str">
        <f>_xlfn.IFNA(VLOOKUP($J834,WH_Data[],5,FALSE),"")</f>
        <v/>
      </c>
      <c r="N834" s="4" t="str">
        <f>_xlfn.IFNA(VLOOKUP($J834,WH_Data[],7,FALSE),"")</f>
        <v/>
      </c>
      <c r="O834" s="4" t="str">
        <f>_xlfn.IFNA(VLOOKUP($J834,WH_Data[],8,FALSE),"")</f>
        <v/>
      </c>
      <c r="P834" s="8"/>
      <c r="Q834" s="209">
        <f>Mon_ILR2[[#This Row],[Qty Required]]-Mon_ILR2[[#This Row],[QTY Transfer]]</f>
        <v>1</v>
      </c>
      <c r="R834" s="66" t="s">
        <v>905</v>
      </c>
      <c r="S834" s="66" t="s">
        <v>946</v>
      </c>
      <c r="T834" s="210">
        <f>_xlfn.IFNA(VLOOKUP(Mon_ILR2[[#This Row],[New Model]],PhilipsLibary[],4,FALSE),"0")</f>
        <v>7999</v>
      </c>
      <c r="U834" s="210">
        <f>_xlfn.IFNA(VLOOKUP(Mon_ILR2[[#This Row],[New Model]],PhilipsLibary[],5,FALSE),"0")</f>
        <v>0</v>
      </c>
      <c r="V834" s="210">
        <f>_xlfn.IFNA(VLOOKUP(Mon_ILR2[[#This Row],[New Model]],PhilipsLibary[],5,FALSE),"0")</f>
        <v>0</v>
      </c>
      <c r="W834" s="210">
        <f>Mon_ILR2[[#This Row],[Accessory Rate]]+Mon_ILR2[[#This Row],[Mounting Rate]]+Mon_ILR2[[#This Row],[Unit Rate]]*Mon_ILR2[[#This Row],[New Quantity Required ]]</f>
        <v>7999</v>
      </c>
      <c r="X834" s="8"/>
      <c r="Y834" s="246"/>
    </row>
    <row r="835" spans="2:25" ht="15.75" customHeight="1" x14ac:dyDescent="0.25">
      <c r="B835" s="207" t="s">
        <v>35</v>
      </c>
      <c r="C835" s="66" t="s">
        <v>803</v>
      </c>
      <c r="D835" s="4" t="s">
        <v>814</v>
      </c>
      <c r="E835" s="4" t="s">
        <v>1027</v>
      </c>
      <c r="F835" s="4" t="s">
        <v>944</v>
      </c>
      <c r="G835" s="4" t="s">
        <v>1181</v>
      </c>
      <c r="H835" s="208">
        <v>1</v>
      </c>
      <c r="I835" s="4"/>
      <c r="J835" s="15"/>
      <c r="K835" s="4" t="str">
        <f>_xlfn.IFNA(VLOOKUP($J835,WH_Data[],6,FALSE),"")</f>
        <v/>
      </c>
      <c r="L835" s="4" t="str">
        <f>_xlfn.IFNA(VLOOKUP($J835,WH_Data[],3,FALSE),"")</f>
        <v/>
      </c>
      <c r="M835" s="4" t="str">
        <f>_xlfn.IFNA(VLOOKUP($J835,WH_Data[],5,FALSE),"")</f>
        <v/>
      </c>
      <c r="N835" s="4" t="str">
        <f>_xlfn.IFNA(VLOOKUP($J835,WH_Data[],7,FALSE),"")</f>
        <v/>
      </c>
      <c r="O835" s="4" t="str">
        <f>_xlfn.IFNA(VLOOKUP($J835,WH_Data[],8,FALSE),"")</f>
        <v/>
      </c>
      <c r="P835" s="8"/>
      <c r="Q835" s="209">
        <f>Mon_ILR2[[#This Row],[Qty Required]]-Mon_ILR2[[#This Row],[QTY Transfer]]</f>
        <v>1</v>
      </c>
      <c r="R835" s="66" t="s">
        <v>905</v>
      </c>
      <c r="S835" s="66" t="s">
        <v>946</v>
      </c>
      <c r="T835" s="210">
        <f>_xlfn.IFNA(VLOOKUP(Mon_ILR2[[#This Row],[New Model]],PhilipsLibary[],4,FALSE),"0")</f>
        <v>7999</v>
      </c>
      <c r="U835" s="210">
        <f>_xlfn.IFNA(VLOOKUP(Mon_ILR2[[#This Row],[New Model]],PhilipsLibary[],5,FALSE),"0")</f>
        <v>0</v>
      </c>
      <c r="V835" s="210">
        <f>_xlfn.IFNA(VLOOKUP(Mon_ILR2[[#This Row],[New Model]],PhilipsLibary[],5,FALSE),"0")</f>
        <v>0</v>
      </c>
      <c r="W835" s="210">
        <f>Mon_ILR2[[#This Row],[Accessory Rate]]+Mon_ILR2[[#This Row],[Mounting Rate]]+Mon_ILR2[[#This Row],[Unit Rate]]*Mon_ILR2[[#This Row],[New Quantity Required ]]</f>
        <v>7999</v>
      </c>
      <c r="X835" s="8"/>
      <c r="Y835" s="246"/>
    </row>
    <row r="836" spans="2:25" ht="15.75" customHeight="1" x14ac:dyDescent="0.25">
      <c r="B836" s="207" t="s">
        <v>35</v>
      </c>
      <c r="C836" s="66" t="s">
        <v>410</v>
      </c>
      <c r="D836" s="4" t="s">
        <v>815</v>
      </c>
      <c r="E836" s="4" t="s">
        <v>1027</v>
      </c>
      <c r="F836" s="4" t="s">
        <v>944</v>
      </c>
      <c r="G836" s="4" t="s">
        <v>1181</v>
      </c>
      <c r="H836" s="208">
        <v>1</v>
      </c>
      <c r="I836" s="4"/>
      <c r="J836" s="15"/>
      <c r="K836" s="4" t="str">
        <f>_xlfn.IFNA(VLOOKUP($J836,WH_Data[],6,FALSE),"")</f>
        <v/>
      </c>
      <c r="L836" s="4" t="str">
        <f>_xlfn.IFNA(VLOOKUP($J836,WH_Data[],3,FALSE),"")</f>
        <v/>
      </c>
      <c r="M836" s="4" t="str">
        <f>_xlfn.IFNA(VLOOKUP($J836,WH_Data[],5,FALSE),"")</f>
        <v/>
      </c>
      <c r="N836" s="4" t="str">
        <f>_xlfn.IFNA(VLOOKUP($J836,WH_Data[],7,FALSE),"")</f>
        <v/>
      </c>
      <c r="O836" s="4" t="str">
        <f>_xlfn.IFNA(VLOOKUP($J836,WH_Data[],8,FALSE),"")</f>
        <v/>
      </c>
      <c r="P836" s="8"/>
      <c r="Q836" s="209">
        <f>Mon_ILR2[[#This Row],[Qty Required]]-Mon_ILR2[[#This Row],[QTY Transfer]]</f>
        <v>1</v>
      </c>
      <c r="R836" s="66" t="s">
        <v>905</v>
      </c>
      <c r="S836" s="66" t="s">
        <v>946</v>
      </c>
      <c r="T836" s="210">
        <f>_xlfn.IFNA(VLOOKUP(Mon_ILR2[[#This Row],[New Model]],PhilipsLibary[],4,FALSE),"0")</f>
        <v>7999</v>
      </c>
      <c r="U836" s="210">
        <f>_xlfn.IFNA(VLOOKUP(Mon_ILR2[[#This Row],[New Model]],PhilipsLibary[],5,FALSE),"0")</f>
        <v>0</v>
      </c>
      <c r="V836" s="210">
        <f>_xlfn.IFNA(VLOOKUP(Mon_ILR2[[#This Row],[New Model]],PhilipsLibary[],5,FALSE),"0")</f>
        <v>0</v>
      </c>
      <c r="W836" s="210">
        <f>Mon_ILR2[[#This Row],[Accessory Rate]]+Mon_ILR2[[#This Row],[Mounting Rate]]+Mon_ILR2[[#This Row],[Unit Rate]]*Mon_ILR2[[#This Row],[New Quantity Required ]]</f>
        <v>7999</v>
      </c>
      <c r="X836" s="8"/>
      <c r="Y836" s="246"/>
    </row>
    <row r="837" spans="2:25" ht="15.75" customHeight="1" x14ac:dyDescent="0.25">
      <c r="B837" s="207" t="s">
        <v>35</v>
      </c>
      <c r="C837" s="66" t="s">
        <v>410</v>
      </c>
      <c r="D837" s="4" t="s">
        <v>817</v>
      </c>
      <c r="E837" s="4" t="s">
        <v>1027</v>
      </c>
      <c r="F837" s="4" t="s">
        <v>944</v>
      </c>
      <c r="G837" s="4" t="s">
        <v>1181</v>
      </c>
      <c r="H837" s="208">
        <v>1</v>
      </c>
      <c r="I837" s="4"/>
      <c r="J837" s="15"/>
      <c r="K837" s="4" t="str">
        <f>_xlfn.IFNA(VLOOKUP($J837,WH_Data[],6,FALSE),"")</f>
        <v/>
      </c>
      <c r="L837" s="4" t="str">
        <f>_xlfn.IFNA(VLOOKUP($J837,WH_Data[],3,FALSE),"")</f>
        <v/>
      </c>
      <c r="M837" s="4" t="str">
        <f>_xlfn.IFNA(VLOOKUP($J837,WH_Data[],5,FALSE),"")</f>
        <v/>
      </c>
      <c r="N837" s="4" t="str">
        <f>_xlfn.IFNA(VLOOKUP($J837,WH_Data[],7,FALSE),"")</f>
        <v/>
      </c>
      <c r="O837" s="4" t="str">
        <f>_xlfn.IFNA(VLOOKUP($J837,WH_Data[],8,FALSE),"")</f>
        <v/>
      </c>
      <c r="P837" s="8"/>
      <c r="Q837" s="209">
        <f>Mon_ILR2[[#This Row],[Qty Required]]-Mon_ILR2[[#This Row],[QTY Transfer]]</f>
        <v>1</v>
      </c>
      <c r="R837" s="66" t="s">
        <v>905</v>
      </c>
      <c r="S837" s="66" t="s">
        <v>946</v>
      </c>
      <c r="T837" s="210">
        <f>_xlfn.IFNA(VLOOKUP(Mon_ILR2[[#This Row],[New Model]],PhilipsLibary[],4,FALSE),"0")</f>
        <v>7999</v>
      </c>
      <c r="U837" s="210">
        <f>_xlfn.IFNA(VLOOKUP(Mon_ILR2[[#This Row],[New Model]],PhilipsLibary[],5,FALSE),"0")</f>
        <v>0</v>
      </c>
      <c r="V837" s="210">
        <f>_xlfn.IFNA(VLOOKUP(Mon_ILR2[[#This Row],[New Model]],PhilipsLibary[],5,FALSE),"0")</f>
        <v>0</v>
      </c>
      <c r="W837" s="210">
        <f>Mon_ILR2[[#This Row],[Accessory Rate]]+Mon_ILR2[[#This Row],[Mounting Rate]]+Mon_ILR2[[#This Row],[Unit Rate]]*Mon_ILR2[[#This Row],[New Quantity Required ]]</f>
        <v>7999</v>
      </c>
      <c r="X837" s="8"/>
      <c r="Y837" s="246"/>
    </row>
    <row r="838" spans="2:25" ht="15.75" customHeight="1" x14ac:dyDescent="0.25">
      <c r="B838" s="207" t="s">
        <v>35</v>
      </c>
      <c r="C838" s="66" t="s">
        <v>820</v>
      </c>
      <c r="D838" s="4" t="s">
        <v>821</v>
      </c>
      <c r="E838" s="4" t="s">
        <v>1027</v>
      </c>
      <c r="F838" s="4" t="s">
        <v>944</v>
      </c>
      <c r="G838" s="4" t="s">
        <v>1181</v>
      </c>
      <c r="H838" s="208">
        <v>1</v>
      </c>
      <c r="I838" s="4"/>
      <c r="J838" s="15"/>
      <c r="K838" s="4" t="str">
        <f>_xlfn.IFNA(VLOOKUP($J838,WH_Data[],6,FALSE),"")</f>
        <v/>
      </c>
      <c r="L838" s="4" t="str">
        <f>_xlfn.IFNA(VLOOKUP($J838,WH_Data[],3,FALSE),"")</f>
        <v/>
      </c>
      <c r="M838" s="4" t="str">
        <f>_xlfn.IFNA(VLOOKUP($J838,WH_Data[],5,FALSE),"")</f>
        <v/>
      </c>
      <c r="N838" s="4" t="str">
        <f>_xlfn.IFNA(VLOOKUP($J838,WH_Data[],7,FALSE),"")</f>
        <v/>
      </c>
      <c r="O838" s="4" t="str">
        <f>_xlfn.IFNA(VLOOKUP($J838,WH_Data[],8,FALSE),"")</f>
        <v/>
      </c>
      <c r="P838" s="8"/>
      <c r="Q838" s="209">
        <f>Mon_ILR2[[#This Row],[Qty Required]]-Mon_ILR2[[#This Row],[QTY Transfer]]</f>
        <v>1</v>
      </c>
      <c r="R838" s="66" t="s">
        <v>905</v>
      </c>
      <c r="S838" s="66" t="s">
        <v>946</v>
      </c>
      <c r="T838" s="210">
        <f>_xlfn.IFNA(VLOOKUP(Mon_ILR2[[#This Row],[New Model]],PhilipsLibary[],4,FALSE),"0")</f>
        <v>7999</v>
      </c>
      <c r="U838" s="210">
        <f>_xlfn.IFNA(VLOOKUP(Mon_ILR2[[#This Row],[New Model]],PhilipsLibary[],5,FALSE),"0")</f>
        <v>0</v>
      </c>
      <c r="V838" s="210">
        <f>_xlfn.IFNA(VLOOKUP(Mon_ILR2[[#This Row],[New Model]],PhilipsLibary[],5,FALSE),"0")</f>
        <v>0</v>
      </c>
      <c r="W838" s="210">
        <f>Mon_ILR2[[#This Row],[Accessory Rate]]+Mon_ILR2[[#This Row],[Mounting Rate]]+Mon_ILR2[[#This Row],[Unit Rate]]*Mon_ILR2[[#This Row],[New Quantity Required ]]</f>
        <v>7999</v>
      </c>
      <c r="X838" s="8"/>
      <c r="Y838" s="246"/>
    </row>
    <row r="839" spans="2:25" ht="15.75" customHeight="1" x14ac:dyDescent="0.25">
      <c r="B839" s="207" t="s">
        <v>35</v>
      </c>
      <c r="C839" s="66" t="s">
        <v>820</v>
      </c>
      <c r="D839" s="4" t="s">
        <v>822</v>
      </c>
      <c r="E839" s="4" t="s">
        <v>1027</v>
      </c>
      <c r="F839" s="4" t="s">
        <v>944</v>
      </c>
      <c r="G839" s="4" t="s">
        <v>1181</v>
      </c>
      <c r="H839" s="208">
        <v>1</v>
      </c>
      <c r="I839" s="4"/>
      <c r="J839" s="15"/>
      <c r="K839" s="4" t="str">
        <f>_xlfn.IFNA(VLOOKUP($J839,WH_Data[],6,FALSE),"")</f>
        <v/>
      </c>
      <c r="L839" s="4" t="str">
        <f>_xlfn.IFNA(VLOOKUP($J839,WH_Data[],3,FALSE),"")</f>
        <v/>
      </c>
      <c r="M839" s="4" t="str">
        <f>_xlfn.IFNA(VLOOKUP($J839,WH_Data[],5,FALSE),"")</f>
        <v/>
      </c>
      <c r="N839" s="4" t="str">
        <f>_xlfn.IFNA(VLOOKUP($J839,WH_Data[],7,FALSE),"")</f>
        <v/>
      </c>
      <c r="O839" s="4" t="str">
        <f>_xlfn.IFNA(VLOOKUP($J839,WH_Data[],8,FALSE),"")</f>
        <v/>
      </c>
      <c r="P839" s="8"/>
      <c r="Q839" s="209">
        <f>Mon_ILR2[[#This Row],[Qty Required]]-Mon_ILR2[[#This Row],[QTY Transfer]]</f>
        <v>1</v>
      </c>
      <c r="R839" s="66" t="s">
        <v>905</v>
      </c>
      <c r="S839" s="66" t="s">
        <v>946</v>
      </c>
      <c r="T839" s="210">
        <f>_xlfn.IFNA(VLOOKUP(Mon_ILR2[[#This Row],[New Model]],PhilipsLibary[],4,FALSE),"0")</f>
        <v>7999</v>
      </c>
      <c r="U839" s="210">
        <f>_xlfn.IFNA(VLOOKUP(Mon_ILR2[[#This Row],[New Model]],PhilipsLibary[],5,FALSE),"0")</f>
        <v>0</v>
      </c>
      <c r="V839" s="210">
        <f>_xlfn.IFNA(VLOOKUP(Mon_ILR2[[#This Row],[New Model]],PhilipsLibary[],5,FALSE),"0")</f>
        <v>0</v>
      </c>
      <c r="W839" s="210">
        <f>Mon_ILR2[[#This Row],[Accessory Rate]]+Mon_ILR2[[#This Row],[Mounting Rate]]+Mon_ILR2[[#This Row],[Unit Rate]]*Mon_ILR2[[#This Row],[New Quantity Required ]]</f>
        <v>7999</v>
      </c>
      <c r="X839" s="8"/>
      <c r="Y839" s="246"/>
    </row>
    <row r="840" spans="2:25" ht="15.75" customHeight="1" x14ac:dyDescent="0.25">
      <c r="B840" s="207" t="s">
        <v>35</v>
      </c>
      <c r="C840" s="66" t="s">
        <v>820</v>
      </c>
      <c r="D840" s="4" t="s">
        <v>823</v>
      </c>
      <c r="E840" s="4" t="s">
        <v>1027</v>
      </c>
      <c r="F840" s="4" t="s">
        <v>944</v>
      </c>
      <c r="G840" s="4" t="s">
        <v>1181</v>
      </c>
      <c r="H840" s="208">
        <v>1</v>
      </c>
      <c r="I840" s="4"/>
      <c r="J840" s="15"/>
      <c r="K840" s="4" t="str">
        <f>_xlfn.IFNA(VLOOKUP($J840,WH_Data[],6,FALSE),"")</f>
        <v/>
      </c>
      <c r="L840" s="4" t="str">
        <f>_xlfn.IFNA(VLOOKUP($J840,WH_Data[],3,FALSE),"")</f>
        <v/>
      </c>
      <c r="M840" s="4" t="str">
        <f>_xlfn.IFNA(VLOOKUP($J840,WH_Data[],5,FALSE),"")</f>
        <v/>
      </c>
      <c r="N840" s="4" t="str">
        <f>_xlfn.IFNA(VLOOKUP($J840,WH_Data[],7,FALSE),"")</f>
        <v/>
      </c>
      <c r="O840" s="4" t="str">
        <f>_xlfn.IFNA(VLOOKUP($J840,WH_Data[],8,FALSE),"")</f>
        <v/>
      </c>
      <c r="P840" s="8"/>
      <c r="Q840" s="209">
        <f>Mon_ILR2[[#This Row],[Qty Required]]-Mon_ILR2[[#This Row],[QTY Transfer]]</f>
        <v>1</v>
      </c>
      <c r="R840" s="66" t="s">
        <v>905</v>
      </c>
      <c r="S840" s="66" t="s">
        <v>946</v>
      </c>
      <c r="T840" s="210">
        <f>_xlfn.IFNA(VLOOKUP(Mon_ILR2[[#This Row],[New Model]],PhilipsLibary[],4,FALSE),"0")</f>
        <v>7999</v>
      </c>
      <c r="U840" s="210">
        <f>_xlfn.IFNA(VLOOKUP(Mon_ILR2[[#This Row],[New Model]],PhilipsLibary[],5,FALSE),"0")</f>
        <v>0</v>
      </c>
      <c r="V840" s="210">
        <f>_xlfn.IFNA(VLOOKUP(Mon_ILR2[[#This Row],[New Model]],PhilipsLibary[],5,FALSE),"0")</f>
        <v>0</v>
      </c>
      <c r="W840" s="210">
        <f>Mon_ILR2[[#This Row],[Accessory Rate]]+Mon_ILR2[[#This Row],[Mounting Rate]]+Mon_ILR2[[#This Row],[Unit Rate]]*Mon_ILR2[[#This Row],[New Quantity Required ]]</f>
        <v>7999</v>
      </c>
      <c r="X840" s="8"/>
      <c r="Y840" s="246"/>
    </row>
    <row r="841" spans="2:25" ht="15.75" customHeight="1" x14ac:dyDescent="0.25">
      <c r="B841" s="207" t="s">
        <v>35</v>
      </c>
      <c r="C841" s="66" t="s">
        <v>820</v>
      </c>
      <c r="D841" s="4" t="s">
        <v>824</v>
      </c>
      <c r="E841" s="4" t="s">
        <v>1027</v>
      </c>
      <c r="F841" s="4" t="s">
        <v>944</v>
      </c>
      <c r="G841" s="4" t="s">
        <v>1181</v>
      </c>
      <c r="H841" s="208">
        <v>1</v>
      </c>
      <c r="I841" s="4"/>
      <c r="J841" s="15"/>
      <c r="K841" s="4" t="str">
        <f>_xlfn.IFNA(VLOOKUP($J841,WH_Data[],6,FALSE),"")</f>
        <v/>
      </c>
      <c r="L841" s="4" t="str">
        <f>_xlfn.IFNA(VLOOKUP($J841,WH_Data[],3,FALSE),"")</f>
        <v/>
      </c>
      <c r="M841" s="4" t="str">
        <f>_xlfn.IFNA(VLOOKUP($J841,WH_Data[],5,FALSE),"")</f>
        <v/>
      </c>
      <c r="N841" s="4" t="str">
        <f>_xlfn.IFNA(VLOOKUP($J841,WH_Data[],7,FALSE),"")</f>
        <v/>
      </c>
      <c r="O841" s="4" t="str">
        <f>_xlfn.IFNA(VLOOKUP($J841,WH_Data[],8,FALSE),"")</f>
        <v/>
      </c>
      <c r="P841" s="8"/>
      <c r="Q841" s="209">
        <f>Mon_ILR2[[#This Row],[Qty Required]]-Mon_ILR2[[#This Row],[QTY Transfer]]</f>
        <v>1</v>
      </c>
      <c r="R841" s="66" t="s">
        <v>905</v>
      </c>
      <c r="S841" s="66" t="s">
        <v>946</v>
      </c>
      <c r="T841" s="210">
        <f>_xlfn.IFNA(VLOOKUP(Mon_ILR2[[#This Row],[New Model]],PhilipsLibary[],4,FALSE),"0")</f>
        <v>7999</v>
      </c>
      <c r="U841" s="210">
        <f>_xlfn.IFNA(VLOOKUP(Mon_ILR2[[#This Row],[New Model]],PhilipsLibary[],5,FALSE),"0")</f>
        <v>0</v>
      </c>
      <c r="V841" s="210">
        <f>_xlfn.IFNA(VLOOKUP(Mon_ILR2[[#This Row],[New Model]],PhilipsLibary[],5,FALSE),"0")</f>
        <v>0</v>
      </c>
      <c r="W841" s="210">
        <f>Mon_ILR2[[#This Row],[Accessory Rate]]+Mon_ILR2[[#This Row],[Mounting Rate]]+Mon_ILR2[[#This Row],[Unit Rate]]*Mon_ILR2[[#This Row],[New Quantity Required ]]</f>
        <v>7999</v>
      </c>
      <c r="X841" s="8"/>
      <c r="Y841" s="246"/>
    </row>
    <row r="842" spans="2:25" ht="15.75" customHeight="1" x14ac:dyDescent="0.25">
      <c r="B842" s="207" t="s">
        <v>35</v>
      </c>
      <c r="C842" s="66" t="s">
        <v>820</v>
      </c>
      <c r="D842" s="4" t="s">
        <v>825</v>
      </c>
      <c r="E842" s="4" t="s">
        <v>1027</v>
      </c>
      <c r="F842" s="4" t="s">
        <v>944</v>
      </c>
      <c r="G842" s="4" t="s">
        <v>1181</v>
      </c>
      <c r="H842" s="208">
        <v>1</v>
      </c>
      <c r="I842" s="4"/>
      <c r="J842" s="15"/>
      <c r="K842" s="4" t="str">
        <f>_xlfn.IFNA(VLOOKUP($J842,WH_Data[],6,FALSE),"")</f>
        <v/>
      </c>
      <c r="L842" s="4" t="str">
        <f>_xlfn.IFNA(VLOOKUP($J842,WH_Data[],3,FALSE),"")</f>
        <v/>
      </c>
      <c r="M842" s="4" t="str">
        <f>_xlfn.IFNA(VLOOKUP($J842,WH_Data[],5,FALSE),"")</f>
        <v/>
      </c>
      <c r="N842" s="4" t="str">
        <f>_xlfn.IFNA(VLOOKUP($J842,WH_Data[],7,FALSE),"")</f>
        <v/>
      </c>
      <c r="O842" s="4" t="str">
        <f>_xlfn.IFNA(VLOOKUP($J842,WH_Data[],8,FALSE),"")</f>
        <v/>
      </c>
      <c r="P842" s="8"/>
      <c r="Q842" s="209">
        <f>Mon_ILR2[[#This Row],[Qty Required]]-Mon_ILR2[[#This Row],[QTY Transfer]]</f>
        <v>1</v>
      </c>
      <c r="R842" s="66" t="s">
        <v>905</v>
      </c>
      <c r="S842" s="66" t="s">
        <v>946</v>
      </c>
      <c r="T842" s="210">
        <f>_xlfn.IFNA(VLOOKUP(Mon_ILR2[[#This Row],[New Model]],PhilipsLibary[],4,FALSE),"0")</f>
        <v>7999</v>
      </c>
      <c r="U842" s="210">
        <f>_xlfn.IFNA(VLOOKUP(Mon_ILR2[[#This Row],[New Model]],PhilipsLibary[],5,FALSE),"0")</f>
        <v>0</v>
      </c>
      <c r="V842" s="210">
        <f>_xlfn.IFNA(VLOOKUP(Mon_ILR2[[#This Row],[New Model]],PhilipsLibary[],5,FALSE),"0")</f>
        <v>0</v>
      </c>
      <c r="W842" s="210">
        <f>Mon_ILR2[[#This Row],[Accessory Rate]]+Mon_ILR2[[#This Row],[Mounting Rate]]+Mon_ILR2[[#This Row],[Unit Rate]]*Mon_ILR2[[#This Row],[New Quantity Required ]]</f>
        <v>7999</v>
      </c>
      <c r="X842" s="8"/>
      <c r="Y842" s="246"/>
    </row>
    <row r="843" spans="2:25" ht="15.75" customHeight="1" x14ac:dyDescent="0.25">
      <c r="B843" s="207" t="s">
        <v>35</v>
      </c>
      <c r="C843" s="66" t="s">
        <v>820</v>
      </c>
      <c r="D843" s="4" t="s">
        <v>826</v>
      </c>
      <c r="E843" s="4" t="s">
        <v>1027</v>
      </c>
      <c r="F843" s="4" t="s">
        <v>944</v>
      </c>
      <c r="G843" s="4" t="s">
        <v>1181</v>
      </c>
      <c r="H843" s="208">
        <v>1</v>
      </c>
      <c r="I843" s="4"/>
      <c r="J843" s="15"/>
      <c r="K843" s="4" t="str">
        <f>_xlfn.IFNA(VLOOKUP($J843,WH_Data[],6,FALSE),"")</f>
        <v/>
      </c>
      <c r="L843" s="4" t="str">
        <f>_xlfn.IFNA(VLOOKUP($J843,WH_Data[],3,FALSE),"")</f>
        <v/>
      </c>
      <c r="M843" s="4" t="str">
        <f>_xlfn.IFNA(VLOOKUP($J843,WH_Data[],5,FALSE),"")</f>
        <v/>
      </c>
      <c r="N843" s="4" t="str">
        <f>_xlfn.IFNA(VLOOKUP($J843,WH_Data[],7,FALSE),"")</f>
        <v/>
      </c>
      <c r="O843" s="4" t="str">
        <f>_xlfn.IFNA(VLOOKUP($J843,WH_Data[],8,FALSE),"")</f>
        <v/>
      </c>
      <c r="P843" s="8"/>
      <c r="Q843" s="209">
        <f>Mon_ILR2[[#This Row],[Qty Required]]-Mon_ILR2[[#This Row],[QTY Transfer]]</f>
        <v>1</v>
      </c>
      <c r="R843" s="66" t="s">
        <v>905</v>
      </c>
      <c r="S843" s="66" t="s">
        <v>946</v>
      </c>
      <c r="T843" s="210">
        <f>_xlfn.IFNA(VLOOKUP(Mon_ILR2[[#This Row],[New Model]],PhilipsLibary[],4,FALSE),"0")</f>
        <v>7999</v>
      </c>
      <c r="U843" s="210">
        <f>_xlfn.IFNA(VLOOKUP(Mon_ILR2[[#This Row],[New Model]],PhilipsLibary[],5,FALSE),"0")</f>
        <v>0</v>
      </c>
      <c r="V843" s="210">
        <f>_xlfn.IFNA(VLOOKUP(Mon_ILR2[[#This Row],[New Model]],PhilipsLibary[],5,FALSE),"0")</f>
        <v>0</v>
      </c>
      <c r="W843" s="210">
        <f>Mon_ILR2[[#This Row],[Accessory Rate]]+Mon_ILR2[[#This Row],[Mounting Rate]]+Mon_ILR2[[#This Row],[Unit Rate]]*Mon_ILR2[[#This Row],[New Quantity Required ]]</f>
        <v>7999</v>
      </c>
      <c r="X843" s="8"/>
      <c r="Y843" s="246"/>
    </row>
    <row r="844" spans="2:25" ht="15.75" customHeight="1" x14ac:dyDescent="0.25">
      <c r="B844" s="207" t="s">
        <v>35</v>
      </c>
      <c r="C844" s="66" t="s">
        <v>820</v>
      </c>
      <c r="D844" s="4" t="s">
        <v>827</v>
      </c>
      <c r="E844" s="4" t="s">
        <v>1027</v>
      </c>
      <c r="F844" s="4" t="s">
        <v>944</v>
      </c>
      <c r="G844" s="4" t="s">
        <v>1181</v>
      </c>
      <c r="H844" s="208">
        <v>1</v>
      </c>
      <c r="I844" s="4"/>
      <c r="J844" s="15"/>
      <c r="K844" s="4" t="str">
        <f>_xlfn.IFNA(VLOOKUP($J844,WH_Data[],6,FALSE),"")</f>
        <v/>
      </c>
      <c r="L844" s="4" t="str">
        <f>_xlfn.IFNA(VLOOKUP($J844,WH_Data[],3,FALSE),"")</f>
        <v/>
      </c>
      <c r="M844" s="4" t="str">
        <f>_xlfn.IFNA(VLOOKUP($J844,WH_Data[],5,FALSE),"")</f>
        <v/>
      </c>
      <c r="N844" s="4" t="str">
        <f>_xlfn.IFNA(VLOOKUP($J844,WH_Data[],7,FALSE),"")</f>
        <v/>
      </c>
      <c r="O844" s="4" t="str">
        <f>_xlfn.IFNA(VLOOKUP($J844,WH_Data[],8,FALSE),"")</f>
        <v/>
      </c>
      <c r="P844" s="8"/>
      <c r="Q844" s="209">
        <f>Mon_ILR2[[#This Row],[Qty Required]]-Mon_ILR2[[#This Row],[QTY Transfer]]</f>
        <v>1</v>
      </c>
      <c r="R844" s="66" t="s">
        <v>905</v>
      </c>
      <c r="S844" s="66" t="s">
        <v>946</v>
      </c>
      <c r="T844" s="210">
        <f>_xlfn.IFNA(VLOOKUP(Mon_ILR2[[#This Row],[New Model]],PhilipsLibary[],4,FALSE),"0")</f>
        <v>7999</v>
      </c>
      <c r="U844" s="210">
        <f>_xlfn.IFNA(VLOOKUP(Mon_ILR2[[#This Row],[New Model]],PhilipsLibary[],5,FALSE),"0")</f>
        <v>0</v>
      </c>
      <c r="V844" s="210">
        <f>_xlfn.IFNA(VLOOKUP(Mon_ILR2[[#This Row],[New Model]],PhilipsLibary[],5,FALSE),"0")</f>
        <v>0</v>
      </c>
      <c r="W844" s="210">
        <f>Mon_ILR2[[#This Row],[Accessory Rate]]+Mon_ILR2[[#This Row],[Mounting Rate]]+Mon_ILR2[[#This Row],[Unit Rate]]*Mon_ILR2[[#This Row],[New Quantity Required ]]</f>
        <v>7999</v>
      </c>
      <c r="X844" s="8"/>
      <c r="Y844" s="246"/>
    </row>
    <row r="845" spans="2:25" ht="15.75" customHeight="1" x14ac:dyDescent="0.25">
      <c r="B845" s="207" t="s">
        <v>35</v>
      </c>
      <c r="C845" s="66" t="s">
        <v>820</v>
      </c>
      <c r="D845" s="4" t="s">
        <v>828</v>
      </c>
      <c r="E845" s="4" t="s">
        <v>1027</v>
      </c>
      <c r="F845" s="4" t="s">
        <v>944</v>
      </c>
      <c r="G845" s="4" t="s">
        <v>1181</v>
      </c>
      <c r="H845" s="208">
        <v>1</v>
      </c>
      <c r="I845" s="4"/>
      <c r="J845" s="15"/>
      <c r="K845" s="4" t="str">
        <f>_xlfn.IFNA(VLOOKUP($J845,WH_Data[],6,FALSE),"")</f>
        <v/>
      </c>
      <c r="L845" s="4" t="str">
        <f>_xlfn.IFNA(VLOOKUP($J845,WH_Data[],3,FALSE),"")</f>
        <v/>
      </c>
      <c r="M845" s="4" t="str">
        <f>_xlfn.IFNA(VLOOKUP($J845,WH_Data[],5,FALSE),"")</f>
        <v/>
      </c>
      <c r="N845" s="4" t="str">
        <f>_xlfn.IFNA(VLOOKUP($J845,WH_Data[],7,FALSE),"")</f>
        <v/>
      </c>
      <c r="O845" s="4" t="str">
        <f>_xlfn.IFNA(VLOOKUP($J845,WH_Data[],8,FALSE),"")</f>
        <v/>
      </c>
      <c r="P845" s="8"/>
      <c r="Q845" s="209">
        <f>Mon_ILR2[[#This Row],[Qty Required]]-Mon_ILR2[[#This Row],[QTY Transfer]]</f>
        <v>1</v>
      </c>
      <c r="R845" s="66" t="s">
        <v>905</v>
      </c>
      <c r="S845" s="66" t="s">
        <v>946</v>
      </c>
      <c r="T845" s="210">
        <f>_xlfn.IFNA(VLOOKUP(Mon_ILR2[[#This Row],[New Model]],PhilipsLibary[],4,FALSE),"0")</f>
        <v>7999</v>
      </c>
      <c r="U845" s="210">
        <f>_xlfn.IFNA(VLOOKUP(Mon_ILR2[[#This Row],[New Model]],PhilipsLibary[],5,FALSE),"0")</f>
        <v>0</v>
      </c>
      <c r="V845" s="210">
        <f>_xlfn.IFNA(VLOOKUP(Mon_ILR2[[#This Row],[New Model]],PhilipsLibary[],5,FALSE),"0")</f>
        <v>0</v>
      </c>
      <c r="W845" s="210">
        <f>Mon_ILR2[[#This Row],[Accessory Rate]]+Mon_ILR2[[#This Row],[Mounting Rate]]+Mon_ILR2[[#This Row],[Unit Rate]]*Mon_ILR2[[#This Row],[New Quantity Required ]]</f>
        <v>7999</v>
      </c>
      <c r="X845" s="8"/>
      <c r="Y845" s="246"/>
    </row>
    <row r="846" spans="2:25" ht="15.75" customHeight="1" x14ac:dyDescent="0.25">
      <c r="B846" s="207" t="s">
        <v>35</v>
      </c>
      <c r="C846" s="66" t="s">
        <v>820</v>
      </c>
      <c r="D846" s="4" t="s">
        <v>829</v>
      </c>
      <c r="E846" s="4" t="s">
        <v>1027</v>
      </c>
      <c r="F846" s="4" t="s">
        <v>944</v>
      </c>
      <c r="G846" s="4" t="s">
        <v>1181</v>
      </c>
      <c r="H846" s="208">
        <v>1</v>
      </c>
      <c r="I846" s="4"/>
      <c r="J846" s="15"/>
      <c r="K846" s="4" t="str">
        <f>_xlfn.IFNA(VLOOKUP($J846,WH_Data[],6,FALSE),"")</f>
        <v/>
      </c>
      <c r="L846" s="4" t="str">
        <f>_xlfn.IFNA(VLOOKUP($J846,WH_Data[],3,FALSE),"")</f>
        <v/>
      </c>
      <c r="M846" s="4" t="str">
        <f>_xlfn.IFNA(VLOOKUP($J846,WH_Data[],5,FALSE),"")</f>
        <v/>
      </c>
      <c r="N846" s="4" t="str">
        <f>_xlfn.IFNA(VLOOKUP($J846,WH_Data[],7,FALSE),"")</f>
        <v/>
      </c>
      <c r="O846" s="4" t="str">
        <f>_xlfn.IFNA(VLOOKUP($J846,WH_Data[],8,FALSE),"")</f>
        <v/>
      </c>
      <c r="P846" s="8"/>
      <c r="Q846" s="209">
        <f>Mon_ILR2[[#This Row],[Qty Required]]-Mon_ILR2[[#This Row],[QTY Transfer]]</f>
        <v>1</v>
      </c>
      <c r="R846" s="66" t="s">
        <v>905</v>
      </c>
      <c r="S846" s="66" t="s">
        <v>946</v>
      </c>
      <c r="T846" s="210">
        <f>_xlfn.IFNA(VLOOKUP(Mon_ILR2[[#This Row],[New Model]],PhilipsLibary[],4,FALSE),"0")</f>
        <v>7999</v>
      </c>
      <c r="U846" s="210">
        <f>_xlfn.IFNA(VLOOKUP(Mon_ILR2[[#This Row],[New Model]],PhilipsLibary[],5,FALSE),"0")</f>
        <v>0</v>
      </c>
      <c r="V846" s="210">
        <f>_xlfn.IFNA(VLOOKUP(Mon_ILR2[[#This Row],[New Model]],PhilipsLibary[],5,FALSE),"0")</f>
        <v>0</v>
      </c>
      <c r="W846" s="210">
        <f>Mon_ILR2[[#This Row],[Accessory Rate]]+Mon_ILR2[[#This Row],[Mounting Rate]]+Mon_ILR2[[#This Row],[Unit Rate]]*Mon_ILR2[[#This Row],[New Quantity Required ]]</f>
        <v>7999</v>
      </c>
      <c r="X846" s="8"/>
      <c r="Y846" s="246"/>
    </row>
    <row r="847" spans="2:25" ht="15.75" customHeight="1" x14ac:dyDescent="0.25">
      <c r="B847" s="207" t="s">
        <v>35</v>
      </c>
      <c r="C847" s="66" t="s">
        <v>820</v>
      </c>
      <c r="D847" s="4" t="s">
        <v>830</v>
      </c>
      <c r="E847" s="4" t="s">
        <v>1027</v>
      </c>
      <c r="F847" s="4" t="s">
        <v>944</v>
      </c>
      <c r="G847" s="4" t="s">
        <v>1181</v>
      </c>
      <c r="H847" s="208">
        <v>1</v>
      </c>
      <c r="I847" s="4"/>
      <c r="J847" s="15"/>
      <c r="K847" s="4" t="str">
        <f>_xlfn.IFNA(VLOOKUP($J847,WH_Data[],6,FALSE),"")</f>
        <v/>
      </c>
      <c r="L847" s="4" t="str">
        <f>_xlfn.IFNA(VLOOKUP($J847,WH_Data[],3,FALSE),"")</f>
        <v/>
      </c>
      <c r="M847" s="4" t="str">
        <f>_xlfn.IFNA(VLOOKUP($J847,WH_Data[],5,FALSE),"")</f>
        <v/>
      </c>
      <c r="N847" s="4" t="str">
        <f>_xlfn.IFNA(VLOOKUP($J847,WH_Data[],7,FALSE),"")</f>
        <v/>
      </c>
      <c r="O847" s="4" t="str">
        <f>_xlfn.IFNA(VLOOKUP($J847,WH_Data[],8,FALSE),"")</f>
        <v/>
      </c>
      <c r="P847" s="8"/>
      <c r="Q847" s="209">
        <f>Mon_ILR2[[#This Row],[Qty Required]]-Mon_ILR2[[#This Row],[QTY Transfer]]</f>
        <v>1</v>
      </c>
      <c r="R847" s="66" t="s">
        <v>905</v>
      </c>
      <c r="S847" s="66" t="s">
        <v>946</v>
      </c>
      <c r="T847" s="210">
        <f>_xlfn.IFNA(VLOOKUP(Mon_ILR2[[#This Row],[New Model]],PhilipsLibary[],4,FALSE),"0")</f>
        <v>7999</v>
      </c>
      <c r="U847" s="210">
        <f>_xlfn.IFNA(VLOOKUP(Mon_ILR2[[#This Row],[New Model]],PhilipsLibary[],5,FALSE),"0")</f>
        <v>0</v>
      </c>
      <c r="V847" s="210">
        <f>_xlfn.IFNA(VLOOKUP(Mon_ILR2[[#This Row],[New Model]],PhilipsLibary[],5,FALSE),"0")</f>
        <v>0</v>
      </c>
      <c r="W847" s="210">
        <f>Mon_ILR2[[#This Row],[Accessory Rate]]+Mon_ILR2[[#This Row],[Mounting Rate]]+Mon_ILR2[[#This Row],[Unit Rate]]*Mon_ILR2[[#This Row],[New Quantity Required ]]</f>
        <v>7999</v>
      </c>
      <c r="X847" s="8"/>
      <c r="Y847" s="246"/>
    </row>
    <row r="848" spans="2:25" ht="15.75" customHeight="1" x14ac:dyDescent="0.25">
      <c r="B848" s="207" t="s">
        <v>35</v>
      </c>
      <c r="C848" s="66" t="s">
        <v>820</v>
      </c>
      <c r="D848" s="4" t="s">
        <v>831</v>
      </c>
      <c r="E848" s="4" t="s">
        <v>1027</v>
      </c>
      <c r="F848" s="4" t="s">
        <v>944</v>
      </c>
      <c r="G848" s="4" t="s">
        <v>1181</v>
      </c>
      <c r="H848" s="208">
        <v>1</v>
      </c>
      <c r="I848" s="4"/>
      <c r="J848" s="15"/>
      <c r="K848" s="4" t="str">
        <f>_xlfn.IFNA(VLOOKUP($J848,WH_Data[],6,FALSE),"")</f>
        <v/>
      </c>
      <c r="L848" s="4" t="str">
        <f>_xlfn.IFNA(VLOOKUP($J848,WH_Data[],3,FALSE),"")</f>
        <v/>
      </c>
      <c r="M848" s="4" t="str">
        <f>_xlfn.IFNA(VLOOKUP($J848,WH_Data[],5,FALSE),"")</f>
        <v/>
      </c>
      <c r="N848" s="4" t="str">
        <f>_xlfn.IFNA(VLOOKUP($J848,WH_Data[],7,FALSE),"")</f>
        <v/>
      </c>
      <c r="O848" s="4" t="str">
        <f>_xlfn.IFNA(VLOOKUP($J848,WH_Data[],8,FALSE),"")</f>
        <v/>
      </c>
      <c r="P848" s="8"/>
      <c r="Q848" s="209">
        <f>Mon_ILR2[[#This Row],[Qty Required]]-Mon_ILR2[[#This Row],[QTY Transfer]]</f>
        <v>1</v>
      </c>
      <c r="R848" s="66" t="s">
        <v>905</v>
      </c>
      <c r="S848" s="66" t="s">
        <v>946</v>
      </c>
      <c r="T848" s="210">
        <f>_xlfn.IFNA(VLOOKUP(Mon_ILR2[[#This Row],[New Model]],PhilipsLibary[],4,FALSE),"0")</f>
        <v>7999</v>
      </c>
      <c r="U848" s="210">
        <f>_xlfn.IFNA(VLOOKUP(Mon_ILR2[[#This Row],[New Model]],PhilipsLibary[],5,FALSE),"0")</f>
        <v>0</v>
      </c>
      <c r="V848" s="210">
        <f>_xlfn.IFNA(VLOOKUP(Mon_ILR2[[#This Row],[New Model]],PhilipsLibary[],5,FALSE),"0")</f>
        <v>0</v>
      </c>
      <c r="W848" s="210">
        <f>Mon_ILR2[[#This Row],[Accessory Rate]]+Mon_ILR2[[#This Row],[Mounting Rate]]+Mon_ILR2[[#This Row],[Unit Rate]]*Mon_ILR2[[#This Row],[New Quantity Required ]]</f>
        <v>7999</v>
      </c>
      <c r="X848" s="8"/>
      <c r="Y848" s="246"/>
    </row>
    <row r="849" spans="2:25" ht="15.75" customHeight="1" x14ac:dyDescent="0.25">
      <c r="B849" s="207" t="s">
        <v>35</v>
      </c>
      <c r="C849" s="66" t="s">
        <v>820</v>
      </c>
      <c r="D849" s="4" t="s">
        <v>832</v>
      </c>
      <c r="E849" s="4" t="s">
        <v>1027</v>
      </c>
      <c r="F849" s="4" t="s">
        <v>944</v>
      </c>
      <c r="G849" s="4" t="s">
        <v>1181</v>
      </c>
      <c r="H849" s="208">
        <v>1</v>
      </c>
      <c r="I849" s="4"/>
      <c r="J849" s="15"/>
      <c r="K849" s="4" t="str">
        <f>_xlfn.IFNA(VLOOKUP($J849,WH_Data[],6,FALSE),"")</f>
        <v/>
      </c>
      <c r="L849" s="4" t="str">
        <f>_xlfn.IFNA(VLOOKUP($J849,WH_Data[],3,FALSE),"")</f>
        <v/>
      </c>
      <c r="M849" s="4" t="str">
        <f>_xlfn.IFNA(VLOOKUP($J849,WH_Data[],5,FALSE),"")</f>
        <v/>
      </c>
      <c r="N849" s="4" t="str">
        <f>_xlfn.IFNA(VLOOKUP($J849,WH_Data[],7,FALSE),"")</f>
        <v/>
      </c>
      <c r="O849" s="4" t="str">
        <f>_xlfn.IFNA(VLOOKUP($J849,WH_Data[],8,FALSE),"")</f>
        <v/>
      </c>
      <c r="P849" s="8"/>
      <c r="Q849" s="209">
        <f>Mon_ILR2[[#This Row],[Qty Required]]-Mon_ILR2[[#This Row],[QTY Transfer]]</f>
        <v>1</v>
      </c>
      <c r="R849" s="66" t="s">
        <v>905</v>
      </c>
      <c r="S849" s="66" t="s">
        <v>946</v>
      </c>
      <c r="T849" s="210">
        <f>_xlfn.IFNA(VLOOKUP(Mon_ILR2[[#This Row],[New Model]],PhilipsLibary[],4,FALSE),"0")</f>
        <v>7999</v>
      </c>
      <c r="U849" s="210">
        <f>_xlfn.IFNA(VLOOKUP(Mon_ILR2[[#This Row],[New Model]],PhilipsLibary[],5,FALSE),"0")</f>
        <v>0</v>
      </c>
      <c r="V849" s="210">
        <f>_xlfn.IFNA(VLOOKUP(Mon_ILR2[[#This Row],[New Model]],PhilipsLibary[],5,FALSE),"0")</f>
        <v>0</v>
      </c>
      <c r="W849" s="210">
        <f>Mon_ILR2[[#This Row],[Accessory Rate]]+Mon_ILR2[[#This Row],[Mounting Rate]]+Mon_ILR2[[#This Row],[Unit Rate]]*Mon_ILR2[[#This Row],[New Quantity Required ]]</f>
        <v>7999</v>
      </c>
      <c r="X849" s="8"/>
      <c r="Y849" s="246"/>
    </row>
    <row r="850" spans="2:25" ht="15.75" customHeight="1" x14ac:dyDescent="0.25">
      <c r="B850" s="207" t="s">
        <v>35</v>
      </c>
      <c r="C850" s="66" t="s">
        <v>833</v>
      </c>
      <c r="D850" s="4" t="s">
        <v>834</v>
      </c>
      <c r="E850" s="4" t="s">
        <v>1027</v>
      </c>
      <c r="F850" s="4" t="s">
        <v>944</v>
      </c>
      <c r="G850" s="4" t="s">
        <v>1181</v>
      </c>
      <c r="H850" s="208">
        <v>1</v>
      </c>
      <c r="I850" s="4"/>
      <c r="J850" s="15"/>
      <c r="K850" s="4" t="str">
        <f>_xlfn.IFNA(VLOOKUP($J850,WH_Data[],6,FALSE),"")</f>
        <v/>
      </c>
      <c r="L850" s="4" t="str">
        <f>_xlfn.IFNA(VLOOKUP($J850,WH_Data[],3,FALSE),"")</f>
        <v/>
      </c>
      <c r="M850" s="4" t="str">
        <f>_xlfn.IFNA(VLOOKUP($J850,WH_Data[],5,FALSE),"")</f>
        <v/>
      </c>
      <c r="N850" s="4" t="str">
        <f>_xlfn.IFNA(VLOOKUP($J850,WH_Data[],7,FALSE),"")</f>
        <v/>
      </c>
      <c r="O850" s="4" t="str">
        <f>_xlfn.IFNA(VLOOKUP($J850,WH_Data[],8,FALSE),"")</f>
        <v/>
      </c>
      <c r="P850" s="8"/>
      <c r="Q850" s="209">
        <f>Mon_ILR2[[#This Row],[Qty Required]]-Mon_ILR2[[#This Row],[QTY Transfer]]</f>
        <v>1</v>
      </c>
      <c r="R850" s="66" t="s">
        <v>905</v>
      </c>
      <c r="S850" s="66" t="s">
        <v>946</v>
      </c>
      <c r="T850" s="210">
        <f>_xlfn.IFNA(VLOOKUP(Mon_ILR2[[#This Row],[New Model]],PhilipsLibary[],4,FALSE),"0")</f>
        <v>7999</v>
      </c>
      <c r="U850" s="210">
        <f>_xlfn.IFNA(VLOOKUP(Mon_ILR2[[#This Row],[New Model]],PhilipsLibary[],5,FALSE),"0")</f>
        <v>0</v>
      </c>
      <c r="V850" s="210">
        <f>_xlfn.IFNA(VLOOKUP(Mon_ILR2[[#This Row],[New Model]],PhilipsLibary[],5,FALSE),"0")</f>
        <v>0</v>
      </c>
      <c r="W850" s="210">
        <f>Mon_ILR2[[#This Row],[Accessory Rate]]+Mon_ILR2[[#This Row],[Mounting Rate]]+Mon_ILR2[[#This Row],[Unit Rate]]*Mon_ILR2[[#This Row],[New Quantity Required ]]</f>
        <v>7999</v>
      </c>
      <c r="X850" s="8"/>
      <c r="Y850" s="246"/>
    </row>
    <row r="851" spans="2:25" ht="15.75" customHeight="1" x14ac:dyDescent="0.25">
      <c r="B851" s="207" t="s">
        <v>35</v>
      </c>
      <c r="C851" s="66" t="s">
        <v>820</v>
      </c>
      <c r="D851" s="4" t="s">
        <v>835</v>
      </c>
      <c r="E851" s="4" t="s">
        <v>1027</v>
      </c>
      <c r="F851" s="4" t="s">
        <v>944</v>
      </c>
      <c r="G851" s="4" t="s">
        <v>1181</v>
      </c>
      <c r="H851" s="208">
        <v>1</v>
      </c>
      <c r="I851" s="4"/>
      <c r="J851" s="15"/>
      <c r="K851" s="4" t="str">
        <f>_xlfn.IFNA(VLOOKUP($J851,WH_Data[],6,FALSE),"")</f>
        <v/>
      </c>
      <c r="L851" s="4" t="str">
        <f>_xlfn.IFNA(VLOOKUP($J851,WH_Data[],3,FALSE),"")</f>
        <v/>
      </c>
      <c r="M851" s="4" t="str">
        <f>_xlfn.IFNA(VLOOKUP($J851,WH_Data[],5,FALSE),"")</f>
        <v/>
      </c>
      <c r="N851" s="4" t="str">
        <f>_xlfn.IFNA(VLOOKUP($J851,WH_Data[],7,FALSE),"")</f>
        <v/>
      </c>
      <c r="O851" s="4" t="str">
        <f>_xlfn.IFNA(VLOOKUP($J851,WH_Data[],8,FALSE),"")</f>
        <v/>
      </c>
      <c r="P851" s="8"/>
      <c r="Q851" s="209">
        <f>Mon_ILR2[[#This Row],[Qty Required]]-Mon_ILR2[[#This Row],[QTY Transfer]]</f>
        <v>1</v>
      </c>
      <c r="R851" s="66" t="s">
        <v>905</v>
      </c>
      <c r="S851" s="66" t="s">
        <v>946</v>
      </c>
      <c r="T851" s="210">
        <f>_xlfn.IFNA(VLOOKUP(Mon_ILR2[[#This Row],[New Model]],PhilipsLibary[],4,FALSE),"0")</f>
        <v>7999</v>
      </c>
      <c r="U851" s="210">
        <f>_xlfn.IFNA(VLOOKUP(Mon_ILR2[[#This Row],[New Model]],PhilipsLibary[],5,FALSE),"0")</f>
        <v>0</v>
      </c>
      <c r="V851" s="210">
        <f>_xlfn.IFNA(VLOOKUP(Mon_ILR2[[#This Row],[New Model]],PhilipsLibary[],5,FALSE),"0")</f>
        <v>0</v>
      </c>
      <c r="W851" s="210">
        <f>Mon_ILR2[[#This Row],[Accessory Rate]]+Mon_ILR2[[#This Row],[Mounting Rate]]+Mon_ILR2[[#This Row],[Unit Rate]]*Mon_ILR2[[#This Row],[New Quantity Required ]]</f>
        <v>7999</v>
      </c>
      <c r="X851" s="8"/>
      <c r="Y851" s="246"/>
    </row>
    <row r="852" spans="2:25" ht="15.75" customHeight="1" x14ac:dyDescent="0.25">
      <c r="B852" s="207" t="s">
        <v>35</v>
      </c>
      <c r="C852" s="66" t="s">
        <v>700</v>
      </c>
      <c r="D852" s="4" t="s">
        <v>836</v>
      </c>
      <c r="E852" s="4" t="s">
        <v>1027</v>
      </c>
      <c r="F852" s="4" t="s">
        <v>944</v>
      </c>
      <c r="G852" s="4" t="s">
        <v>1181</v>
      </c>
      <c r="H852" s="208">
        <v>1</v>
      </c>
      <c r="I852" s="4"/>
      <c r="J852" s="15"/>
      <c r="K852" s="4" t="str">
        <f>_xlfn.IFNA(VLOOKUP($J852,WH_Data[],6,FALSE),"")</f>
        <v/>
      </c>
      <c r="L852" s="4" t="str">
        <f>_xlfn.IFNA(VLOOKUP($J852,WH_Data[],3,FALSE),"")</f>
        <v/>
      </c>
      <c r="M852" s="4" t="str">
        <f>_xlfn.IFNA(VLOOKUP($J852,WH_Data[],5,FALSE),"")</f>
        <v/>
      </c>
      <c r="N852" s="4" t="str">
        <f>_xlfn.IFNA(VLOOKUP($J852,WH_Data[],7,FALSE),"")</f>
        <v/>
      </c>
      <c r="O852" s="4" t="str">
        <f>_xlfn.IFNA(VLOOKUP($J852,WH_Data[],8,FALSE),"")</f>
        <v/>
      </c>
      <c r="P852" s="8"/>
      <c r="Q852" s="209">
        <f>Mon_ILR2[[#This Row],[Qty Required]]-Mon_ILR2[[#This Row],[QTY Transfer]]</f>
        <v>1</v>
      </c>
      <c r="R852" s="66" t="s">
        <v>905</v>
      </c>
      <c r="S852" s="66" t="s">
        <v>946</v>
      </c>
      <c r="T852" s="210">
        <f>_xlfn.IFNA(VLOOKUP(Mon_ILR2[[#This Row],[New Model]],PhilipsLibary[],4,FALSE),"0")</f>
        <v>7999</v>
      </c>
      <c r="U852" s="210">
        <f>_xlfn.IFNA(VLOOKUP(Mon_ILR2[[#This Row],[New Model]],PhilipsLibary[],5,FALSE),"0")</f>
        <v>0</v>
      </c>
      <c r="V852" s="210">
        <f>_xlfn.IFNA(VLOOKUP(Mon_ILR2[[#This Row],[New Model]],PhilipsLibary[],5,FALSE),"0")</f>
        <v>0</v>
      </c>
      <c r="W852" s="210">
        <f>Mon_ILR2[[#This Row],[Accessory Rate]]+Mon_ILR2[[#This Row],[Mounting Rate]]+Mon_ILR2[[#This Row],[Unit Rate]]*Mon_ILR2[[#This Row],[New Quantity Required ]]</f>
        <v>7999</v>
      </c>
      <c r="X852" s="8"/>
      <c r="Y852" s="246"/>
    </row>
    <row r="853" spans="2:25" ht="15.75" customHeight="1" x14ac:dyDescent="0.25">
      <c r="B853" s="207" t="s">
        <v>35</v>
      </c>
      <c r="C853" s="66" t="s">
        <v>820</v>
      </c>
      <c r="D853" s="4" t="s">
        <v>838</v>
      </c>
      <c r="E853" s="4" t="s">
        <v>1027</v>
      </c>
      <c r="F853" s="4" t="s">
        <v>944</v>
      </c>
      <c r="G853" s="4" t="s">
        <v>1181</v>
      </c>
      <c r="H853" s="208">
        <v>1</v>
      </c>
      <c r="I853" s="4"/>
      <c r="J853" s="15"/>
      <c r="K853" s="4" t="str">
        <f>_xlfn.IFNA(VLOOKUP($J853,WH_Data[],6,FALSE),"")</f>
        <v/>
      </c>
      <c r="L853" s="4" t="str">
        <f>_xlfn.IFNA(VLOOKUP($J853,WH_Data[],3,FALSE),"")</f>
        <v/>
      </c>
      <c r="M853" s="4" t="str">
        <f>_xlfn.IFNA(VLOOKUP($J853,WH_Data[],5,FALSE),"")</f>
        <v/>
      </c>
      <c r="N853" s="4" t="str">
        <f>_xlfn.IFNA(VLOOKUP($J853,WH_Data[],7,FALSE),"")</f>
        <v/>
      </c>
      <c r="O853" s="4" t="str">
        <f>_xlfn.IFNA(VLOOKUP($J853,WH_Data[],8,FALSE),"")</f>
        <v/>
      </c>
      <c r="P853" s="8"/>
      <c r="Q853" s="209">
        <f>Mon_ILR2[[#This Row],[Qty Required]]-Mon_ILR2[[#This Row],[QTY Transfer]]</f>
        <v>1</v>
      </c>
      <c r="R853" s="66" t="s">
        <v>905</v>
      </c>
      <c r="S853" s="66" t="s">
        <v>946</v>
      </c>
      <c r="T853" s="210">
        <f>_xlfn.IFNA(VLOOKUP(Mon_ILR2[[#This Row],[New Model]],PhilipsLibary[],4,FALSE),"0")</f>
        <v>7999</v>
      </c>
      <c r="U853" s="210">
        <f>_xlfn.IFNA(VLOOKUP(Mon_ILR2[[#This Row],[New Model]],PhilipsLibary[],5,FALSE),"0")</f>
        <v>0</v>
      </c>
      <c r="V853" s="210">
        <f>_xlfn.IFNA(VLOOKUP(Mon_ILR2[[#This Row],[New Model]],PhilipsLibary[],5,FALSE),"0")</f>
        <v>0</v>
      </c>
      <c r="W853" s="210">
        <f>Mon_ILR2[[#This Row],[Accessory Rate]]+Mon_ILR2[[#This Row],[Mounting Rate]]+Mon_ILR2[[#This Row],[Unit Rate]]*Mon_ILR2[[#This Row],[New Quantity Required ]]</f>
        <v>7999</v>
      </c>
      <c r="X853" s="8"/>
      <c r="Y853" s="246"/>
    </row>
    <row r="854" spans="2:25" ht="15.75" customHeight="1" x14ac:dyDescent="0.25">
      <c r="B854" s="207" t="s">
        <v>35</v>
      </c>
      <c r="C854" s="66" t="s">
        <v>820</v>
      </c>
      <c r="D854" s="4" t="s">
        <v>839</v>
      </c>
      <c r="E854" s="4" t="s">
        <v>1027</v>
      </c>
      <c r="F854" s="4" t="s">
        <v>944</v>
      </c>
      <c r="G854" s="4" t="s">
        <v>1181</v>
      </c>
      <c r="H854" s="208">
        <v>1</v>
      </c>
      <c r="I854" s="4"/>
      <c r="J854" s="15"/>
      <c r="K854" s="4" t="str">
        <f>_xlfn.IFNA(VLOOKUP($J854,WH_Data[],6,FALSE),"")</f>
        <v/>
      </c>
      <c r="L854" s="4" t="str">
        <f>_xlfn.IFNA(VLOOKUP($J854,WH_Data[],3,FALSE),"")</f>
        <v/>
      </c>
      <c r="M854" s="4" t="str">
        <f>_xlfn.IFNA(VLOOKUP($J854,WH_Data[],5,FALSE),"")</f>
        <v/>
      </c>
      <c r="N854" s="4" t="str">
        <f>_xlfn.IFNA(VLOOKUP($J854,WH_Data[],7,FALSE),"")</f>
        <v/>
      </c>
      <c r="O854" s="4" t="str">
        <f>_xlfn.IFNA(VLOOKUP($J854,WH_Data[],8,FALSE),"")</f>
        <v/>
      </c>
      <c r="P854" s="8"/>
      <c r="Q854" s="209">
        <f>Mon_ILR2[[#This Row],[Qty Required]]-Mon_ILR2[[#This Row],[QTY Transfer]]</f>
        <v>1</v>
      </c>
      <c r="R854" s="66" t="s">
        <v>905</v>
      </c>
      <c r="S854" s="66" t="s">
        <v>946</v>
      </c>
      <c r="T854" s="210">
        <f>_xlfn.IFNA(VLOOKUP(Mon_ILR2[[#This Row],[New Model]],PhilipsLibary[],4,FALSE),"0")</f>
        <v>7999</v>
      </c>
      <c r="U854" s="210">
        <f>_xlfn.IFNA(VLOOKUP(Mon_ILR2[[#This Row],[New Model]],PhilipsLibary[],5,FALSE),"0")</f>
        <v>0</v>
      </c>
      <c r="V854" s="210">
        <f>_xlfn.IFNA(VLOOKUP(Mon_ILR2[[#This Row],[New Model]],PhilipsLibary[],5,FALSE),"0")</f>
        <v>0</v>
      </c>
      <c r="W854" s="210">
        <f>Mon_ILR2[[#This Row],[Accessory Rate]]+Mon_ILR2[[#This Row],[Mounting Rate]]+Mon_ILR2[[#This Row],[Unit Rate]]*Mon_ILR2[[#This Row],[New Quantity Required ]]</f>
        <v>7999</v>
      </c>
      <c r="X854" s="8"/>
      <c r="Y854" s="246"/>
    </row>
    <row r="855" spans="2:25" ht="15.75" customHeight="1" x14ac:dyDescent="0.25">
      <c r="B855" s="207" t="s">
        <v>35</v>
      </c>
      <c r="C855" s="66" t="s">
        <v>820</v>
      </c>
      <c r="D855" s="4" t="s">
        <v>840</v>
      </c>
      <c r="E855" s="4" t="s">
        <v>1027</v>
      </c>
      <c r="F855" s="4" t="s">
        <v>944</v>
      </c>
      <c r="G855" s="4" t="s">
        <v>1181</v>
      </c>
      <c r="H855" s="208">
        <v>1</v>
      </c>
      <c r="I855" s="4"/>
      <c r="J855" s="15"/>
      <c r="K855" s="4" t="str">
        <f>_xlfn.IFNA(VLOOKUP($J855,WH_Data[],6,FALSE),"")</f>
        <v/>
      </c>
      <c r="L855" s="4" t="str">
        <f>_xlfn.IFNA(VLOOKUP($J855,WH_Data[],3,FALSE),"")</f>
        <v/>
      </c>
      <c r="M855" s="4" t="str">
        <f>_xlfn.IFNA(VLOOKUP($J855,WH_Data[],5,FALSE),"")</f>
        <v/>
      </c>
      <c r="N855" s="4" t="str">
        <f>_xlfn.IFNA(VLOOKUP($J855,WH_Data[],7,FALSE),"")</f>
        <v/>
      </c>
      <c r="O855" s="4" t="str">
        <f>_xlfn.IFNA(VLOOKUP($J855,WH_Data[],8,FALSE),"")</f>
        <v/>
      </c>
      <c r="P855" s="8"/>
      <c r="Q855" s="209">
        <f>Mon_ILR2[[#This Row],[Qty Required]]-Mon_ILR2[[#This Row],[QTY Transfer]]</f>
        <v>1</v>
      </c>
      <c r="R855" s="66" t="s">
        <v>905</v>
      </c>
      <c r="S855" s="66" t="s">
        <v>946</v>
      </c>
      <c r="T855" s="210">
        <f>_xlfn.IFNA(VLOOKUP(Mon_ILR2[[#This Row],[New Model]],PhilipsLibary[],4,FALSE),"0")</f>
        <v>7999</v>
      </c>
      <c r="U855" s="210">
        <f>_xlfn.IFNA(VLOOKUP(Mon_ILR2[[#This Row],[New Model]],PhilipsLibary[],5,FALSE),"0")</f>
        <v>0</v>
      </c>
      <c r="V855" s="210">
        <f>_xlfn.IFNA(VLOOKUP(Mon_ILR2[[#This Row],[New Model]],PhilipsLibary[],5,FALSE),"0")</f>
        <v>0</v>
      </c>
      <c r="W855" s="210">
        <f>Mon_ILR2[[#This Row],[Accessory Rate]]+Mon_ILR2[[#This Row],[Mounting Rate]]+Mon_ILR2[[#This Row],[Unit Rate]]*Mon_ILR2[[#This Row],[New Quantity Required ]]</f>
        <v>7999</v>
      </c>
      <c r="X855" s="8"/>
      <c r="Y855" s="246"/>
    </row>
    <row r="856" spans="2:25" ht="15.75" customHeight="1" x14ac:dyDescent="0.25">
      <c r="B856" s="207" t="s">
        <v>35</v>
      </c>
      <c r="C856" s="66" t="s">
        <v>820</v>
      </c>
      <c r="D856" s="4" t="s">
        <v>841</v>
      </c>
      <c r="E856" s="4" t="s">
        <v>1027</v>
      </c>
      <c r="F856" s="4" t="s">
        <v>944</v>
      </c>
      <c r="G856" s="4" t="s">
        <v>1181</v>
      </c>
      <c r="H856" s="208">
        <v>1</v>
      </c>
      <c r="I856" s="4"/>
      <c r="J856" s="15"/>
      <c r="K856" s="4" t="str">
        <f>_xlfn.IFNA(VLOOKUP($J856,WH_Data[],6,FALSE),"")</f>
        <v/>
      </c>
      <c r="L856" s="4" t="str">
        <f>_xlfn.IFNA(VLOOKUP($J856,WH_Data[],3,FALSE),"")</f>
        <v/>
      </c>
      <c r="M856" s="4" t="str">
        <f>_xlfn.IFNA(VLOOKUP($J856,WH_Data[],5,FALSE),"")</f>
        <v/>
      </c>
      <c r="N856" s="4" t="str">
        <f>_xlfn.IFNA(VLOOKUP($J856,WH_Data[],7,FALSE),"")</f>
        <v/>
      </c>
      <c r="O856" s="4" t="str">
        <f>_xlfn.IFNA(VLOOKUP($J856,WH_Data[],8,FALSE),"")</f>
        <v/>
      </c>
      <c r="P856" s="8"/>
      <c r="Q856" s="209">
        <f>Mon_ILR2[[#This Row],[Qty Required]]-Mon_ILR2[[#This Row],[QTY Transfer]]</f>
        <v>1</v>
      </c>
      <c r="R856" s="66" t="s">
        <v>905</v>
      </c>
      <c r="S856" s="66" t="s">
        <v>946</v>
      </c>
      <c r="T856" s="210">
        <f>_xlfn.IFNA(VLOOKUP(Mon_ILR2[[#This Row],[New Model]],PhilipsLibary[],4,FALSE),"0")</f>
        <v>7999</v>
      </c>
      <c r="U856" s="210">
        <f>_xlfn.IFNA(VLOOKUP(Mon_ILR2[[#This Row],[New Model]],PhilipsLibary[],5,FALSE),"0")</f>
        <v>0</v>
      </c>
      <c r="V856" s="210">
        <f>_xlfn.IFNA(VLOOKUP(Mon_ILR2[[#This Row],[New Model]],PhilipsLibary[],5,FALSE),"0")</f>
        <v>0</v>
      </c>
      <c r="W856" s="210">
        <f>Mon_ILR2[[#This Row],[Accessory Rate]]+Mon_ILR2[[#This Row],[Mounting Rate]]+Mon_ILR2[[#This Row],[Unit Rate]]*Mon_ILR2[[#This Row],[New Quantity Required ]]</f>
        <v>7999</v>
      </c>
      <c r="X856" s="8"/>
      <c r="Y856" s="246"/>
    </row>
    <row r="857" spans="2:25" ht="15.75" customHeight="1" x14ac:dyDescent="0.25">
      <c r="B857" s="207" t="s">
        <v>35</v>
      </c>
      <c r="C857" s="66" t="s">
        <v>844</v>
      </c>
      <c r="D857" s="4" t="s">
        <v>845</v>
      </c>
      <c r="E857" s="4" t="s">
        <v>1027</v>
      </c>
      <c r="F857" s="4" t="s">
        <v>944</v>
      </c>
      <c r="G857" s="4" t="s">
        <v>1181</v>
      </c>
      <c r="H857" s="208">
        <v>1</v>
      </c>
      <c r="I857" s="4"/>
      <c r="J857" s="15"/>
      <c r="K857" s="4" t="str">
        <f>_xlfn.IFNA(VLOOKUP($J857,WH_Data[],6,FALSE),"")</f>
        <v/>
      </c>
      <c r="L857" s="4" t="str">
        <f>_xlfn.IFNA(VLOOKUP($J857,WH_Data[],3,FALSE),"")</f>
        <v/>
      </c>
      <c r="M857" s="4" t="str">
        <f>_xlfn.IFNA(VLOOKUP($J857,WH_Data[],5,FALSE),"")</f>
        <v/>
      </c>
      <c r="N857" s="4" t="str">
        <f>_xlfn.IFNA(VLOOKUP($J857,WH_Data[],7,FALSE),"")</f>
        <v/>
      </c>
      <c r="O857" s="4" t="str">
        <f>_xlfn.IFNA(VLOOKUP($J857,WH_Data[],8,FALSE),"")</f>
        <v/>
      </c>
      <c r="P857" s="8"/>
      <c r="Q857" s="209">
        <f>Mon_ILR2[[#This Row],[Qty Required]]-Mon_ILR2[[#This Row],[QTY Transfer]]</f>
        <v>1</v>
      </c>
      <c r="R857" s="66" t="s">
        <v>905</v>
      </c>
      <c r="S857" s="66" t="s">
        <v>946</v>
      </c>
      <c r="T857" s="210">
        <f>_xlfn.IFNA(VLOOKUP(Mon_ILR2[[#This Row],[New Model]],PhilipsLibary[],4,FALSE),"0")</f>
        <v>7999</v>
      </c>
      <c r="U857" s="210">
        <f>_xlfn.IFNA(VLOOKUP(Mon_ILR2[[#This Row],[New Model]],PhilipsLibary[],5,FALSE),"0")</f>
        <v>0</v>
      </c>
      <c r="V857" s="210">
        <f>_xlfn.IFNA(VLOOKUP(Mon_ILR2[[#This Row],[New Model]],PhilipsLibary[],5,FALSE),"0")</f>
        <v>0</v>
      </c>
      <c r="W857" s="210">
        <f>Mon_ILR2[[#This Row],[Accessory Rate]]+Mon_ILR2[[#This Row],[Mounting Rate]]+Mon_ILR2[[#This Row],[Unit Rate]]*Mon_ILR2[[#This Row],[New Quantity Required ]]</f>
        <v>7999</v>
      </c>
      <c r="X857" s="8"/>
      <c r="Y857" s="246"/>
    </row>
    <row r="858" spans="2:25" ht="15.75" customHeight="1" x14ac:dyDescent="0.25">
      <c r="B858" s="207" t="s">
        <v>35</v>
      </c>
      <c r="C858" s="66" t="s">
        <v>820</v>
      </c>
      <c r="D858" s="4" t="s">
        <v>846</v>
      </c>
      <c r="E858" s="4" t="s">
        <v>1027</v>
      </c>
      <c r="F858" s="4" t="s">
        <v>944</v>
      </c>
      <c r="G858" s="4" t="s">
        <v>1181</v>
      </c>
      <c r="H858" s="208">
        <v>1</v>
      </c>
      <c r="I858" s="4"/>
      <c r="J858" s="15"/>
      <c r="K858" s="4" t="str">
        <f>_xlfn.IFNA(VLOOKUP($J858,WH_Data[],6,FALSE),"")</f>
        <v/>
      </c>
      <c r="L858" s="4" t="str">
        <f>_xlfn.IFNA(VLOOKUP($J858,WH_Data[],3,FALSE),"")</f>
        <v/>
      </c>
      <c r="M858" s="4" t="str">
        <f>_xlfn.IFNA(VLOOKUP($J858,WH_Data[],5,FALSE),"")</f>
        <v/>
      </c>
      <c r="N858" s="4" t="str">
        <f>_xlfn.IFNA(VLOOKUP($J858,WH_Data[],7,FALSE),"")</f>
        <v/>
      </c>
      <c r="O858" s="4" t="str">
        <f>_xlfn.IFNA(VLOOKUP($J858,WH_Data[],8,FALSE),"")</f>
        <v/>
      </c>
      <c r="P858" s="8"/>
      <c r="Q858" s="209">
        <f>Mon_ILR2[[#This Row],[Qty Required]]-Mon_ILR2[[#This Row],[QTY Transfer]]</f>
        <v>1</v>
      </c>
      <c r="R858" s="66" t="s">
        <v>905</v>
      </c>
      <c r="S858" s="66" t="s">
        <v>946</v>
      </c>
      <c r="T858" s="210">
        <f>_xlfn.IFNA(VLOOKUP(Mon_ILR2[[#This Row],[New Model]],PhilipsLibary[],4,FALSE),"0")</f>
        <v>7999</v>
      </c>
      <c r="U858" s="210">
        <f>_xlfn.IFNA(VLOOKUP(Mon_ILR2[[#This Row],[New Model]],PhilipsLibary[],5,FALSE),"0")</f>
        <v>0</v>
      </c>
      <c r="V858" s="210">
        <f>_xlfn.IFNA(VLOOKUP(Mon_ILR2[[#This Row],[New Model]],PhilipsLibary[],5,FALSE),"0")</f>
        <v>0</v>
      </c>
      <c r="W858" s="210">
        <f>Mon_ILR2[[#This Row],[Accessory Rate]]+Mon_ILR2[[#This Row],[Mounting Rate]]+Mon_ILR2[[#This Row],[Unit Rate]]*Mon_ILR2[[#This Row],[New Quantity Required ]]</f>
        <v>7999</v>
      </c>
      <c r="X858" s="8"/>
      <c r="Y858" s="246"/>
    </row>
    <row r="859" spans="2:25" ht="15.75" customHeight="1" x14ac:dyDescent="0.25">
      <c r="B859" s="207" t="s">
        <v>35</v>
      </c>
      <c r="C859" s="66" t="s">
        <v>820</v>
      </c>
      <c r="D859" s="4" t="s">
        <v>847</v>
      </c>
      <c r="E859" s="4" t="s">
        <v>1027</v>
      </c>
      <c r="F859" s="4" t="s">
        <v>944</v>
      </c>
      <c r="G859" s="4" t="s">
        <v>1181</v>
      </c>
      <c r="H859" s="208">
        <v>1</v>
      </c>
      <c r="I859" s="4"/>
      <c r="J859" s="15"/>
      <c r="K859" s="4" t="str">
        <f>_xlfn.IFNA(VLOOKUP($J859,WH_Data[],6,FALSE),"")</f>
        <v/>
      </c>
      <c r="L859" s="4" t="str">
        <f>_xlfn.IFNA(VLOOKUP($J859,WH_Data[],3,FALSE),"")</f>
        <v/>
      </c>
      <c r="M859" s="4" t="str">
        <f>_xlfn.IFNA(VLOOKUP($J859,WH_Data[],5,FALSE),"")</f>
        <v/>
      </c>
      <c r="N859" s="4" t="str">
        <f>_xlfn.IFNA(VLOOKUP($J859,WH_Data[],7,FALSE),"")</f>
        <v/>
      </c>
      <c r="O859" s="4" t="str">
        <f>_xlfn.IFNA(VLOOKUP($J859,WH_Data[],8,FALSE),"")</f>
        <v/>
      </c>
      <c r="P859" s="8"/>
      <c r="Q859" s="209">
        <f>Mon_ILR2[[#This Row],[Qty Required]]-Mon_ILR2[[#This Row],[QTY Transfer]]</f>
        <v>1</v>
      </c>
      <c r="R859" s="66" t="s">
        <v>905</v>
      </c>
      <c r="S859" s="66" t="s">
        <v>946</v>
      </c>
      <c r="T859" s="210">
        <f>_xlfn.IFNA(VLOOKUP(Mon_ILR2[[#This Row],[New Model]],PhilipsLibary[],4,FALSE),"0")</f>
        <v>7999</v>
      </c>
      <c r="U859" s="210">
        <f>_xlfn.IFNA(VLOOKUP(Mon_ILR2[[#This Row],[New Model]],PhilipsLibary[],5,FALSE),"0")</f>
        <v>0</v>
      </c>
      <c r="V859" s="210">
        <f>_xlfn.IFNA(VLOOKUP(Mon_ILR2[[#This Row],[New Model]],PhilipsLibary[],5,FALSE),"0")</f>
        <v>0</v>
      </c>
      <c r="W859" s="210">
        <f>Mon_ILR2[[#This Row],[Accessory Rate]]+Mon_ILR2[[#This Row],[Mounting Rate]]+Mon_ILR2[[#This Row],[Unit Rate]]*Mon_ILR2[[#This Row],[New Quantity Required ]]</f>
        <v>7999</v>
      </c>
      <c r="X859" s="8"/>
      <c r="Y859" s="246"/>
    </row>
    <row r="860" spans="2:25" ht="15.75" customHeight="1" x14ac:dyDescent="0.25">
      <c r="B860" s="207" t="s">
        <v>35</v>
      </c>
      <c r="C860" s="66" t="s">
        <v>844</v>
      </c>
      <c r="D860" s="4" t="s">
        <v>848</v>
      </c>
      <c r="E860" s="4" t="s">
        <v>1027</v>
      </c>
      <c r="F860" s="4" t="s">
        <v>944</v>
      </c>
      <c r="G860" s="4" t="s">
        <v>1181</v>
      </c>
      <c r="H860" s="208">
        <v>1</v>
      </c>
      <c r="I860" s="4"/>
      <c r="J860" s="15"/>
      <c r="K860" s="4" t="str">
        <f>_xlfn.IFNA(VLOOKUP($J860,WH_Data[],6,FALSE),"")</f>
        <v/>
      </c>
      <c r="L860" s="4" t="str">
        <f>_xlfn.IFNA(VLOOKUP($J860,WH_Data[],3,FALSE),"")</f>
        <v/>
      </c>
      <c r="M860" s="4" t="str">
        <f>_xlfn.IFNA(VLOOKUP($J860,WH_Data[],5,FALSE),"")</f>
        <v/>
      </c>
      <c r="N860" s="4" t="str">
        <f>_xlfn.IFNA(VLOOKUP($J860,WH_Data[],7,FALSE),"")</f>
        <v/>
      </c>
      <c r="O860" s="4" t="str">
        <f>_xlfn.IFNA(VLOOKUP($J860,WH_Data[],8,FALSE),"")</f>
        <v/>
      </c>
      <c r="P860" s="8"/>
      <c r="Q860" s="209">
        <f>Mon_ILR2[[#This Row],[Qty Required]]-Mon_ILR2[[#This Row],[QTY Transfer]]</f>
        <v>1</v>
      </c>
      <c r="R860" s="66" t="s">
        <v>905</v>
      </c>
      <c r="S860" s="66" t="s">
        <v>946</v>
      </c>
      <c r="T860" s="210">
        <f>_xlfn.IFNA(VLOOKUP(Mon_ILR2[[#This Row],[New Model]],PhilipsLibary[],4,FALSE),"0")</f>
        <v>7999</v>
      </c>
      <c r="U860" s="210">
        <f>_xlfn.IFNA(VLOOKUP(Mon_ILR2[[#This Row],[New Model]],PhilipsLibary[],5,FALSE),"0")</f>
        <v>0</v>
      </c>
      <c r="V860" s="210">
        <f>_xlfn.IFNA(VLOOKUP(Mon_ILR2[[#This Row],[New Model]],PhilipsLibary[],5,FALSE),"0")</f>
        <v>0</v>
      </c>
      <c r="W860" s="210">
        <f>Mon_ILR2[[#This Row],[Accessory Rate]]+Mon_ILR2[[#This Row],[Mounting Rate]]+Mon_ILR2[[#This Row],[Unit Rate]]*Mon_ILR2[[#This Row],[New Quantity Required ]]</f>
        <v>7999</v>
      </c>
      <c r="X860" s="8"/>
      <c r="Y860" s="246"/>
    </row>
    <row r="861" spans="2:25" ht="15.75" customHeight="1" x14ac:dyDescent="0.25">
      <c r="B861" s="207" t="s">
        <v>35</v>
      </c>
      <c r="C861" s="66" t="s">
        <v>820</v>
      </c>
      <c r="D861" s="4" t="s">
        <v>849</v>
      </c>
      <c r="E861" s="4" t="s">
        <v>1027</v>
      </c>
      <c r="F861" s="4" t="s">
        <v>944</v>
      </c>
      <c r="G861" s="4" t="s">
        <v>1181</v>
      </c>
      <c r="H861" s="208">
        <v>1</v>
      </c>
      <c r="I861" s="4"/>
      <c r="J861" s="15"/>
      <c r="K861" s="4" t="str">
        <f>_xlfn.IFNA(VLOOKUP($J861,WH_Data[],6,FALSE),"")</f>
        <v/>
      </c>
      <c r="L861" s="4" t="str">
        <f>_xlfn.IFNA(VLOOKUP($J861,WH_Data[],3,FALSE),"")</f>
        <v/>
      </c>
      <c r="M861" s="4" t="str">
        <f>_xlfn.IFNA(VLOOKUP($J861,WH_Data[],5,FALSE),"")</f>
        <v/>
      </c>
      <c r="N861" s="4" t="str">
        <f>_xlfn.IFNA(VLOOKUP($J861,WH_Data[],7,FALSE),"")</f>
        <v/>
      </c>
      <c r="O861" s="4" t="str">
        <f>_xlfn.IFNA(VLOOKUP($J861,WH_Data[],8,FALSE),"")</f>
        <v/>
      </c>
      <c r="P861" s="8"/>
      <c r="Q861" s="209">
        <f>Mon_ILR2[[#This Row],[Qty Required]]-Mon_ILR2[[#This Row],[QTY Transfer]]</f>
        <v>1</v>
      </c>
      <c r="R861" s="66" t="s">
        <v>905</v>
      </c>
      <c r="S861" s="66" t="s">
        <v>946</v>
      </c>
      <c r="T861" s="210">
        <f>_xlfn.IFNA(VLOOKUP(Mon_ILR2[[#This Row],[New Model]],PhilipsLibary[],4,FALSE),"0")</f>
        <v>7999</v>
      </c>
      <c r="U861" s="210">
        <f>_xlfn.IFNA(VLOOKUP(Mon_ILR2[[#This Row],[New Model]],PhilipsLibary[],5,FALSE),"0")</f>
        <v>0</v>
      </c>
      <c r="V861" s="210">
        <f>_xlfn.IFNA(VLOOKUP(Mon_ILR2[[#This Row],[New Model]],PhilipsLibary[],5,FALSE),"0")</f>
        <v>0</v>
      </c>
      <c r="W861" s="210">
        <f>Mon_ILR2[[#This Row],[Accessory Rate]]+Mon_ILR2[[#This Row],[Mounting Rate]]+Mon_ILR2[[#This Row],[Unit Rate]]*Mon_ILR2[[#This Row],[New Quantity Required ]]</f>
        <v>7999</v>
      </c>
      <c r="X861" s="8"/>
      <c r="Y861" s="246"/>
    </row>
    <row r="862" spans="2:25" ht="15.75" customHeight="1" x14ac:dyDescent="0.25">
      <c r="B862" s="207" t="s">
        <v>35</v>
      </c>
      <c r="C862" s="66" t="s">
        <v>820</v>
      </c>
      <c r="D862" s="4" t="s">
        <v>850</v>
      </c>
      <c r="E862" s="4" t="s">
        <v>1027</v>
      </c>
      <c r="F862" s="4" t="s">
        <v>944</v>
      </c>
      <c r="G862" s="4" t="s">
        <v>1181</v>
      </c>
      <c r="H862" s="208">
        <v>1</v>
      </c>
      <c r="I862" s="4"/>
      <c r="J862" s="15"/>
      <c r="K862" s="4" t="str">
        <f>_xlfn.IFNA(VLOOKUP($J862,WH_Data[],6,FALSE),"")</f>
        <v/>
      </c>
      <c r="L862" s="4" t="str">
        <f>_xlfn.IFNA(VLOOKUP($J862,WH_Data[],3,FALSE),"")</f>
        <v/>
      </c>
      <c r="M862" s="4" t="str">
        <f>_xlfn.IFNA(VLOOKUP($J862,WH_Data[],5,FALSE),"")</f>
        <v/>
      </c>
      <c r="N862" s="4" t="str">
        <f>_xlfn.IFNA(VLOOKUP($J862,WH_Data[],7,FALSE),"")</f>
        <v/>
      </c>
      <c r="O862" s="4" t="str">
        <f>_xlfn.IFNA(VLOOKUP($J862,WH_Data[],8,FALSE),"")</f>
        <v/>
      </c>
      <c r="P862" s="8"/>
      <c r="Q862" s="209">
        <f>Mon_ILR2[[#This Row],[Qty Required]]-Mon_ILR2[[#This Row],[QTY Transfer]]</f>
        <v>1</v>
      </c>
      <c r="R862" s="66" t="s">
        <v>905</v>
      </c>
      <c r="S862" s="66" t="s">
        <v>946</v>
      </c>
      <c r="T862" s="210">
        <f>_xlfn.IFNA(VLOOKUP(Mon_ILR2[[#This Row],[New Model]],PhilipsLibary[],4,FALSE),"0")</f>
        <v>7999</v>
      </c>
      <c r="U862" s="210">
        <f>_xlfn.IFNA(VLOOKUP(Mon_ILR2[[#This Row],[New Model]],PhilipsLibary[],5,FALSE),"0")</f>
        <v>0</v>
      </c>
      <c r="V862" s="210">
        <f>_xlfn.IFNA(VLOOKUP(Mon_ILR2[[#This Row],[New Model]],PhilipsLibary[],5,FALSE),"0")</f>
        <v>0</v>
      </c>
      <c r="W862" s="210">
        <f>Mon_ILR2[[#This Row],[Accessory Rate]]+Mon_ILR2[[#This Row],[Mounting Rate]]+Mon_ILR2[[#This Row],[Unit Rate]]*Mon_ILR2[[#This Row],[New Quantity Required ]]</f>
        <v>7999</v>
      </c>
      <c r="X862" s="8"/>
      <c r="Y862" s="246"/>
    </row>
    <row r="863" spans="2:25" ht="15.75" customHeight="1" x14ac:dyDescent="0.25">
      <c r="B863" s="207" t="s">
        <v>35</v>
      </c>
      <c r="C863" s="66" t="s">
        <v>700</v>
      </c>
      <c r="D863" s="4" t="s">
        <v>851</v>
      </c>
      <c r="E863" s="4" t="s">
        <v>1027</v>
      </c>
      <c r="F863" s="4" t="s">
        <v>944</v>
      </c>
      <c r="G863" s="4" t="s">
        <v>1181</v>
      </c>
      <c r="H863" s="208">
        <v>1</v>
      </c>
      <c r="I863" s="4"/>
      <c r="J863" s="15"/>
      <c r="K863" s="4" t="str">
        <f>_xlfn.IFNA(VLOOKUP($J863,WH_Data[],6,FALSE),"")</f>
        <v/>
      </c>
      <c r="L863" s="4" t="str">
        <f>_xlfn.IFNA(VLOOKUP($J863,WH_Data[],3,FALSE),"")</f>
        <v/>
      </c>
      <c r="M863" s="4" t="str">
        <f>_xlfn.IFNA(VLOOKUP($J863,WH_Data[],5,FALSE),"")</f>
        <v/>
      </c>
      <c r="N863" s="4" t="str">
        <f>_xlfn.IFNA(VLOOKUP($J863,WH_Data[],7,FALSE),"")</f>
        <v/>
      </c>
      <c r="O863" s="4" t="str">
        <f>_xlfn.IFNA(VLOOKUP($J863,WH_Data[],8,FALSE),"")</f>
        <v/>
      </c>
      <c r="P863" s="8"/>
      <c r="Q863" s="209">
        <f>Mon_ILR2[[#This Row],[Qty Required]]-Mon_ILR2[[#This Row],[QTY Transfer]]</f>
        <v>1</v>
      </c>
      <c r="R863" s="66" t="s">
        <v>905</v>
      </c>
      <c r="S863" s="66" t="s">
        <v>946</v>
      </c>
      <c r="T863" s="210">
        <f>_xlfn.IFNA(VLOOKUP(Mon_ILR2[[#This Row],[New Model]],PhilipsLibary[],4,FALSE),"0")</f>
        <v>7999</v>
      </c>
      <c r="U863" s="210">
        <f>_xlfn.IFNA(VLOOKUP(Mon_ILR2[[#This Row],[New Model]],PhilipsLibary[],5,FALSE),"0")</f>
        <v>0</v>
      </c>
      <c r="V863" s="210">
        <f>_xlfn.IFNA(VLOOKUP(Mon_ILR2[[#This Row],[New Model]],PhilipsLibary[],5,FALSE),"0")</f>
        <v>0</v>
      </c>
      <c r="W863" s="210">
        <f>Mon_ILR2[[#This Row],[Accessory Rate]]+Mon_ILR2[[#This Row],[Mounting Rate]]+Mon_ILR2[[#This Row],[Unit Rate]]*Mon_ILR2[[#This Row],[New Quantity Required ]]</f>
        <v>7999</v>
      </c>
      <c r="X863" s="8"/>
      <c r="Y863" s="246"/>
    </row>
    <row r="864" spans="2:25" ht="15.75" customHeight="1" x14ac:dyDescent="0.25">
      <c r="B864" s="207" t="s">
        <v>35</v>
      </c>
      <c r="C864" s="66" t="s">
        <v>410</v>
      </c>
      <c r="D864" s="4" t="s">
        <v>854</v>
      </c>
      <c r="E864" s="4" t="s">
        <v>1027</v>
      </c>
      <c r="F864" s="4" t="s">
        <v>944</v>
      </c>
      <c r="G864" s="4" t="s">
        <v>1181</v>
      </c>
      <c r="H864" s="208">
        <v>1</v>
      </c>
      <c r="I864" s="4"/>
      <c r="J864" s="15"/>
      <c r="K864" s="4" t="str">
        <f>_xlfn.IFNA(VLOOKUP($J864,WH_Data[],6,FALSE),"")</f>
        <v/>
      </c>
      <c r="L864" s="4" t="str">
        <f>_xlfn.IFNA(VLOOKUP($J864,WH_Data[],3,FALSE),"")</f>
        <v/>
      </c>
      <c r="M864" s="4" t="str">
        <f>_xlfn.IFNA(VLOOKUP($J864,WH_Data[],5,FALSE),"")</f>
        <v/>
      </c>
      <c r="N864" s="4" t="str">
        <f>_xlfn.IFNA(VLOOKUP($J864,WH_Data[],7,FALSE),"")</f>
        <v/>
      </c>
      <c r="O864" s="4" t="str">
        <f>_xlfn.IFNA(VLOOKUP($J864,WH_Data[],8,FALSE),"")</f>
        <v/>
      </c>
      <c r="P864" s="8"/>
      <c r="Q864" s="209">
        <f>Mon_ILR2[[#This Row],[Qty Required]]-Mon_ILR2[[#This Row],[QTY Transfer]]</f>
        <v>1</v>
      </c>
      <c r="R864" s="66" t="s">
        <v>905</v>
      </c>
      <c r="S864" s="66" t="s">
        <v>946</v>
      </c>
      <c r="T864" s="210">
        <f>_xlfn.IFNA(VLOOKUP(Mon_ILR2[[#This Row],[New Model]],PhilipsLibary[],4,FALSE),"0")</f>
        <v>7999</v>
      </c>
      <c r="U864" s="210">
        <f>_xlfn.IFNA(VLOOKUP(Mon_ILR2[[#This Row],[New Model]],PhilipsLibary[],5,FALSE),"0")</f>
        <v>0</v>
      </c>
      <c r="V864" s="210">
        <f>_xlfn.IFNA(VLOOKUP(Mon_ILR2[[#This Row],[New Model]],PhilipsLibary[],5,FALSE),"0")</f>
        <v>0</v>
      </c>
      <c r="W864" s="210">
        <f>Mon_ILR2[[#This Row],[Accessory Rate]]+Mon_ILR2[[#This Row],[Mounting Rate]]+Mon_ILR2[[#This Row],[Unit Rate]]*Mon_ILR2[[#This Row],[New Quantity Required ]]</f>
        <v>7999</v>
      </c>
      <c r="X864" s="8"/>
      <c r="Y864" s="246"/>
    </row>
    <row r="865" spans="2:25" ht="15.75" customHeight="1" x14ac:dyDescent="0.25">
      <c r="B865" s="207" t="s">
        <v>35</v>
      </c>
      <c r="C865" s="66" t="s">
        <v>410</v>
      </c>
      <c r="D865" s="4" t="s">
        <v>855</v>
      </c>
      <c r="E865" s="4" t="s">
        <v>1027</v>
      </c>
      <c r="F865" s="4" t="s">
        <v>944</v>
      </c>
      <c r="G865" s="4" t="s">
        <v>1181</v>
      </c>
      <c r="H865" s="208">
        <v>1</v>
      </c>
      <c r="I865" s="4"/>
      <c r="J865" s="15"/>
      <c r="K865" s="4" t="str">
        <f>_xlfn.IFNA(VLOOKUP($J865,WH_Data[],6,FALSE),"")</f>
        <v/>
      </c>
      <c r="L865" s="4" t="str">
        <f>_xlfn.IFNA(VLOOKUP($J865,WH_Data[],3,FALSE),"")</f>
        <v/>
      </c>
      <c r="M865" s="4" t="str">
        <f>_xlfn.IFNA(VLOOKUP($J865,WH_Data[],5,FALSE),"")</f>
        <v/>
      </c>
      <c r="N865" s="4" t="str">
        <f>_xlfn.IFNA(VLOOKUP($J865,WH_Data[],7,FALSE),"")</f>
        <v/>
      </c>
      <c r="O865" s="4" t="str">
        <f>_xlfn.IFNA(VLOOKUP($J865,WH_Data[],8,FALSE),"")</f>
        <v/>
      </c>
      <c r="P865" s="8"/>
      <c r="Q865" s="209">
        <f>Mon_ILR2[[#This Row],[Qty Required]]-Mon_ILR2[[#This Row],[QTY Transfer]]</f>
        <v>1</v>
      </c>
      <c r="R865" s="66" t="s">
        <v>905</v>
      </c>
      <c r="S865" s="66" t="s">
        <v>946</v>
      </c>
      <c r="T865" s="210">
        <f>_xlfn.IFNA(VLOOKUP(Mon_ILR2[[#This Row],[New Model]],PhilipsLibary[],4,FALSE),"0")</f>
        <v>7999</v>
      </c>
      <c r="U865" s="210">
        <f>_xlfn.IFNA(VLOOKUP(Mon_ILR2[[#This Row],[New Model]],PhilipsLibary[],5,FALSE),"0")</f>
        <v>0</v>
      </c>
      <c r="V865" s="210">
        <f>_xlfn.IFNA(VLOOKUP(Mon_ILR2[[#This Row],[New Model]],PhilipsLibary[],5,FALSE),"0")</f>
        <v>0</v>
      </c>
      <c r="W865" s="210">
        <f>Mon_ILR2[[#This Row],[Accessory Rate]]+Mon_ILR2[[#This Row],[Mounting Rate]]+Mon_ILR2[[#This Row],[Unit Rate]]*Mon_ILR2[[#This Row],[New Quantity Required ]]</f>
        <v>7999</v>
      </c>
      <c r="X865" s="8"/>
      <c r="Y865" s="246"/>
    </row>
    <row r="866" spans="2:25" ht="15.75" customHeight="1" x14ac:dyDescent="0.25">
      <c r="B866" s="207" t="s">
        <v>35</v>
      </c>
      <c r="C866" s="66" t="s">
        <v>410</v>
      </c>
      <c r="D866" s="4" t="s">
        <v>856</v>
      </c>
      <c r="E866" s="4" t="s">
        <v>1027</v>
      </c>
      <c r="F866" s="4" t="s">
        <v>944</v>
      </c>
      <c r="G866" s="4" t="s">
        <v>1181</v>
      </c>
      <c r="H866" s="208">
        <v>1</v>
      </c>
      <c r="I866" s="4"/>
      <c r="J866" s="15"/>
      <c r="K866" s="4" t="str">
        <f>_xlfn.IFNA(VLOOKUP($J866,WH_Data[],6,FALSE),"")</f>
        <v/>
      </c>
      <c r="L866" s="4" t="str">
        <f>_xlfn.IFNA(VLOOKUP($J866,WH_Data[],3,FALSE),"")</f>
        <v/>
      </c>
      <c r="M866" s="4" t="str">
        <f>_xlfn.IFNA(VLOOKUP($J866,WH_Data[],5,FALSE),"")</f>
        <v/>
      </c>
      <c r="N866" s="4" t="str">
        <f>_xlfn.IFNA(VLOOKUP($J866,WH_Data[],7,FALSE),"")</f>
        <v/>
      </c>
      <c r="O866" s="4" t="str">
        <f>_xlfn.IFNA(VLOOKUP($J866,WH_Data[],8,FALSE),"")</f>
        <v/>
      </c>
      <c r="P866" s="8"/>
      <c r="Q866" s="209">
        <f>Mon_ILR2[[#This Row],[Qty Required]]-Mon_ILR2[[#This Row],[QTY Transfer]]</f>
        <v>1</v>
      </c>
      <c r="R866" s="66" t="s">
        <v>905</v>
      </c>
      <c r="S866" s="66" t="s">
        <v>946</v>
      </c>
      <c r="T866" s="210">
        <f>_xlfn.IFNA(VLOOKUP(Mon_ILR2[[#This Row],[New Model]],PhilipsLibary[],4,FALSE),"0")</f>
        <v>7999</v>
      </c>
      <c r="U866" s="210">
        <f>_xlfn.IFNA(VLOOKUP(Mon_ILR2[[#This Row],[New Model]],PhilipsLibary[],5,FALSE),"0")</f>
        <v>0</v>
      </c>
      <c r="V866" s="210">
        <f>_xlfn.IFNA(VLOOKUP(Mon_ILR2[[#This Row],[New Model]],PhilipsLibary[],5,FALSE),"0")</f>
        <v>0</v>
      </c>
      <c r="W866" s="210">
        <f>Mon_ILR2[[#This Row],[Accessory Rate]]+Mon_ILR2[[#This Row],[Mounting Rate]]+Mon_ILR2[[#This Row],[Unit Rate]]*Mon_ILR2[[#This Row],[New Quantity Required ]]</f>
        <v>7999</v>
      </c>
      <c r="X866" s="8"/>
      <c r="Y866" s="246"/>
    </row>
    <row r="867" spans="2:25" ht="15.75" customHeight="1" x14ac:dyDescent="0.25">
      <c r="B867" s="207" t="s">
        <v>35</v>
      </c>
      <c r="C867" s="66" t="s">
        <v>410</v>
      </c>
      <c r="D867" s="4" t="s">
        <v>857</v>
      </c>
      <c r="E867" s="4" t="s">
        <v>1027</v>
      </c>
      <c r="F867" s="4" t="s">
        <v>944</v>
      </c>
      <c r="G867" s="4" t="s">
        <v>1181</v>
      </c>
      <c r="H867" s="208">
        <v>1</v>
      </c>
      <c r="I867" s="4"/>
      <c r="J867" s="15"/>
      <c r="K867" s="4" t="str">
        <f>_xlfn.IFNA(VLOOKUP($J867,WH_Data[],6,FALSE),"")</f>
        <v/>
      </c>
      <c r="L867" s="4" t="str">
        <f>_xlfn.IFNA(VLOOKUP($J867,WH_Data[],3,FALSE),"")</f>
        <v/>
      </c>
      <c r="M867" s="4" t="str">
        <f>_xlfn.IFNA(VLOOKUP($J867,WH_Data[],5,FALSE),"")</f>
        <v/>
      </c>
      <c r="N867" s="4" t="str">
        <f>_xlfn.IFNA(VLOOKUP($J867,WH_Data[],7,FALSE),"")</f>
        <v/>
      </c>
      <c r="O867" s="4" t="str">
        <f>_xlfn.IFNA(VLOOKUP($J867,WH_Data[],8,FALSE),"")</f>
        <v/>
      </c>
      <c r="P867" s="8"/>
      <c r="Q867" s="209">
        <f>Mon_ILR2[[#This Row],[Qty Required]]-Mon_ILR2[[#This Row],[QTY Transfer]]</f>
        <v>1</v>
      </c>
      <c r="R867" s="66" t="s">
        <v>905</v>
      </c>
      <c r="S867" s="66" t="s">
        <v>946</v>
      </c>
      <c r="T867" s="210">
        <f>_xlfn.IFNA(VLOOKUP(Mon_ILR2[[#This Row],[New Model]],PhilipsLibary[],4,FALSE),"0")</f>
        <v>7999</v>
      </c>
      <c r="U867" s="210">
        <f>_xlfn.IFNA(VLOOKUP(Mon_ILR2[[#This Row],[New Model]],PhilipsLibary[],5,FALSE),"0")</f>
        <v>0</v>
      </c>
      <c r="V867" s="210">
        <f>_xlfn.IFNA(VLOOKUP(Mon_ILR2[[#This Row],[New Model]],PhilipsLibary[],5,FALSE),"0")</f>
        <v>0</v>
      </c>
      <c r="W867" s="210">
        <f>Mon_ILR2[[#This Row],[Accessory Rate]]+Mon_ILR2[[#This Row],[Mounting Rate]]+Mon_ILR2[[#This Row],[Unit Rate]]*Mon_ILR2[[#This Row],[New Quantity Required ]]</f>
        <v>7999</v>
      </c>
      <c r="X867" s="8"/>
      <c r="Y867" s="246"/>
    </row>
    <row r="868" spans="2:25" ht="15.75" customHeight="1" x14ac:dyDescent="0.25">
      <c r="B868" s="207" t="s">
        <v>35</v>
      </c>
      <c r="C868" s="66" t="s">
        <v>410</v>
      </c>
      <c r="D868" s="4" t="s">
        <v>861</v>
      </c>
      <c r="E868" s="4" t="s">
        <v>1027</v>
      </c>
      <c r="F868" s="4" t="s">
        <v>944</v>
      </c>
      <c r="G868" s="4" t="s">
        <v>1181</v>
      </c>
      <c r="H868" s="208">
        <v>1</v>
      </c>
      <c r="I868" s="4"/>
      <c r="J868" s="15"/>
      <c r="K868" s="4" t="str">
        <f>_xlfn.IFNA(VLOOKUP($J868,WH_Data[],6,FALSE),"")</f>
        <v/>
      </c>
      <c r="L868" s="4" t="str">
        <f>_xlfn.IFNA(VLOOKUP($J868,WH_Data[],3,FALSE),"")</f>
        <v/>
      </c>
      <c r="M868" s="4" t="str">
        <f>_xlfn.IFNA(VLOOKUP($J868,WH_Data[],5,FALSE),"")</f>
        <v/>
      </c>
      <c r="N868" s="4" t="str">
        <f>_xlfn.IFNA(VLOOKUP($J868,WH_Data[],7,FALSE),"")</f>
        <v/>
      </c>
      <c r="O868" s="4" t="str">
        <f>_xlfn.IFNA(VLOOKUP($J868,WH_Data[],8,FALSE),"")</f>
        <v/>
      </c>
      <c r="P868" s="8"/>
      <c r="Q868" s="209">
        <f>Mon_ILR2[[#This Row],[Qty Required]]-Mon_ILR2[[#This Row],[QTY Transfer]]</f>
        <v>1</v>
      </c>
      <c r="R868" s="66" t="s">
        <v>905</v>
      </c>
      <c r="S868" s="66" t="s">
        <v>946</v>
      </c>
      <c r="T868" s="210">
        <f>_xlfn.IFNA(VLOOKUP(Mon_ILR2[[#This Row],[New Model]],PhilipsLibary[],4,FALSE),"0")</f>
        <v>7999</v>
      </c>
      <c r="U868" s="210">
        <f>_xlfn.IFNA(VLOOKUP(Mon_ILR2[[#This Row],[New Model]],PhilipsLibary[],5,FALSE),"0")</f>
        <v>0</v>
      </c>
      <c r="V868" s="210">
        <f>_xlfn.IFNA(VLOOKUP(Mon_ILR2[[#This Row],[New Model]],PhilipsLibary[],5,FALSE),"0")</f>
        <v>0</v>
      </c>
      <c r="W868" s="210">
        <f>Mon_ILR2[[#This Row],[Accessory Rate]]+Mon_ILR2[[#This Row],[Mounting Rate]]+Mon_ILR2[[#This Row],[Unit Rate]]*Mon_ILR2[[#This Row],[New Quantity Required ]]</f>
        <v>7999</v>
      </c>
      <c r="X868" s="8"/>
      <c r="Y868" s="246"/>
    </row>
    <row r="869" spans="2:25" ht="15.75" customHeight="1" x14ac:dyDescent="0.25">
      <c r="B869" s="207" t="s">
        <v>35</v>
      </c>
      <c r="C869" s="66" t="s">
        <v>866</v>
      </c>
      <c r="D869" s="4" t="s">
        <v>867</v>
      </c>
      <c r="E869" s="4" t="s">
        <v>1072</v>
      </c>
      <c r="F869" s="4" t="s">
        <v>944</v>
      </c>
      <c r="G869" s="4" t="s">
        <v>1181</v>
      </c>
      <c r="H869" s="208">
        <v>1</v>
      </c>
      <c r="I869" s="4"/>
      <c r="J869" s="15"/>
      <c r="K869" s="4" t="str">
        <f>_xlfn.IFNA(VLOOKUP($J869,WH_Data[],6,FALSE),"")</f>
        <v/>
      </c>
      <c r="L869" s="4" t="str">
        <f>_xlfn.IFNA(VLOOKUP($J869,WH_Data[],3,FALSE),"")</f>
        <v/>
      </c>
      <c r="M869" s="4" t="str">
        <f>_xlfn.IFNA(VLOOKUP($J869,WH_Data[],5,FALSE),"")</f>
        <v/>
      </c>
      <c r="N869" s="4" t="str">
        <f>_xlfn.IFNA(VLOOKUP($J869,WH_Data[],7,FALSE),"")</f>
        <v/>
      </c>
      <c r="O869" s="4" t="str">
        <f>_xlfn.IFNA(VLOOKUP($J869,WH_Data[],8,FALSE),"")</f>
        <v/>
      </c>
      <c r="P869" s="8"/>
      <c r="Q869" s="209">
        <f>Mon_ILR2[[#This Row],[Qty Required]]-Mon_ILR2[[#This Row],[QTY Transfer]]</f>
        <v>1</v>
      </c>
      <c r="R869" s="66" t="s">
        <v>905</v>
      </c>
      <c r="S869" s="66" t="s">
        <v>946</v>
      </c>
      <c r="T869" s="210">
        <f>_xlfn.IFNA(VLOOKUP(Mon_ILR2[[#This Row],[New Model]],PhilipsLibary[],4,FALSE),"0")</f>
        <v>7999</v>
      </c>
      <c r="U869" s="210">
        <f>_xlfn.IFNA(VLOOKUP(Mon_ILR2[[#This Row],[New Model]],PhilipsLibary[],5,FALSE),"0")</f>
        <v>0</v>
      </c>
      <c r="V869" s="210">
        <f>_xlfn.IFNA(VLOOKUP(Mon_ILR2[[#This Row],[New Model]],PhilipsLibary[],5,FALSE),"0")</f>
        <v>0</v>
      </c>
      <c r="W869" s="210">
        <f>Mon_ILR2[[#This Row],[Accessory Rate]]+Mon_ILR2[[#This Row],[Mounting Rate]]+Mon_ILR2[[#This Row],[Unit Rate]]*Mon_ILR2[[#This Row],[New Quantity Required ]]</f>
        <v>7999</v>
      </c>
      <c r="X869" s="8"/>
      <c r="Y869" s="246"/>
    </row>
    <row r="870" spans="2:25" ht="15.75" customHeight="1" x14ac:dyDescent="0.25">
      <c r="B870" s="207" t="s">
        <v>35</v>
      </c>
      <c r="C870" s="66" t="s">
        <v>868</v>
      </c>
      <c r="D870" s="4" t="s">
        <v>869</v>
      </c>
      <c r="E870" s="4" t="s">
        <v>1072</v>
      </c>
      <c r="F870" s="4" t="s">
        <v>944</v>
      </c>
      <c r="G870" s="4" t="s">
        <v>1181</v>
      </c>
      <c r="H870" s="208">
        <v>1</v>
      </c>
      <c r="I870" s="4"/>
      <c r="J870" s="15"/>
      <c r="K870" s="4" t="str">
        <f>_xlfn.IFNA(VLOOKUP($J870,WH_Data[],6,FALSE),"")</f>
        <v/>
      </c>
      <c r="L870" s="4" t="str">
        <f>_xlfn.IFNA(VLOOKUP($J870,WH_Data[],3,FALSE),"")</f>
        <v/>
      </c>
      <c r="M870" s="4" t="str">
        <f>_xlfn.IFNA(VLOOKUP($J870,WH_Data[],5,FALSE),"")</f>
        <v/>
      </c>
      <c r="N870" s="4" t="str">
        <f>_xlfn.IFNA(VLOOKUP($J870,WH_Data[],7,FALSE),"")</f>
        <v/>
      </c>
      <c r="O870" s="4" t="str">
        <f>_xlfn.IFNA(VLOOKUP($J870,WH_Data[],8,FALSE),"")</f>
        <v/>
      </c>
      <c r="P870" s="8"/>
      <c r="Q870" s="209">
        <f>Mon_ILR2[[#This Row],[Qty Required]]-Mon_ILR2[[#This Row],[QTY Transfer]]</f>
        <v>1</v>
      </c>
      <c r="R870" s="66" t="s">
        <v>905</v>
      </c>
      <c r="S870" s="66" t="s">
        <v>946</v>
      </c>
      <c r="T870" s="210">
        <f>_xlfn.IFNA(VLOOKUP(Mon_ILR2[[#This Row],[New Model]],PhilipsLibary[],4,FALSE),"0")</f>
        <v>7999</v>
      </c>
      <c r="U870" s="210">
        <f>_xlfn.IFNA(VLOOKUP(Mon_ILR2[[#This Row],[New Model]],PhilipsLibary[],5,FALSE),"0")</f>
        <v>0</v>
      </c>
      <c r="V870" s="210">
        <f>_xlfn.IFNA(VLOOKUP(Mon_ILR2[[#This Row],[New Model]],PhilipsLibary[],5,FALSE),"0")</f>
        <v>0</v>
      </c>
      <c r="W870" s="210">
        <f>Mon_ILR2[[#This Row],[Accessory Rate]]+Mon_ILR2[[#This Row],[Mounting Rate]]+Mon_ILR2[[#This Row],[Unit Rate]]*Mon_ILR2[[#This Row],[New Quantity Required ]]</f>
        <v>7999</v>
      </c>
      <c r="X870" s="8"/>
      <c r="Y870" s="246"/>
    </row>
    <row r="871" spans="2:25" ht="15.75" customHeight="1" x14ac:dyDescent="0.25">
      <c r="B871" s="207" t="s">
        <v>35</v>
      </c>
      <c r="C871" s="66" t="s">
        <v>410</v>
      </c>
      <c r="D871" s="4" t="s">
        <v>870</v>
      </c>
      <c r="E871" s="4" t="s">
        <v>1027</v>
      </c>
      <c r="F871" s="4" t="s">
        <v>944</v>
      </c>
      <c r="G871" s="4" t="s">
        <v>1181</v>
      </c>
      <c r="H871" s="208">
        <v>1</v>
      </c>
      <c r="I871" s="4"/>
      <c r="J871" s="15"/>
      <c r="K871" s="4" t="str">
        <f>_xlfn.IFNA(VLOOKUP($J871,WH_Data[],6,FALSE),"")</f>
        <v/>
      </c>
      <c r="L871" s="4" t="str">
        <f>_xlfn.IFNA(VLOOKUP($J871,WH_Data[],3,FALSE),"")</f>
        <v/>
      </c>
      <c r="M871" s="4" t="str">
        <f>_xlfn.IFNA(VLOOKUP($J871,WH_Data[],5,FALSE),"")</f>
        <v/>
      </c>
      <c r="N871" s="4" t="str">
        <f>_xlfn.IFNA(VLOOKUP($J871,WH_Data[],7,FALSE),"")</f>
        <v/>
      </c>
      <c r="O871" s="4" t="str">
        <f>_xlfn.IFNA(VLOOKUP($J871,WH_Data[],8,FALSE),"")</f>
        <v/>
      </c>
      <c r="P871" s="8"/>
      <c r="Q871" s="209">
        <f>Mon_ILR2[[#This Row],[Qty Required]]-Mon_ILR2[[#This Row],[QTY Transfer]]</f>
        <v>1</v>
      </c>
      <c r="R871" s="66" t="s">
        <v>905</v>
      </c>
      <c r="S871" s="66" t="s">
        <v>946</v>
      </c>
      <c r="T871" s="210">
        <f>_xlfn.IFNA(VLOOKUP(Mon_ILR2[[#This Row],[New Model]],PhilipsLibary[],4,FALSE),"0")</f>
        <v>7999</v>
      </c>
      <c r="U871" s="210">
        <f>_xlfn.IFNA(VLOOKUP(Mon_ILR2[[#This Row],[New Model]],PhilipsLibary[],5,FALSE),"0")</f>
        <v>0</v>
      </c>
      <c r="V871" s="210">
        <f>_xlfn.IFNA(VLOOKUP(Mon_ILR2[[#This Row],[New Model]],PhilipsLibary[],5,FALSE),"0")</f>
        <v>0</v>
      </c>
      <c r="W871" s="210">
        <f>Mon_ILR2[[#This Row],[Accessory Rate]]+Mon_ILR2[[#This Row],[Mounting Rate]]+Mon_ILR2[[#This Row],[Unit Rate]]*Mon_ILR2[[#This Row],[New Quantity Required ]]</f>
        <v>7999</v>
      </c>
      <c r="X871" s="8"/>
      <c r="Y871" s="246"/>
    </row>
    <row r="872" spans="2:25" ht="15.75" customHeight="1" x14ac:dyDescent="0.25">
      <c r="B872" s="207" t="s">
        <v>35</v>
      </c>
      <c r="C872" s="66" t="s">
        <v>410</v>
      </c>
      <c r="D872" s="4" t="s">
        <v>871</v>
      </c>
      <c r="E872" s="4" t="s">
        <v>1027</v>
      </c>
      <c r="F872" s="4" t="s">
        <v>944</v>
      </c>
      <c r="G872" s="4" t="s">
        <v>1181</v>
      </c>
      <c r="H872" s="208">
        <v>1</v>
      </c>
      <c r="I872" s="4"/>
      <c r="J872" s="15"/>
      <c r="K872" s="4" t="str">
        <f>_xlfn.IFNA(VLOOKUP($J872,WH_Data[],6,FALSE),"")</f>
        <v/>
      </c>
      <c r="L872" s="4" t="str">
        <f>_xlfn.IFNA(VLOOKUP($J872,WH_Data[],3,FALSE),"")</f>
        <v/>
      </c>
      <c r="M872" s="4" t="str">
        <f>_xlfn.IFNA(VLOOKUP($J872,WH_Data[],5,FALSE),"")</f>
        <v/>
      </c>
      <c r="N872" s="4" t="str">
        <f>_xlfn.IFNA(VLOOKUP($J872,WH_Data[],7,FALSE),"")</f>
        <v/>
      </c>
      <c r="O872" s="4" t="str">
        <f>_xlfn.IFNA(VLOOKUP($J872,WH_Data[],8,FALSE),"")</f>
        <v/>
      </c>
      <c r="P872" s="8"/>
      <c r="Q872" s="209">
        <f>Mon_ILR2[[#This Row],[Qty Required]]-Mon_ILR2[[#This Row],[QTY Transfer]]</f>
        <v>1</v>
      </c>
      <c r="R872" s="66" t="s">
        <v>905</v>
      </c>
      <c r="S872" s="66" t="s">
        <v>946</v>
      </c>
      <c r="T872" s="210">
        <f>_xlfn.IFNA(VLOOKUP(Mon_ILR2[[#This Row],[New Model]],PhilipsLibary[],4,FALSE),"0")</f>
        <v>7999</v>
      </c>
      <c r="U872" s="210">
        <f>_xlfn.IFNA(VLOOKUP(Mon_ILR2[[#This Row],[New Model]],PhilipsLibary[],5,FALSE),"0")</f>
        <v>0</v>
      </c>
      <c r="V872" s="210">
        <f>_xlfn.IFNA(VLOOKUP(Mon_ILR2[[#This Row],[New Model]],PhilipsLibary[],5,FALSE),"0")</f>
        <v>0</v>
      </c>
      <c r="W872" s="210">
        <f>Mon_ILR2[[#This Row],[Accessory Rate]]+Mon_ILR2[[#This Row],[Mounting Rate]]+Mon_ILR2[[#This Row],[Unit Rate]]*Mon_ILR2[[#This Row],[New Quantity Required ]]</f>
        <v>7999</v>
      </c>
      <c r="X872" s="8"/>
      <c r="Y872" s="246"/>
    </row>
    <row r="873" spans="2:25" ht="15.75" customHeight="1" x14ac:dyDescent="0.25">
      <c r="B873" s="207" t="s">
        <v>35</v>
      </c>
      <c r="C873" s="66" t="s">
        <v>872</v>
      </c>
      <c r="D873" s="4" t="s">
        <v>873</v>
      </c>
      <c r="E873" s="4" t="s">
        <v>1072</v>
      </c>
      <c r="F873" s="4" t="s">
        <v>944</v>
      </c>
      <c r="G873" s="4" t="s">
        <v>1181</v>
      </c>
      <c r="H873" s="208">
        <v>1</v>
      </c>
      <c r="I873" s="4"/>
      <c r="J873" s="15"/>
      <c r="K873" s="4" t="str">
        <f>_xlfn.IFNA(VLOOKUP($J873,WH_Data[],6,FALSE),"")</f>
        <v/>
      </c>
      <c r="L873" s="4" t="str">
        <f>_xlfn.IFNA(VLOOKUP($J873,WH_Data[],3,FALSE),"")</f>
        <v/>
      </c>
      <c r="M873" s="4" t="str">
        <f>_xlfn.IFNA(VLOOKUP($J873,WH_Data[],5,FALSE),"")</f>
        <v/>
      </c>
      <c r="N873" s="4" t="str">
        <f>_xlfn.IFNA(VLOOKUP($J873,WH_Data[],7,FALSE),"")</f>
        <v/>
      </c>
      <c r="O873" s="4" t="str">
        <f>_xlfn.IFNA(VLOOKUP($J873,WH_Data[],8,FALSE),"")</f>
        <v/>
      </c>
      <c r="P873" s="8"/>
      <c r="Q873" s="209">
        <f>Mon_ILR2[[#This Row],[Qty Required]]-Mon_ILR2[[#This Row],[QTY Transfer]]</f>
        <v>1</v>
      </c>
      <c r="R873" s="66" t="s">
        <v>905</v>
      </c>
      <c r="S873" s="66" t="s">
        <v>946</v>
      </c>
      <c r="T873" s="210">
        <f>_xlfn.IFNA(VLOOKUP(Mon_ILR2[[#This Row],[New Model]],PhilipsLibary[],4,FALSE),"0")</f>
        <v>7999</v>
      </c>
      <c r="U873" s="210">
        <f>_xlfn.IFNA(VLOOKUP(Mon_ILR2[[#This Row],[New Model]],PhilipsLibary[],5,FALSE),"0")</f>
        <v>0</v>
      </c>
      <c r="V873" s="210">
        <f>_xlfn.IFNA(VLOOKUP(Mon_ILR2[[#This Row],[New Model]],PhilipsLibary[],5,FALSE),"0")</f>
        <v>0</v>
      </c>
      <c r="W873" s="210">
        <f>Mon_ILR2[[#This Row],[Accessory Rate]]+Mon_ILR2[[#This Row],[Mounting Rate]]+Mon_ILR2[[#This Row],[Unit Rate]]*Mon_ILR2[[#This Row],[New Quantity Required ]]</f>
        <v>7999</v>
      </c>
      <c r="X873" s="8"/>
      <c r="Y873" s="246"/>
    </row>
    <row r="874" spans="2:25" ht="15.75" customHeight="1" x14ac:dyDescent="0.25">
      <c r="B874" s="207" t="s">
        <v>35</v>
      </c>
      <c r="C874" s="66" t="s">
        <v>868</v>
      </c>
      <c r="D874" s="4" t="s">
        <v>874</v>
      </c>
      <c r="E874" s="4" t="s">
        <v>1072</v>
      </c>
      <c r="F874" s="4" t="s">
        <v>944</v>
      </c>
      <c r="G874" s="4" t="s">
        <v>1181</v>
      </c>
      <c r="H874" s="208">
        <v>1</v>
      </c>
      <c r="I874" s="4"/>
      <c r="J874" s="15"/>
      <c r="K874" s="4" t="str">
        <f>_xlfn.IFNA(VLOOKUP($J874,WH_Data[],6,FALSE),"")</f>
        <v/>
      </c>
      <c r="L874" s="4" t="str">
        <f>_xlfn.IFNA(VLOOKUP($J874,WH_Data[],3,FALSE),"")</f>
        <v/>
      </c>
      <c r="M874" s="4" t="str">
        <f>_xlfn.IFNA(VLOOKUP($J874,WH_Data[],5,FALSE),"")</f>
        <v/>
      </c>
      <c r="N874" s="4" t="str">
        <f>_xlfn.IFNA(VLOOKUP($J874,WH_Data[],7,FALSE),"")</f>
        <v/>
      </c>
      <c r="O874" s="4" t="str">
        <f>_xlfn.IFNA(VLOOKUP($J874,WH_Data[],8,FALSE),"")</f>
        <v/>
      </c>
      <c r="P874" s="8"/>
      <c r="Q874" s="209">
        <f>Mon_ILR2[[#This Row],[Qty Required]]-Mon_ILR2[[#This Row],[QTY Transfer]]</f>
        <v>1</v>
      </c>
      <c r="R874" s="66" t="s">
        <v>905</v>
      </c>
      <c r="S874" s="66" t="s">
        <v>946</v>
      </c>
      <c r="T874" s="210">
        <f>_xlfn.IFNA(VLOOKUP(Mon_ILR2[[#This Row],[New Model]],PhilipsLibary[],4,FALSE),"0")</f>
        <v>7999</v>
      </c>
      <c r="U874" s="210">
        <f>_xlfn.IFNA(VLOOKUP(Mon_ILR2[[#This Row],[New Model]],PhilipsLibary[],5,FALSE),"0")</f>
        <v>0</v>
      </c>
      <c r="V874" s="210">
        <f>_xlfn.IFNA(VLOOKUP(Mon_ILR2[[#This Row],[New Model]],PhilipsLibary[],5,FALSE),"0")</f>
        <v>0</v>
      </c>
      <c r="W874" s="210">
        <f>Mon_ILR2[[#This Row],[Accessory Rate]]+Mon_ILR2[[#This Row],[Mounting Rate]]+Mon_ILR2[[#This Row],[Unit Rate]]*Mon_ILR2[[#This Row],[New Quantity Required ]]</f>
        <v>7999</v>
      </c>
      <c r="X874" s="8"/>
      <c r="Y874" s="246"/>
    </row>
    <row r="875" spans="2:25" ht="15.75" customHeight="1" x14ac:dyDescent="0.25">
      <c r="B875" s="207" t="s">
        <v>35</v>
      </c>
      <c r="C875" s="66" t="s">
        <v>410</v>
      </c>
      <c r="D875" s="4" t="s">
        <v>875</v>
      </c>
      <c r="E875" s="4" t="s">
        <v>1027</v>
      </c>
      <c r="F875" s="4" t="s">
        <v>944</v>
      </c>
      <c r="G875" s="4" t="s">
        <v>1181</v>
      </c>
      <c r="H875" s="208">
        <v>1</v>
      </c>
      <c r="I875" s="4"/>
      <c r="J875" s="15"/>
      <c r="K875" s="4" t="str">
        <f>_xlfn.IFNA(VLOOKUP($J875,WH_Data[],6,FALSE),"")</f>
        <v/>
      </c>
      <c r="L875" s="4" t="str">
        <f>_xlfn.IFNA(VLOOKUP($J875,WH_Data[],3,FALSE),"")</f>
        <v/>
      </c>
      <c r="M875" s="4" t="str">
        <f>_xlfn.IFNA(VLOOKUP($J875,WH_Data[],5,FALSE),"")</f>
        <v/>
      </c>
      <c r="N875" s="4" t="str">
        <f>_xlfn.IFNA(VLOOKUP($J875,WH_Data[],7,FALSE),"")</f>
        <v/>
      </c>
      <c r="O875" s="4" t="str">
        <f>_xlfn.IFNA(VLOOKUP($J875,WH_Data[],8,FALSE),"")</f>
        <v/>
      </c>
      <c r="P875" s="8"/>
      <c r="Q875" s="209">
        <f>Mon_ILR2[[#This Row],[Qty Required]]-Mon_ILR2[[#This Row],[QTY Transfer]]</f>
        <v>1</v>
      </c>
      <c r="R875" s="66" t="s">
        <v>905</v>
      </c>
      <c r="S875" s="66" t="s">
        <v>946</v>
      </c>
      <c r="T875" s="210">
        <f>_xlfn.IFNA(VLOOKUP(Mon_ILR2[[#This Row],[New Model]],PhilipsLibary[],4,FALSE),"0")</f>
        <v>7999</v>
      </c>
      <c r="U875" s="210">
        <f>_xlfn.IFNA(VLOOKUP(Mon_ILR2[[#This Row],[New Model]],PhilipsLibary[],5,FALSE),"0")</f>
        <v>0</v>
      </c>
      <c r="V875" s="210">
        <f>_xlfn.IFNA(VLOOKUP(Mon_ILR2[[#This Row],[New Model]],PhilipsLibary[],5,FALSE),"0")</f>
        <v>0</v>
      </c>
      <c r="W875" s="210">
        <f>Mon_ILR2[[#This Row],[Accessory Rate]]+Mon_ILR2[[#This Row],[Mounting Rate]]+Mon_ILR2[[#This Row],[Unit Rate]]*Mon_ILR2[[#This Row],[New Quantity Required ]]</f>
        <v>7999</v>
      </c>
      <c r="X875" s="8"/>
      <c r="Y875" s="246"/>
    </row>
    <row r="876" spans="2:25" ht="15.75" customHeight="1" x14ac:dyDescent="0.25">
      <c r="B876" s="207" t="s">
        <v>35</v>
      </c>
      <c r="C876" s="66" t="s">
        <v>410</v>
      </c>
      <c r="D876" s="4" t="s">
        <v>876</v>
      </c>
      <c r="E876" s="4" t="s">
        <v>1027</v>
      </c>
      <c r="F876" s="4" t="s">
        <v>944</v>
      </c>
      <c r="G876" s="4" t="s">
        <v>1181</v>
      </c>
      <c r="H876" s="208">
        <v>1</v>
      </c>
      <c r="I876" s="4"/>
      <c r="J876" s="15"/>
      <c r="K876" s="4" t="str">
        <f>_xlfn.IFNA(VLOOKUP($J876,WH_Data[],6,FALSE),"")</f>
        <v/>
      </c>
      <c r="L876" s="4" t="str">
        <f>_xlfn.IFNA(VLOOKUP($J876,WH_Data[],3,FALSE),"")</f>
        <v/>
      </c>
      <c r="M876" s="4" t="str">
        <f>_xlfn.IFNA(VLOOKUP($J876,WH_Data[],5,FALSE),"")</f>
        <v/>
      </c>
      <c r="N876" s="4" t="str">
        <f>_xlfn.IFNA(VLOOKUP($J876,WH_Data[],7,FALSE),"")</f>
        <v/>
      </c>
      <c r="O876" s="4" t="str">
        <f>_xlfn.IFNA(VLOOKUP($J876,WH_Data[],8,FALSE),"")</f>
        <v/>
      </c>
      <c r="P876" s="8"/>
      <c r="Q876" s="209">
        <f>Mon_ILR2[[#This Row],[Qty Required]]-Mon_ILR2[[#This Row],[QTY Transfer]]</f>
        <v>1</v>
      </c>
      <c r="R876" s="66" t="s">
        <v>905</v>
      </c>
      <c r="S876" s="66" t="s">
        <v>946</v>
      </c>
      <c r="T876" s="210">
        <f>_xlfn.IFNA(VLOOKUP(Mon_ILR2[[#This Row],[New Model]],PhilipsLibary[],4,FALSE),"0")</f>
        <v>7999</v>
      </c>
      <c r="U876" s="210">
        <f>_xlfn.IFNA(VLOOKUP(Mon_ILR2[[#This Row],[New Model]],PhilipsLibary[],5,FALSE),"0")</f>
        <v>0</v>
      </c>
      <c r="V876" s="210">
        <f>_xlfn.IFNA(VLOOKUP(Mon_ILR2[[#This Row],[New Model]],PhilipsLibary[],5,FALSE),"0")</f>
        <v>0</v>
      </c>
      <c r="W876" s="210">
        <f>Mon_ILR2[[#This Row],[Accessory Rate]]+Mon_ILR2[[#This Row],[Mounting Rate]]+Mon_ILR2[[#This Row],[Unit Rate]]*Mon_ILR2[[#This Row],[New Quantity Required ]]</f>
        <v>7999</v>
      </c>
      <c r="X876" s="8"/>
      <c r="Y876" s="246"/>
    </row>
    <row r="877" spans="2:25" ht="15.75" customHeight="1" x14ac:dyDescent="0.25">
      <c r="B877" s="207" t="s">
        <v>35</v>
      </c>
      <c r="C877" s="66" t="s">
        <v>410</v>
      </c>
      <c r="D877" s="4" t="s">
        <v>877</v>
      </c>
      <c r="E877" s="4" t="s">
        <v>1027</v>
      </c>
      <c r="F877" s="4" t="s">
        <v>944</v>
      </c>
      <c r="G877" s="4" t="s">
        <v>1181</v>
      </c>
      <c r="H877" s="208">
        <v>1</v>
      </c>
      <c r="I877" s="4"/>
      <c r="J877" s="15"/>
      <c r="K877" s="4" t="str">
        <f>_xlfn.IFNA(VLOOKUP($J877,WH_Data[],6,FALSE),"")</f>
        <v/>
      </c>
      <c r="L877" s="4" t="str">
        <f>_xlfn.IFNA(VLOOKUP($J877,WH_Data[],3,FALSE),"")</f>
        <v/>
      </c>
      <c r="M877" s="4" t="str">
        <f>_xlfn.IFNA(VLOOKUP($J877,WH_Data[],5,FALSE),"")</f>
        <v/>
      </c>
      <c r="N877" s="4" t="str">
        <f>_xlfn.IFNA(VLOOKUP($J877,WH_Data[],7,FALSE),"")</f>
        <v/>
      </c>
      <c r="O877" s="4" t="str">
        <f>_xlfn.IFNA(VLOOKUP($J877,WH_Data[],8,FALSE),"")</f>
        <v/>
      </c>
      <c r="P877" s="8"/>
      <c r="Q877" s="209">
        <f>Mon_ILR2[[#This Row],[Qty Required]]-Mon_ILR2[[#This Row],[QTY Transfer]]</f>
        <v>1</v>
      </c>
      <c r="R877" s="66" t="s">
        <v>905</v>
      </c>
      <c r="S877" s="66" t="s">
        <v>946</v>
      </c>
      <c r="T877" s="210">
        <f>_xlfn.IFNA(VLOOKUP(Mon_ILR2[[#This Row],[New Model]],PhilipsLibary[],4,FALSE),"0")</f>
        <v>7999</v>
      </c>
      <c r="U877" s="210">
        <f>_xlfn.IFNA(VLOOKUP(Mon_ILR2[[#This Row],[New Model]],PhilipsLibary[],5,FALSE),"0")</f>
        <v>0</v>
      </c>
      <c r="V877" s="210">
        <f>_xlfn.IFNA(VLOOKUP(Mon_ILR2[[#This Row],[New Model]],PhilipsLibary[],5,FALSE),"0")</f>
        <v>0</v>
      </c>
      <c r="W877" s="210">
        <f>Mon_ILR2[[#This Row],[Accessory Rate]]+Mon_ILR2[[#This Row],[Mounting Rate]]+Mon_ILR2[[#This Row],[Unit Rate]]*Mon_ILR2[[#This Row],[New Quantity Required ]]</f>
        <v>7999</v>
      </c>
      <c r="X877" s="8"/>
      <c r="Y877" s="246"/>
    </row>
    <row r="878" spans="2:25" ht="15.75" customHeight="1" x14ac:dyDescent="0.25">
      <c r="B878" s="207" t="s">
        <v>35</v>
      </c>
      <c r="C878" s="66" t="s">
        <v>872</v>
      </c>
      <c r="D878" s="4" t="s">
        <v>878</v>
      </c>
      <c r="E878" s="4" t="s">
        <v>1072</v>
      </c>
      <c r="F878" s="4" t="s">
        <v>944</v>
      </c>
      <c r="G878" s="4" t="s">
        <v>1181</v>
      </c>
      <c r="H878" s="208">
        <v>1</v>
      </c>
      <c r="I878" s="4"/>
      <c r="J878" s="15"/>
      <c r="K878" s="4" t="str">
        <f>_xlfn.IFNA(VLOOKUP($J878,WH_Data[],6,FALSE),"")</f>
        <v/>
      </c>
      <c r="L878" s="4" t="str">
        <f>_xlfn.IFNA(VLOOKUP($J878,WH_Data[],3,FALSE),"")</f>
        <v/>
      </c>
      <c r="M878" s="4" t="str">
        <f>_xlfn.IFNA(VLOOKUP($J878,WH_Data[],5,FALSE),"")</f>
        <v/>
      </c>
      <c r="N878" s="4" t="str">
        <f>_xlfn.IFNA(VLOOKUP($J878,WH_Data[],7,FALSE),"")</f>
        <v/>
      </c>
      <c r="O878" s="4" t="str">
        <f>_xlfn.IFNA(VLOOKUP($J878,WH_Data[],8,FALSE),"")</f>
        <v/>
      </c>
      <c r="P878" s="8"/>
      <c r="Q878" s="209">
        <f>Mon_ILR2[[#This Row],[Qty Required]]-Mon_ILR2[[#This Row],[QTY Transfer]]</f>
        <v>1</v>
      </c>
      <c r="R878" s="66" t="s">
        <v>905</v>
      </c>
      <c r="S878" s="66" t="s">
        <v>946</v>
      </c>
      <c r="T878" s="210">
        <f>_xlfn.IFNA(VLOOKUP(Mon_ILR2[[#This Row],[New Model]],PhilipsLibary[],4,FALSE),"0")</f>
        <v>7999</v>
      </c>
      <c r="U878" s="210">
        <f>_xlfn.IFNA(VLOOKUP(Mon_ILR2[[#This Row],[New Model]],PhilipsLibary[],5,FALSE),"0")</f>
        <v>0</v>
      </c>
      <c r="V878" s="210">
        <f>_xlfn.IFNA(VLOOKUP(Mon_ILR2[[#This Row],[New Model]],PhilipsLibary[],5,FALSE),"0")</f>
        <v>0</v>
      </c>
      <c r="W878" s="210">
        <f>Mon_ILR2[[#This Row],[Accessory Rate]]+Mon_ILR2[[#This Row],[Mounting Rate]]+Mon_ILR2[[#This Row],[Unit Rate]]*Mon_ILR2[[#This Row],[New Quantity Required ]]</f>
        <v>7999</v>
      </c>
      <c r="X878" s="8"/>
      <c r="Y878" s="246"/>
    </row>
    <row r="879" spans="2:25" ht="15.75" customHeight="1" x14ac:dyDescent="0.25">
      <c r="B879" s="207" t="s">
        <v>35</v>
      </c>
      <c r="C879" s="66" t="s">
        <v>872</v>
      </c>
      <c r="D879" s="4" t="s">
        <v>879</v>
      </c>
      <c r="E879" s="4" t="s">
        <v>1072</v>
      </c>
      <c r="F879" s="4" t="s">
        <v>944</v>
      </c>
      <c r="G879" s="4" t="s">
        <v>1181</v>
      </c>
      <c r="H879" s="208">
        <v>1</v>
      </c>
      <c r="I879" s="4"/>
      <c r="J879" s="15"/>
      <c r="K879" s="4" t="str">
        <f>_xlfn.IFNA(VLOOKUP($J879,WH_Data[],6,FALSE),"")</f>
        <v/>
      </c>
      <c r="L879" s="4" t="str">
        <f>_xlfn.IFNA(VLOOKUP($J879,WH_Data[],3,FALSE),"")</f>
        <v/>
      </c>
      <c r="M879" s="4" t="str">
        <f>_xlfn.IFNA(VLOOKUP($J879,WH_Data[],5,FALSE),"")</f>
        <v/>
      </c>
      <c r="N879" s="4" t="str">
        <f>_xlfn.IFNA(VLOOKUP($J879,WH_Data[],7,FALSE),"")</f>
        <v/>
      </c>
      <c r="O879" s="4" t="str">
        <f>_xlfn.IFNA(VLOOKUP($J879,WH_Data[],8,FALSE),"")</f>
        <v/>
      </c>
      <c r="P879" s="8"/>
      <c r="Q879" s="209">
        <f>Mon_ILR2[[#This Row],[Qty Required]]-Mon_ILR2[[#This Row],[QTY Transfer]]</f>
        <v>1</v>
      </c>
      <c r="R879" s="66" t="s">
        <v>905</v>
      </c>
      <c r="S879" s="66" t="s">
        <v>946</v>
      </c>
      <c r="T879" s="210">
        <f>_xlfn.IFNA(VLOOKUP(Mon_ILR2[[#This Row],[New Model]],PhilipsLibary[],4,FALSE),"0")</f>
        <v>7999</v>
      </c>
      <c r="U879" s="210">
        <f>_xlfn.IFNA(VLOOKUP(Mon_ILR2[[#This Row],[New Model]],PhilipsLibary[],5,FALSE),"0")</f>
        <v>0</v>
      </c>
      <c r="V879" s="210">
        <f>_xlfn.IFNA(VLOOKUP(Mon_ILR2[[#This Row],[New Model]],PhilipsLibary[],5,FALSE),"0")</f>
        <v>0</v>
      </c>
      <c r="W879" s="210">
        <f>Mon_ILR2[[#This Row],[Accessory Rate]]+Mon_ILR2[[#This Row],[Mounting Rate]]+Mon_ILR2[[#This Row],[Unit Rate]]*Mon_ILR2[[#This Row],[New Quantity Required ]]</f>
        <v>7999</v>
      </c>
      <c r="X879" s="8"/>
      <c r="Y879" s="246"/>
    </row>
    <row r="880" spans="2:25" ht="15.75" customHeight="1" x14ac:dyDescent="0.25">
      <c r="B880" s="207" t="s">
        <v>35</v>
      </c>
      <c r="C880" s="66" t="s">
        <v>872</v>
      </c>
      <c r="D880" s="4" t="s">
        <v>880</v>
      </c>
      <c r="E880" s="4" t="s">
        <v>1072</v>
      </c>
      <c r="F880" s="4" t="s">
        <v>944</v>
      </c>
      <c r="G880" s="4" t="s">
        <v>1181</v>
      </c>
      <c r="H880" s="208">
        <v>1</v>
      </c>
      <c r="I880" s="4"/>
      <c r="J880" s="15"/>
      <c r="K880" s="4" t="str">
        <f>_xlfn.IFNA(VLOOKUP($J880,WH_Data[],6,FALSE),"")</f>
        <v/>
      </c>
      <c r="L880" s="4" t="str">
        <f>_xlfn.IFNA(VLOOKUP($J880,WH_Data[],3,FALSE),"")</f>
        <v/>
      </c>
      <c r="M880" s="4" t="str">
        <f>_xlfn.IFNA(VLOOKUP($J880,WH_Data[],5,FALSE),"")</f>
        <v/>
      </c>
      <c r="N880" s="4" t="str">
        <f>_xlfn.IFNA(VLOOKUP($J880,WH_Data[],7,FALSE),"")</f>
        <v/>
      </c>
      <c r="O880" s="4" t="str">
        <f>_xlfn.IFNA(VLOOKUP($J880,WH_Data[],8,FALSE),"")</f>
        <v/>
      </c>
      <c r="P880" s="8"/>
      <c r="Q880" s="209">
        <f>Mon_ILR2[[#This Row],[Qty Required]]-Mon_ILR2[[#This Row],[QTY Transfer]]</f>
        <v>1</v>
      </c>
      <c r="R880" s="66" t="s">
        <v>905</v>
      </c>
      <c r="S880" s="66" t="s">
        <v>946</v>
      </c>
      <c r="T880" s="210">
        <f>_xlfn.IFNA(VLOOKUP(Mon_ILR2[[#This Row],[New Model]],PhilipsLibary[],4,FALSE),"0")</f>
        <v>7999</v>
      </c>
      <c r="U880" s="210">
        <f>_xlfn.IFNA(VLOOKUP(Mon_ILR2[[#This Row],[New Model]],PhilipsLibary[],5,FALSE),"0")</f>
        <v>0</v>
      </c>
      <c r="V880" s="210">
        <f>_xlfn.IFNA(VLOOKUP(Mon_ILR2[[#This Row],[New Model]],PhilipsLibary[],5,FALSE),"0")</f>
        <v>0</v>
      </c>
      <c r="W880" s="210">
        <f>Mon_ILR2[[#This Row],[Accessory Rate]]+Mon_ILR2[[#This Row],[Mounting Rate]]+Mon_ILR2[[#This Row],[Unit Rate]]*Mon_ILR2[[#This Row],[New Quantity Required ]]</f>
        <v>7999</v>
      </c>
      <c r="X880" s="8"/>
      <c r="Y880" s="246"/>
    </row>
    <row r="881" spans="2:25" ht="15.75" customHeight="1" x14ac:dyDescent="0.25">
      <c r="B881" s="207" t="s">
        <v>35</v>
      </c>
      <c r="C881" s="66" t="s">
        <v>410</v>
      </c>
      <c r="D881" s="4" t="s">
        <v>881</v>
      </c>
      <c r="E881" s="4" t="s">
        <v>1027</v>
      </c>
      <c r="F881" s="4" t="s">
        <v>944</v>
      </c>
      <c r="G881" s="4" t="s">
        <v>1181</v>
      </c>
      <c r="H881" s="208">
        <v>1</v>
      </c>
      <c r="I881" s="4"/>
      <c r="J881" s="15"/>
      <c r="K881" s="4" t="str">
        <f>_xlfn.IFNA(VLOOKUP($J881,WH_Data[],6,FALSE),"")</f>
        <v/>
      </c>
      <c r="L881" s="4" t="str">
        <f>_xlfn.IFNA(VLOOKUP($J881,WH_Data[],3,FALSE),"")</f>
        <v/>
      </c>
      <c r="M881" s="4" t="str">
        <f>_xlfn.IFNA(VLOOKUP($J881,WH_Data[],5,FALSE),"")</f>
        <v/>
      </c>
      <c r="N881" s="4" t="str">
        <f>_xlfn.IFNA(VLOOKUP($J881,WH_Data[],7,FALSE),"")</f>
        <v/>
      </c>
      <c r="O881" s="4" t="str">
        <f>_xlfn.IFNA(VLOOKUP($J881,WH_Data[],8,FALSE),"")</f>
        <v/>
      </c>
      <c r="P881" s="8"/>
      <c r="Q881" s="209">
        <f>Mon_ILR2[[#This Row],[Qty Required]]-Mon_ILR2[[#This Row],[QTY Transfer]]</f>
        <v>1</v>
      </c>
      <c r="R881" s="66" t="s">
        <v>905</v>
      </c>
      <c r="S881" s="66" t="s">
        <v>946</v>
      </c>
      <c r="T881" s="210">
        <f>_xlfn.IFNA(VLOOKUP(Mon_ILR2[[#This Row],[New Model]],PhilipsLibary[],4,FALSE),"0")</f>
        <v>7999</v>
      </c>
      <c r="U881" s="210">
        <f>_xlfn.IFNA(VLOOKUP(Mon_ILR2[[#This Row],[New Model]],PhilipsLibary[],5,FALSE),"0")</f>
        <v>0</v>
      </c>
      <c r="V881" s="210">
        <f>_xlfn.IFNA(VLOOKUP(Mon_ILR2[[#This Row],[New Model]],PhilipsLibary[],5,FALSE),"0")</f>
        <v>0</v>
      </c>
      <c r="W881" s="210">
        <f>Mon_ILR2[[#This Row],[Accessory Rate]]+Mon_ILR2[[#This Row],[Mounting Rate]]+Mon_ILR2[[#This Row],[Unit Rate]]*Mon_ILR2[[#This Row],[New Quantity Required ]]</f>
        <v>7999</v>
      </c>
      <c r="X881" s="8"/>
      <c r="Y881" s="246"/>
    </row>
    <row r="882" spans="2:25" ht="15.75" customHeight="1" x14ac:dyDescent="0.25">
      <c r="B882" s="207" t="s">
        <v>35</v>
      </c>
      <c r="C882" s="66" t="s">
        <v>410</v>
      </c>
      <c r="D882" s="4" t="s">
        <v>882</v>
      </c>
      <c r="E882" s="4" t="s">
        <v>1027</v>
      </c>
      <c r="F882" s="4" t="s">
        <v>944</v>
      </c>
      <c r="G882" s="4" t="s">
        <v>1181</v>
      </c>
      <c r="H882" s="208">
        <v>1</v>
      </c>
      <c r="I882" s="4"/>
      <c r="J882" s="15"/>
      <c r="K882" s="4" t="str">
        <f>_xlfn.IFNA(VLOOKUP($J882,WH_Data[],6,FALSE),"")</f>
        <v/>
      </c>
      <c r="L882" s="4" t="str">
        <f>_xlfn.IFNA(VLOOKUP($J882,WH_Data[],3,FALSE),"")</f>
        <v/>
      </c>
      <c r="M882" s="4" t="str">
        <f>_xlfn.IFNA(VLOOKUP($J882,WH_Data[],5,FALSE),"")</f>
        <v/>
      </c>
      <c r="N882" s="4" t="str">
        <f>_xlfn.IFNA(VLOOKUP($J882,WH_Data[],7,FALSE),"")</f>
        <v/>
      </c>
      <c r="O882" s="4" t="str">
        <f>_xlfn.IFNA(VLOOKUP($J882,WH_Data[],8,FALSE),"")</f>
        <v/>
      </c>
      <c r="P882" s="8"/>
      <c r="Q882" s="209">
        <f>Mon_ILR2[[#This Row],[Qty Required]]-Mon_ILR2[[#This Row],[QTY Transfer]]</f>
        <v>1</v>
      </c>
      <c r="R882" s="66" t="s">
        <v>905</v>
      </c>
      <c r="S882" s="66" t="s">
        <v>946</v>
      </c>
      <c r="T882" s="210">
        <f>_xlfn.IFNA(VLOOKUP(Mon_ILR2[[#This Row],[New Model]],PhilipsLibary[],4,FALSE),"0")</f>
        <v>7999</v>
      </c>
      <c r="U882" s="210">
        <f>_xlfn.IFNA(VLOOKUP(Mon_ILR2[[#This Row],[New Model]],PhilipsLibary[],5,FALSE),"0")</f>
        <v>0</v>
      </c>
      <c r="V882" s="210">
        <f>_xlfn.IFNA(VLOOKUP(Mon_ILR2[[#This Row],[New Model]],PhilipsLibary[],5,FALSE),"0")</f>
        <v>0</v>
      </c>
      <c r="W882" s="210">
        <f>Mon_ILR2[[#This Row],[Accessory Rate]]+Mon_ILR2[[#This Row],[Mounting Rate]]+Mon_ILR2[[#This Row],[Unit Rate]]*Mon_ILR2[[#This Row],[New Quantity Required ]]</f>
        <v>7999</v>
      </c>
      <c r="X882" s="8"/>
      <c r="Y882" s="246"/>
    </row>
    <row r="883" spans="2:25" ht="15.75" customHeight="1" x14ac:dyDescent="0.25">
      <c r="B883" s="207" t="s">
        <v>35</v>
      </c>
      <c r="C883" s="66" t="s">
        <v>410</v>
      </c>
      <c r="D883" s="4" t="s">
        <v>884</v>
      </c>
      <c r="E883" s="4" t="s">
        <v>1027</v>
      </c>
      <c r="F883" s="4" t="s">
        <v>944</v>
      </c>
      <c r="G883" s="4" t="s">
        <v>1181</v>
      </c>
      <c r="H883" s="208">
        <v>1</v>
      </c>
      <c r="I883" s="4"/>
      <c r="J883" s="15"/>
      <c r="K883" s="4" t="str">
        <f>_xlfn.IFNA(VLOOKUP($J883,WH_Data[],6,FALSE),"")</f>
        <v/>
      </c>
      <c r="L883" s="4" t="str">
        <f>_xlfn.IFNA(VLOOKUP($J883,WH_Data[],3,FALSE),"")</f>
        <v/>
      </c>
      <c r="M883" s="4" t="str">
        <f>_xlfn.IFNA(VLOOKUP($J883,WH_Data[],5,FALSE),"")</f>
        <v/>
      </c>
      <c r="N883" s="4" t="str">
        <f>_xlfn.IFNA(VLOOKUP($J883,WH_Data[],7,FALSE),"")</f>
        <v/>
      </c>
      <c r="O883" s="4" t="str">
        <f>_xlfn.IFNA(VLOOKUP($J883,WH_Data[],8,FALSE),"")</f>
        <v/>
      </c>
      <c r="P883" s="8"/>
      <c r="Q883" s="209">
        <f>Mon_ILR2[[#This Row],[Qty Required]]-Mon_ILR2[[#This Row],[QTY Transfer]]</f>
        <v>1</v>
      </c>
      <c r="R883" s="66" t="s">
        <v>905</v>
      </c>
      <c r="S883" s="66" t="s">
        <v>946</v>
      </c>
      <c r="T883" s="210">
        <f>_xlfn.IFNA(VLOOKUP(Mon_ILR2[[#This Row],[New Model]],PhilipsLibary[],4,FALSE),"0")</f>
        <v>7999</v>
      </c>
      <c r="U883" s="210">
        <f>_xlfn.IFNA(VLOOKUP(Mon_ILR2[[#This Row],[New Model]],PhilipsLibary[],5,FALSE),"0")</f>
        <v>0</v>
      </c>
      <c r="V883" s="210">
        <f>_xlfn.IFNA(VLOOKUP(Mon_ILR2[[#This Row],[New Model]],PhilipsLibary[],5,FALSE),"0")</f>
        <v>0</v>
      </c>
      <c r="W883" s="210">
        <f>Mon_ILR2[[#This Row],[Accessory Rate]]+Mon_ILR2[[#This Row],[Mounting Rate]]+Mon_ILR2[[#This Row],[Unit Rate]]*Mon_ILR2[[#This Row],[New Quantity Required ]]</f>
        <v>7999</v>
      </c>
      <c r="X883" s="8"/>
      <c r="Y883" s="246"/>
    </row>
    <row r="884" spans="2:25" ht="15.75" customHeight="1" x14ac:dyDescent="0.25">
      <c r="B884" s="207" t="s">
        <v>35</v>
      </c>
      <c r="C884" s="66" t="s">
        <v>410</v>
      </c>
      <c r="D884" s="4" t="s">
        <v>885</v>
      </c>
      <c r="E884" s="4" t="s">
        <v>1027</v>
      </c>
      <c r="F884" s="4" t="s">
        <v>944</v>
      </c>
      <c r="G884" s="4" t="s">
        <v>1181</v>
      </c>
      <c r="H884" s="208">
        <v>1</v>
      </c>
      <c r="I884" s="4"/>
      <c r="J884" s="15"/>
      <c r="K884" s="4" t="str">
        <f>_xlfn.IFNA(VLOOKUP($J884,WH_Data[],6,FALSE),"")</f>
        <v/>
      </c>
      <c r="L884" s="4" t="str">
        <f>_xlfn.IFNA(VLOOKUP($J884,WH_Data[],3,FALSE),"")</f>
        <v/>
      </c>
      <c r="M884" s="4" t="str">
        <f>_xlfn.IFNA(VLOOKUP($J884,WH_Data[],5,FALSE),"")</f>
        <v/>
      </c>
      <c r="N884" s="4" t="str">
        <f>_xlfn.IFNA(VLOOKUP($J884,WH_Data[],7,FALSE),"")</f>
        <v/>
      </c>
      <c r="O884" s="4" t="str">
        <f>_xlfn.IFNA(VLOOKUP($J884,WH_Data[],8,FALSE),"")</f>
        <v/>
      </c>
      <c r="P884" s="8"/>
      <c r="Q884" s="209">
        <f>Mon_ILR2[[#This Row],[Qty Required]]-Mon_ILR2[[#This Row],[QTY Transfer]]</f>
        <v>1</v>
      </c>
      <c r="R884" s="66" t="s">
        <v>905</v>
      </c>
      <c r="S884" s="66" t="s">
        <v>946</v>
      </c>
      <c r="T884" s="210">
        <f>_xlfn.IFNA(VLOOKUP(Mon_ILR2[[#This Row],[New Model]],PhilipsLibary[],4,FALSE),"0")</f>
        <v>7999</v>
      </c>
      <c r="U884" s="210">
        <f>_xlfn.IFNA(VLOOKUP(Mon_ILR2[[#This Row],[New Model]],PhilipsLibary[],5,FALSE),"0")</f>
        <v>0</v>
      </c>
      <c r="V884" s="210">
        <f>_xlfn.IFNA(VLOOKUP(Mon_ILR2[[#This Row],[New Model]],PhilipsLibary[],5,FALSE),"0")</f>
        <v>0</v>
      </c>
      <c r="W884" s="210">
        <f>Mon_ILR2[[#This Row],[Accessory Rate]]+Mon_ILR2[[#This Row],[Mounting Rate]]+Mon_ILR2[[#This Row],[Unit Rate]]*Mon_ILR2[[#This Row],[New Quantity Required ]]</f>
        <v>7999</v>
      </c>
      <c r="X884" s="8"/>
      <c r="Y884" s="246"/>
    </row>
    <row r="885" spans="2:25" ht="15.75" x14ac:dyDescent="0.25">
      <c r="B885" s="207" t="s">
        <v>35</v>
      </c>
      <c r="C885" s="66" t="s">
        <v>872</v>
      </c>
      <c r="D885" s="4" t="s">
        <v>886</v>
      </c>
      <c r="E885" s="4" t="s">
        <v>1072</v>
      </c>
      <c r="F885" s="4" t="s">
        <v>944</v>
      </c>
      <c r="G885" s="4" t="s">
        <v>1181</v>
      </c>
      <c r="H885" s="208">
        <v>1</v>
      </c>
      <c r="I885" s="4"/>
      <c r="J885" s="15"/>
      <c r="K885" s="4" t="str">
        <f>_xlfn.IFNA(VLOOKUP($J885,WH_Data[],6,FALSE),"")</f>
        <v/>
      </c>
      <c r="L885" s="4" t="str">
        <f>_xlfn.IFNA(VLOOKUP($J885,WH_Data[],3,FALSE),"")</f>
        <v/>
      </c>
      <c r="M885" s="4" t="str">
        <f>_xlfn.IFNA(VLOOKUP($J885,WH_Data[],5,FALSE),"")</f>
        <v/>
      </c>
      <c r="N885" s="4" t="str">
        <f>_xlfn.IFNA(VLOOKUP($J885,WH_Data[],7,FALSE),"")</f>
        <v/>
      </c>
      <c r="O885" s="4" t="str">
        <f>_xlfn.IFNA(VLOOKUP($J885,WH_Data[],8,FALSE),"")</f>
        <v/>
      </c>
      <c r="P885" s="8"/>
      <c r="Q885" s="209">
        <f>Mon_ILR2[[#This Row],[Qty Required]]-Mon_ILR2[[#This Row],[QTY Transfer]]</f>
        <v>1</v>
      </c>
      <c r="R885" s="66" t="s">
        <v>905</v>
      </c>
      <c r="S885" s="66" t="s">
        <v>946</v>
      </c>
      <c r="T885" s="210">
        <f>_xlfn.IFNA(VLOOKUP(Mon_ILR2[[#This Row],[New Model]],PhilipsLibary[],4,FALSE),"0")</f>
        <v>7999</v>
      </c>
      <c r="U885" s="210">
        <f>_xlfn.IFNA(VLOOKUP(Mon_ILR2[[#This Row],[New Model]],PhilipsLibary[],5,FALSE),"0")</f>
        <v>0</v>
      </c>
      <c r="V885" s="210">
        <f>_xlfn.IFNA(VLOOKUP(Mon_ILR2[[#This Row],[New Model]],PhilipsLibary[],5,FALSE),"0")</f>
        <v>0</v>
      </c>
      <c r="W885" s="210">
        <f>Mon_ILR2[[#This Row],[Accessory Rate]]+Mon_ILR2[[#This Row],[Mounting Rate]]+Mon_ILR2[[#This Row],[Unit Rate]]*Mon_ILR2[[#This Row],[New Quantity Required ]]</f>
        <v>7999</v>
      </c>
      <c r="X885" s="8"/>
      <c r="Y885" s="246"/>
    </row>
    <row r="886" spans="2:25" ht="15.75" x14ac:dyDescent="0.25">
      <c r="B886" s="207" t="s">
        <v>889</v>
      </c>
      <c r="C886" s="66" t="s">
        <v>364</v>
      </c>
      <c r="D886" s="4" t="s">
        <v>890</v>
      </c>
      <c r="E886" s="4" t="s">
        <v>1027</v>
      </c>
      <c r="F886" s="4" t="s">
        <v>944</v>
      </c>
      <c r="G886" s="4" t="s">
        <v>1181</v>
      </c>
      <c r="H886" s="208">
        <v>1</v>
      </c>
      <c r="I886" s="4"/>
      <c r="J886" s="15"/>
      <c r="K886" s="4" t="str">
        <f>_xlfn.IFNA(VLOOKUP($J886,WH_Data[],6,FALSE),"")</f>
        <v/>
      </c>
      <c r="L886" s="4" t="str">
        <f>_xlfn.IFNA(VLOOKUP($J886,WH_Data[],3,FALSE),"")</f>
        <v/>
      </c>
      <c r="M886" s="4" t="str">
        <f>_xlfn.IFNA(VLOOKUP($J886,WH_Data[],5,FALSE),"")</f>
        <v/>
      </c>
      <c r="N886" s="4" t="str">
        <f>_xlfn.IFNA(VLOOKUP($J886,WH_Data[],7,FALSE),"")</f>
        <v/>
      </c>
      <c r="O886" s="4" t="str">
        <f>_xlfn.IFNA(VLOOKUP($J886,WH_Data[],8,FALSE),"")</f>
        <v/>
      </c>
      <c r="P886" s="8"/>
      <c r="Q886" s="209">
        <f>Mon_ILR2[[#This Row],[Qty Required]]-Mon_ILR2[[#This Row],[QTY Transfer]]</f>
        <v>1</v>
      </c>
      <c r="R886" s="66" t="s">
        <v>905</v>
      </c>
      <c r="S886" s="66" t="s">
        <v>946</v>
      </c>
      <c r="T886" s="210">
        <f>_xlfn.IFNA(VLOOKUP(Mon_ILR2[[#This Row],[New Model]],PhilipsLibary[],4,FALSE),"0")</f>
        <v>7999</v>
      </c>
      <c r="U886" s="210">
        <f>_xlfn.IFNA(VLOOKUP(Mon_ILR2[[#This Row],[New Model]],PhilipsLibary[],5,FALSE),"0")</f>
        <v>0</v>
      </c>
      <c r="V886" s="210">
        <f>_xlfn.IFNA(VLOOKUP(Mon_ILR2[[#This Row],[New Model]],PhilipsLibary[],5,FALSE),"0")</f>
        <v>0</v>
      </c>
      <c r="W886" s="210">
        <f>Mon_ILR2[[#This Row],[Accessory Rate]]+Mon_ILR2[[#This Row],[Mounting Rate]]+Mon_ILR2[[#This Row],[Unit Rate]]*Mon_ILR2[[#This Row],[New Quantity Required ]]</f>
        <v>7999</v>
      </c>
      <c r="X886" s="8"/>
      <c r="Y886" s="246"/>
    </row>
    <row r="887" spans="2:25" ht="15.75" x14ac:dyDescent="0.25">
      <c r="B887" s="207" t="s">
        <v>889</v>
      </c>
      <c r="C887" s="66" t="s">
        <v>364</v>
      </c>
      <c r="D887" s="4" t="s">
        <v>891</v>
      </c>
      <c r="E887" s="4" t="s">
        <v>1027</v>
      </c>
      <c r="F887" s="4" t="s">
        <v>944</v>
      </c>
      <c r="G887" s="4" t="s">
        <v>1181</v>
      </c>
      <c r="H887" s="208">
        <v>1</v>
      </c>
      <c r="I887" s="4"/>
      <c r="J887" s="15"/>
      <c r="K887" s="4" t="str">
        <f>_xlfn.IFNA(VLOOKUP($J887,WH_Data[],6,FALSE),"")</f>
        <v/>
      </c>
      <c r="L887" s="4" t="str">
        <f>_xlfn.IFNA(VLOOKUP($J887,WH_Data[],3,FALSE),"")</f>
        <v/>
      </c>
      <c r="M887" s="4" t="str">
        <f>_xlfn.IFNA(VLOOKUP($J887,WH_Data[],5,FALSE),"")</f>
        <v/>
      </c>
      <c r="N887" s="4" t="str">
        <f>_xlfn.IFNA(VLOOKUP($J887,WH_Data[],7,FALSE),"")</f>
        <v/>
      </c>
      <c r="O887" s="4" t="str">
        <f>_xlfn.IFNA(VLOOKUP($J887,WH_Data[],8,FALSE),"")</f>
        <v/>
      </c>
      <c r="P887" s="8"/>
      <c r="Q887" s="209">
        <f>Mon_ILR2[[#This Row],[Qty Required]]-Mon_ILR2[[#This Row],[QTY Transfer]]</f>
        <v>1</v>
      </c>
      <c r="R887" s="66" t="s">
        <v>905</v>
      </c>
      <c r="S887" s="66" t="s">
        <v>946</v>
      </c>
      <c r="T887" s="210">
        <f>_xlfn.IFNA(VLOOKUP(Mon_ILR2[[#This Row],[New Model]],PhilipsLibary[],4,FALSE),"0")</f>
        <v>7999</v>
      </c>
      <c r="U887" s="210">
        <f>_xlfn.IFNA(VLOOKUP(Mon_ILR2[[#This Row],[New Model]],PhilipsLibary[],5,FALSE),"0")</f>
        <v>0</v>
      </c>
      <c r="V887" s="210">
        <f>_xlfn.IFNA(VLOOKUP(Mon_ILR2[[#This Row],[New Model]],PhilipsLibary[],5,FALSE),"0")</f>
        <v>0</v>
      </c>
      <c r="W887" s="210">
        <f>Mon_ILR2[[#This Row],[Accessory Rate]]+Mon_ILR2[[#This Row],[Mounting Rate]]+Mon_ILR2[[#This Row],[Unit Rate]]*Mon_ILR2[[#This Row],[New Quantity Required ]]</f>
        <v>7999</v>
      </c>
      <c r="X887" s="8"/>
      <c r="Y887" s="246"/>
    </row>
    <row r="888" spans="2:25" ht="15.75" customHeight="1" x14ac:dyDescent="0.25">
      <c r="B888" s="207" t="s">
        <v>889</v>
      </c>
      <c r="C888" s="66" t="s">
        <v>364</v>
      </c>
      <c r="D888" s="4" t="s">
        <v>892</v>
      </c>
      <c r="E888" s="4" t="s">
        <v>1027</v>
      </c>
      <c r="F888" s="4" t="s">
        <v>944</v>
      </c>
      <c r="G888" s="4" t="s">
        <v>1181</v>
      </c>
      <c r="H888" s="208">
        <v>1</v>
      </c>
      <c r="I888" s="4"/>
      <c r="J888" s="15"/>
      <c r="K888" s="4" t="str">
        <f>_xlfn.IFNA(VLOOKUP($J888,WH_Data[],6,FALSE),"")</f>
        <v/>
      </c>
      <c r="L888" s="4" t="str">
        <f>_xlfn.IFNA(VLOOKUP($J888,WH_Data[],3,FALSE),"")</f>
        <v/>
      </c>
      <c r="M888" s="4" t="str">
        <f>_xlfn.IFNA(VLOOKUP($J888,WH_Data[],5,FALSE),"")</f>
        <v/>
      </c>
      <c r="N888" s="4" t="str">
        <f>_xlfn.IFNA(VLOOKUP($J888,WH_Data[],7,FALSE),"")</f>
        <v/>
      </c>
      <c r="O888" s="4" t="str">
        <f>_xlfn.IFNA(VLOOKUP($J888,WH_Data[],8,FALSE),"")</f>
        <v/>
      </c>
      <c r="P888" s="8"/>
      <c r="Q888" s="209">
        <f>Mon_ILR2[[#This Row],[Qty Required]]-Mon_ILR2[[#This Row],[QTY Transfer]]</f>
        <v>1</v>
      </c>
      <c r="R888" s="66" t="s">
        <v>905</v>
      </c>
      <c r="S888" s="66" t="s">
        <v>946</v>
      </c>
      <c r="T888" s="210">
        <f>_xlfn.IFNA(VLOOKUP(Mon_ILR2[[#This Row],[New Model]],PhilipsLibary[],4,FALSE),"0")</f>
        <v>7999</v>
      </c>
      <c r="U888" s="210">
        <f>_xlfn.IFNA(VLOOKUP(Mon_ILR2[[#This Row],[New Model]],PhilipsLibary[],5,FALSE),"0")</f>
        <v>0</v>
      </c>
      <c r="V888" s="210">
        <f>_xlfn.IFNA(VLOOKUP(Mon_ILR2[[#This Row],[New Model]],PhilipsLibary[],5,FALSE),"0")</f>
        <v>0</v>
      </c>
      <c r="W888" s="210">
        <f>Mon_ILR2[[#This Row],[Accessory Rate]]+Mon_ILR2[[#This Row],[Mounting Rate]]+Mon_ILR2[[#This Row],[Unit Rate]]*Mon_ILR2[[#This Row],[New Quantity Required ]]</f>
        <v>7999</v>
      </c>
      <c r="X888" s="8"/>
      <c r="Y888" s="246"/>
    </row>
    <row r="889" spans="2:25" ht="15.75" customHeight="1" x14ac:dyDescent="0.25">
      <c r="B889" s="207" t="s">
        <v>632</v>
      </c>
      <c r="C889" s="66" t="s">
        <v>722</v>
      </c>
      <c r="D889" s="4" t="s">
        <v>893</v>
      </c>
      <c r="E889" s="4" t="s">
        <v>1027</v>
      </c>
      <c r="F889" s="4" t="s">
        <v>944</v>
      </c>
      <c r="G889" s="4" t="s">
        <v>1181</v>
      </c>
      <c r="H889" s="208">
        <v>1</v>
      </c>
      <c r="I889" s="4"/>
      <c r="J889" s="15"/>
      <c r="K889" s="4" t="str">
        <f>_xlfn.IFNA(VLOOKUP($J889,WH_Data[],6,FALSE),"")</f>
        <v/>
      </c>
      <c r="L889" s="4" t="str">
        <f>_xlfn.IFNA(VLOOKUP($J889,WH_Data[],3,FALSE),"")</f>
        <v/>
      </c>
      <c r="M889" s="4" t="str">
        <f>_xlfn.IFNA(VLOOKUP($J889,WH_Data[],5,FALSE),"")</f>
        <v/>
      </c>
      <c r="N889" s="4" t="str">
        <f>_xlfn.IFNA(VLOOKUP($J889,WH_Data[],7,FALSE),"")</f>
        <v/>
      </c>
      <c r="O889" s="4" t="str">
        <f>_xlfn.IFNA(VLOOKUP($J889,WH_Data[],8,FALSE),"")</f>
        <v/>
      </c>
      <c r="P889" s="8"/>
      <c r="Q889" s="209">
        <f>Mon_ILR2[[#This Row],[Qty Required]]-Mon_ILR2[[#This Row],[QTY Transfer]]</f>
        <v>1</v>
      </c>
      <c r="R889" s="66" t="s">
        <v>905</v>
      </c>
      <c r="S889" s="66" t="s">
        <v>946</v>
      </c>
      <c r="T889" s="210">
        <f>_xlfn.IFNA(VLOOKUP(Mon_ILR2[[#This Row],[New Model]],PhilipsLibary[],4,FALSE),"0")</f>
        <v>7999</v>
      </c>
      <c r="U889" s="210">
        <f>_xlfn.IFNA(VLOOKUP(Mon_ILR2[[#This Row],[New Model]],PhilipsLibary[],5,FALSE),"0")</f>
        <v>0</v>
      </c>
      <c r="V889" s="210">
        <f>_xlfn.IFNA(VLOOKUP(Mon_ILR2[[#This Row],[New Model]],PhilipsLibary[],5,FALSE),"0")</f>
        <v>0</v>
      </c>
      <c r="W889" s="210">
        <f>Mon_ILR2[[#This Row],[Accessory Rate]]+Mon_ILR2[[#This Row],[Mounting Rate]]+Mon_ILR2[[#This Row],[Unit Rate]]*Mon_ILR2[[#This Row],[New Quantity Required ]]</f>
        <v>7999</v>
      </c>
      <c r="X889" s="8"/>
      <c r="Y889" s="246"/>
    </row>
    <row r="890" spans="2:25" ht="15.75" customHeight="1" x14ac:dyDescent="0.25">
      <c r="B890" s="207" t="s">
        <v>632</v>
      </c>
      <c r="C890" s="66" t="s">
        <v>722</v>
      </c>
      <c r="D890" s="4" t="s">
        <v>894</v>
      </c>
      <c r="E890" s="4" t="s">
        <v>1027</v>
      </c>
      <c r="F890" s="4" t="s">
        <v>944</v>
      </c>
      <c r="G890" s="4" t="s">
        <v>1181</v>
      </c>
      <c r="H890" s="208">
        <v>1</v>
      </c>
      <c r="I890" s="4"/>
      <c r="J890" s="15"/>
      <c r="K890" s="4" t="str">
        <f>_xlfn.IFNA(VLOOKUP($J890,WH_Data[],6,FALSE),"")</f>
        <v/>
      </c>
      <c r="L890" s="4" t="str">
        <f>_xlfn.IFNA(VLOOKUP($J890,WH_Data[],3,FALSE),"")</f>
        <v/>
      </c>
      <c r="M890" s="4" t="str">
        <f>_xlfn.IFNA(VLOOKUP($J890,WH_Data[],5,FALSE),"")</f>
        <v/>
      </c>
      <c r="N890" s="4" t="str">
        <f>_xlfn.IFNA(VLOOKUP($J890,WH_Data[],7,FALSE),"")</f>
        <v/>
      </c>
      <c r="O890" s="4" t="str">
        <f>_xlfn.IFNA(VLOOKUP($J890,WH_Data[],8,FALSE),"")</f>
        <v/>
      </c>
      <c r="P890" s="8"/>
      <c r="Q890" s="209">
        <f>Mon_ILR2[[#This Row],[Qty Required]]-Mon_ILR2[[#This Row],[QTY Transfer]]</f>
        <v>1</v>
      </c>
      <c r="R890" s="66" t="s">
        <v>905</v>
      </c>
      <c r="S890" s="66" t="s">
        <v>946</v>
      </c>
      <c r="T890" s="210">
        <f>_xlfn.IFNA(VLOOKUP(Mon_ILR2[[#This Row],[New Model]],PhilipsLibary[],4,FALSE),"0")</f>
        <v>7999</v>
      </c>
      <c r="U890" s="210">
        <f>_xlfn.IFNA(VLOOKUP(Mon_ILR2[[#This Row],[New Model]],PhilipsLibary[],5,FALSE),"0")</f>
        <v>0</v>
      </c>
      <c r="V890" s="210">
        <f>_xlfn.IFNA(VLOOKUP(Mon_ILR2[[#This Row],[New Model]],PhilipsLibary[],5,FALSE),"0")</f>
        <v>0</v>
      </c>
      <c r="W890" s="210">
        <f>Mon_ILR2[[#This Row],[Accessory Rate]]+Mon_ILR2[[#This Row],[Mounting Rate]]+Mon_ILR2[[#This Row],[Unit Rate]]*Mon_ILR2[[#This Row],[New Quantity Required ]]</f>
        <v>7999</v>
      </c>
      <c r="X890" s="8"/>
      <c r="Y890" s="246"/>
    </row>
    <row r="891" spans="2:25" ht="60" customHeight="1" x14ac:dyDescent="0.25">
      <c r="B891" s="207" t="s">
        <v>161</v>
      </c>
      <c r="C891" s="66" t="s">
        <v>645</v>
      </c>
      <c r="D891" s="4" t="s">
        <v>646</v>
      </c>
      <c r="E891" s="4" t="s">
        <v>1025</v>
      </c>
      <c r="F891" s="4" t="s">
        <v>654</v>
      </c>
      <c r="G891" s="4" t="s">
        <v>655</v>
      </c>
      <c r="H891" s="208">
        <v>2</v>
      </c>
      <c r="I891" s="4"/>
      <c r="J891" s="15"/>
      <c r="K891" s="4" t="str">
        <f>_xlfn.IFNA(VLOOKUP($J891,WH_Data[],6,FALSE),"")</f>
        <v/>
      </c>
      <c r="L891" s="4" t="str">
        <f>_xlfn.IFNA(VLOOKUP($J891,WH_Data[],3,FALSE),"")</f>
        <v/>
      </c>
      <c r="M891" s="4" t="str">
        <f>_xlfn.IFNA(VLOOKUP($J891,WH_Data[],5,FALSE),"")</f>
        <v/>
      </c>
      <c r="N891" s="4" t="str">
        <f>_xlfn.IFNA(VLOOKUP($J891,WH_Data[],7,FALSE),"")</f>
        <v/>
      </c>
      <c r="O891" s="4" t="str">
        <f>_xlfn.IFNA(VLOOKUP($J891,WH_Data[],8,FALSE),"")</f>
        <v/>
      </c>
      <c r="P891" s="8"/>
      <c r="Q891" s="209">
        <f>Mon_ILR2[[#This Row],[Qty Required]]-Mon_ILR2[[#This Row],[QTY Transfer]]</f>
        <v>2</v>
      </c>
      <c r="R891" s="66" t="s">
        <v>905</v>
      </c>
      <c r="S891" s="66" t="s">
        <v>903</v>
      </c>
      <c r="T891" s="210">
        <f>_xlfn.IFNA(VLOOKUP(Mon_ILR2[[#This Row],[New Model]],PhilipsLibary[],4,FALSE),"0")</f>
        <v>2362</v>
      </c>
      <c r="U891" s="210">
        <f>_xlfn.IFNA(VLOOKUP(Mon_ILR2[[#This Row],[New Model]],PhilipsLibary[],5,FALSE),"0")</f>
        <v>0</v>
      </c>
      <c r="V891" s="210">
        <f>_xlfn.IFNA(VLOOKUP(Mon_ILR2[[#This Row],[New Model]],PhilipsLibary[],5,FALSE),"0")</f>
        <v>0</v>
      </c>
      <c r="W891" s="210">
        <f>Mon_ILR2[[#This Row],[Accessory Rate]]+Mon_ILR2[[#This Row],[Mounting Rate]]+Mon_ILR2[[#This Row],[Unit Rate]]*Mon_ILR2[[#This Row],[New Quantity Required ]]</f>
        <v>4724</v>
      </c>
      <c r="X891" s="8"/>
      <c r="Y891" s="246"/>
    </row>
    <row r="892" spans="2:25" ht="60" customHeight="1" x14ac:dyDescent="0.25">
      <c r="B892" s="207" t="s">
        <v>161</v>
      </c>
      <c r="C892" s="66" t="s">
        <v>645</v>
      </c>
      <c r="D892" s="4" t="s">
        <v>648</v>
      </c>
      <c r="E892" s="4" t="s">
        <v>1025</v>
      </c>
      <c r="F892" s="4" t="s">
        <v>654</v>
      </c>
      <c r="G892" s="4" t="s">
        <v>655</v>
      </c>
      <c r="H892" s="208">
        <v>2</v>
      </c>
      <c r="I892" s="4"/>
      <c r="J892" s="15"/>
      <c r="K892" s="4" t="str">
        <f>_xlfn.IFNA(VLOOKUP($J892,WH_Data[],6,FALSE),"")</f>
        <v/>
      </c>
      <c r="L892" s="4" t="str">
        <f>_xlfn.IFNA(VLOOKUP($J892,WH_Data[],3,FALSE),"")</f>
        <v/>
      </c>
      <c r="M892" s="4" t="str">
        <f>_xlfn.IFNA(VLOOKUP($J892,WH_Data[],5,FALSE),"")</f>
        <v/>
      </c>
      <c r="N892" s="4" t="str">
        <f>_xlfn.IFNA(VLOOKUP($J892,WH_Data[],7,FALSE),"")</f>
        <v/>
      </c>
      <c r="O892" s="4" t="str">
        <f>_xlfn.IFNA(VLOOKUP($J892,WH_Data[],8,FALSE),"")</f>
        <v/>
      </c>
      <c r="P892" s="8"/>
      <c r="Q892" s="209">
        <f>Mon_ILR2[[#This Row],[Qty Required]]-Mon_ILR2[[#This Row],[QTY Transfer]]</f>
        <v>2</v>
      </c>
      <c r="R892" s="66" t="s">
        <v>905</v>
      </c>
      <c r="S892" s="66" t="s">
        <v>903</v>
      </c>
      <c r="T892" s="210">
        <f>_xlfn.IFNA(VLOOKUP(Mon_ILR2[[#This Row],[New Model]],PhilipsLibary[],4,FALSE),"0")</f>
        <v>2362</v>
      </c>
      <c r="U892" s="210">
        <f>_xlfn.IFNA(VLOOKUP(Mon_ILR2[[#This Row],[New Model]],PhilipsLibary[],5,FALSE),"0")</f>
        <v>0</v>
      </c>
      <c r="V892" s="210">
        <f>_xlfn.IFNA(VLOOKUP(Mon_ILR2[[#This Row],[New Model]],PhilipsLibary[],5,FALSE),"0")</f>
        <v>0</v>
      </c>
      <c r="W892" s="210">
        <f>Mon_ILR2[[#This Row],[Accessory Rate]]+Mon_ILR2[[#This Row],[Mounting Rate]]+Mon_ILR2[[#This Row],[Unit Rate]]*Mon_ILR2[[#This Row],[New Quantity Required ]]</f>
        <v>4724</v>
      </c>
      <c r="X892" s="8"/>
      <c r="Y892" s="246"/>
    </row>
    <row r="893" spans="2:25" ht="60" customHeight="1" x14ac:dyDescent="0.25">
      <c r="B893" s="207" t="s">
        <v>161</v>
      </c>
      <c r="C893" s="66" t="s">
        <v>174</v>
      </c>
      <c r="D893" s="4" t="s">
        <v>175</v>
      </c>
      <c r="E893" s="4" t="s">
        <v>956</v>
      </c>
      <c r="F893" s="4" t="s">
        <v>974</v>
      </c>
      <c r="G893" s="4" t="s">
        <v>655</v>
      </c>
      <c r="H893" s="208">
        <v>2</v>
      </c>
      <c r="I893" s="4"/>
      <c r="J893" s="46" t="s">
        <v>1251</v>
      </c>
      <c r="K893" s="4" t="str">
        <f>VLOOKUP(Mon_ILR2[[#This Row],[TRANSFER BARCODE]],WH_Data[],6,FALSE)</f>
        <v>DOCKING STATION, BATTERY, TELEMETRY</v>
      </c>
      <c r="L893" s="4" t="str">
        <f>VLOOKUP(Mon_ILR2[[#This Row],[TRANSFER BARCODE]],WH_Data[],4,FALSE)</f>
        <v>865220</v>
      </c>
      <c r="M893" s="4" t="str">
        <f>VLOOKUP(Mon_ILR2[[#This Row],[TRANSFER BARCODE]],WH_Data[],5,FALSE)</f>
        <v>Mx40 IntelliVue Battery Charging Station</v>
      </c>
      <c r="N893" s="4" t="str">
        <f>VLOOKUP(Mon_ILR2[[#This Row],[TRANSFER BARCODE]],WH_Data[],7,FALSE)</f>
        <v>DE66812747</v>
      </c>
      <c r="O893" s="4" t="str">
        <f>VLOOKUP(Mon_ILR2[[#This Row],[TRANSFER BARCODE]],WH_Data[],8,FALSE)</f>
        <v>CCU FH</v>
      </c>
      <c r="P893" s="191">
        <v>1</v>
      </c>
      <c r="Q893" s="209">
        <f>Mon_ILR2[[#This Row],[Qty Required]]-Mon_ILR2[[#This Row],[QTY Transfer]]</f>
        <v>1</v>
      </c>
      <c r="R893" s="66" t="s">
        <v>905</v>
      </c>
      <c r="S893" s="66" t="s">
        <v>973</v>
      </c>
      <c r="T893" s="210">
        <f>_xlfn.IFNA(VLOOKUP(Mon_ILR2[[#This Row],[New Model]],PhilipsLibary[],4,FALSE),"0")</f>
        <v>2051</v>
      </c>
      <c r="U893" s="210">
        <f>_xlfn.IFNA(VLOOKUP(Mon_ILR2[[#This Row],[New Model]],PhilipsLibary[],5,FALSE),"0")</f>
        <v>0</v>
      </c>
      <c r="V893" s="210">
        <f>_xlfn.IFNA(VLOOKUP(Mon_ILR2[[#This Row],[New Model]],PhilipsLibary[],5,FALSE),"0")</f>
        <v>0</v>
      </c>
      <c r="W893" s="210">
        <f>Mon_ILR2[[#This Row],[Accessory Rate]]+Mon_ILR2[[#This Row],[Mounting Rate]]+Mon_ILR2[[#This Row],[Unit Rate]]*Mon_ILR2[[#This Row],[New Quantity Required ]]</f>
        <v>2051</v>
      </c>
      <c r="X893" s="8"/>
      <c r="Y893" s="246"/>
    </row>
    <row r="894" spans="2:25" ht="60" customHeight="1" x14ac:dyDescent="0.25">
      <c r="B894" s="207" t="s">
        <v>161</v>
      </c>
      <c r="C894" s="66" t="s">
        <v>174</v>
      </c>
      <c r="D894" s="4" t="s">
        <v>175</v>
      </c>
      <c r="E894" s="4" t="s">
        <v>956</v>
      </c>
      <c r="F894" s="4" t="s">
        <v>974</v>
      </c>
      <c r="G894" s="4" t="s">
        <v>655</v>
      </c>
      <c r="H894" s="208">
        <v>2</v>
      </c>
      <c r="I894" s="4"/>
      <c r="J894" s="46" t="s">
        <v>1252</v>
      </c>
      <c r="K894" s="4" t="str">
        <f>VLOOKUP(Mon_ILR2[[#This Row],[TRANSFER BARCODE]],WH_Data[],6,FALSE)</f>
        <v>DOCKING STATION, BATTERY, TELEMETRY</v>
      </c>
      <c r="L894" s="4" t="str">
        <f>VLOOKUP(Mon_ILR2[[#This Row],[TRANSFER BARCODE]],WH_Data[],4,FALSE)</f>
        <v>865220</v>
      </c>
      <c r="M894" s="4" t="str">
        <f>VLOOKUP(Mon_ILR2[[#This Row],[TRANSFER BARCODE]],WH_Data[],5,FALSE)</f>
        <v>Mx40 IntelliVue Battery Charging Station</v>
      </c>
      <c r="N894" s="4" t="str">
        <f>VLOOKUP(Mon_ILR2[[#This Row],[TRANSFER BARCODE]],WH_Data[],7,FALSE)</f>
        <v>DE66812766</v>
      </c>
      <c r="O894" s="4" t="str">
        <f>VLOOKUP(Mon_ILR2[[#This Row],[TRANSFER BARCODE]],WH_Data[],8,FALSE)</f>
        <v>CCU FH</v>
      </c>
      <c r="P894" s="191">
        <v>1</v>
      </c>
      <c r="Q894" s="209">
        <f>Mon_ILR2[[#This Row],[Qty Required]]-Mon_ILR2[[#This Row],[QTY Transfer]]</f>
        <v>1</v>
      </c>
      <c r="R894" s="66" t="s">
        <v>905</v>
      </c>
      <c r="S894" s="66" t="s">
        <v>973</v>
      </c>
      <c r="T894" s="210">
        <f>_xlfn.IFNA(VLOOKUP(Mon_ILR2[[#This Row],[New Model]],PhilipsLibary[],4,FALSE),"0")</f>
        <v>2051</v>
      </c>
      <c r="U894" s="210">
        <f>_xlfn.IFNA(VLOOKUP(Mon_ILR2[[#This Row],[New Model]],PhilipsLibary[],5,FALSE),"0")</f>
        <v>0</v>
      </c>
      <c r="V894" s="210">
        <f>_xlfn.IFNA(VLOOKUP(Mon_ILR2[[#This Row],[New Model]],PhilipsLibary[],5,FALSE),"0")</f>
        <v>0</v>
      </c>
      <c r="W894" s="210">
        <f>Mon_ILR2[[#This Row],[Accessory Rate]]+Mon_ILR2[[#This Row],[Mounting Rate]]+Mon_ILR2[[#This Row],[Unit Rate]]*Mon_ILR2[[#This Row],[New Quantity Required ]]</f>
        <v>2051</v>
      </c>
      <c r="X894" s="8"/>
      <c r="Y894" s="246"/>
    </row>
    <row r="895" spans="2:25" ht="60" customHeight="1" x14ac:dyDescent="0.25">
      <c r="B895" s="207" t="s">
        <v>161</v>
      </c>
      <c r="C895" s="66" t="s">
        <v>174</v>
      </c>
      <c r="D895" s="4" t="s">
        <v>175</v>
      </c>
      <c r="E895" s="4" t="s">
        <v>956</v>
      </c>
      <c r="F895" s="4" t="s">
        <v>974</v>
      </c>
      <c r="G895" s="4" t="s">
        <v>655</v>
      </c>
      <c r="H895" s="208">
        <v>2</v>
      </c>
      <c r="I895" s="4"/>
      <c r="J895" s="46" t="s">
        <v>1253</v>
      </c>
      <c r="K895" s="4" t="str">
        <f>VLOOKUP(Mon_ILR2[[#This Row],[TRANSFER BARCODE]],WH_Data[],6,FALSE)</f>
        <v>DOCKING STATION, BATTERY, TELEMETRY</v>
      </c>
      <c r="L895" s="4" t="str">
        <f>VLOOKUP(Mon_ILR2[[#This Row],[TRANSFER BARCODE]],WH_Data[],4,FALSE)</f>
        <v>865220</v>
      </c>
      <c r="M895" s="4" t="str">
        <f>VLOOKUP(Mon_ILR2[[#This Row],[TRANSFER BARCODE]],WH_Data[],5,FALSE)</f>
        <v>Mx40 IntelliVue Battery Charging Station</v>
      </c>
      <c r="N895" s="4" t="str">
        <f>VLOOKUP(Mon_ILR2[[#This Row],[TRANSFER BARCODE]],WH_Data[],7,FALSE)</f>
        <v>DE66812739</v>
      </c>
      <c r="O895" s="4" t="str">
        <f>VLOOKUP(Mon_ILR2[[#This Row],[TRANSFER BARCODE]],WH_Data[],8,FALSE)</f>
        <v>CCU FH</v>
      </c>
      <c r="P895" s="191">
        <v>1</v>
      </c>
      <c r="Q895" s="209">
        <f>Mon_ILR2[[#This Row],[Qty Required]]-Mon_ILR2[[#This Row],[QTY Transfer]]</f>
        <v>1</v>
      </c>
      <c r="R895" s="66" t="s">
        <v>905</v>
      </c>
      <c r="S895" s="66" t="s">
        <v>973</v>
      </c>
      <c r="T895" s="210">
        <f>_xlfn.IFNA(VLOOKUP(Mon_ILR2[[#This Row],[New Model]],PhilipsLibary[],4,FALSE),"0")</f>
        <v>2051</v>
      </c>
      <c r="U895" s="210">
        <f>_xlfn.IFNA(VLOOKUP(Mon_ILR2[[#This Row],[New Model]],PhilipsLibary[],5,FALSE),"0")</f>
        <v>0</v>
      </c>
      <c r="V895" s="210">
        <f>_xlfn.IFNA(VLOOKUP(Mon_ILR2[[#This Row],[New Model]],PhilipsLibary[],5,FALSE),"0")</f>
        <v>0</v>
      </c>
      <c r="W895" s="210">
        <f>Mon_ILR2[[#This Row],[Accessory Rate]]+Mon_ILR2[[#This Row],[Mounting Rate]]+Mon_ILR2[[#This Row],[Unit Rate]]*Mon_ILR2[[#This Row],[New Quantity Required ]]</f>
        <v>2051</v>
      </c>
      <c r="X895" s="8"/>
      <c r="Y895" s="246"/>
    </row>
    <row r="896" spans="2:25" ht="60" customHeight="1" x14ac:dyDescent="0.25">
      <c r="B896" s="207" t="s">
        <v>161</v>
      </c>
      <c r="C896" s="66" t="s">
        <v>174</v>
      </c>
      <c r="D896" s="4" t="s">
        <v>175</v>
      </c>
      <c r="E896" s="4" t="s">
        <v>956</v>
      </c>
      <c r="F896" s="4" t="s">
        <v>974</v>
      </c>
      <c r="G896" s="4" t="s">
        <v>655</v>
      </c>
      <c r="H896" s="208">
        <v>2</v>
      </c>
      <c r="I896" s="4"/>
      <c r="J896" s="46" t="s">
        <v>1254</v>
      </c>
      <c r="K896" s="4" t="str">
        <f>VLOOKUP(Mon_ILR2[[#This Row],[TRANSFER BARCODE]],WH_Data[],6,FALSE)</f>
        <v>DOCKING STATION, BATTERY, TELEMETRY</v>
      </c>
      <c r="L896" s="4" t="str">
        <f>VLOOKUP(Mon_ILR2[[#This Row],[TRANSFER BARCODE]],WH_Data[],4,FALSE)</f>
        <v>865220</v>
      </c>
      <c r="M896" s="4" t="str">
        <f>VLOOKUP(Mon_ILR2[[#This Row],[TRANSFER BARCODE]],WH_Data[],5,FALSE)</f>
        <v>Mx40 IntelliVue Battery Charging Station</v>
      </c>
      <c r="N896" s="4" t="str">
        <f>VLOOKUP(Mon_ILR2[[#This Row],[TRANSFER BARCODE]],WH_Data[],7,FALSE)</f>
        <v>DE66812755</v>
      </c>
      <c r="O896" s="4" t="str">
        <f>VLOOKUP(Mon_ILR2[[#This Row],[TRANSFER BARCODE]],WH_Data[],8,FALSE)</f>
        <v>CCU FH</v>
      </c>
      <c r="P896" s="191">
        <v>1</v>
      </c>
      <c r="Q896" s="209">
        <f>Mon_ILR2[[#This Row],[Qty Required]]-Mon_ILR2[[#This Row],[QTY Transfer]]</f>
        <v>1</v>
      </c>
      <c r="R896" s="66" t="s">
        <v>905</v>
      </c>
      <c r="S896" s="66" t="s">
        <v>973</v>
      </c>
      <c r="T896" s="210">
        <f>_xlfn.IFNA(VLOOKUP(Mon_ILR2[[#This Row],[New Model]],PhilipsLibary[],4,FALSE),"0")</f>
        <v>2051</v>
      </c>
      <c r="U896" s="210">
        <f>_xlfn.IFNA(VLOOKUP(Mon_ILR2[[#This Row],[New Model]],PhilipsLibary[],5,FALSE),"0")</f>
        <v>0</v>
      </c>
      <c r="V896" s="210">
        <f>_xlfn.IFNA(VLOOKUP(Mon_ILR2[[#This Row],[New Model]],PhilipsLibary[],5,FALSE),"0")</f>
        <v>0</v>
      </c>
      <c r="W896" s="210">
        <f>Mon_ILR2[[#This Row],[Accessory Rate]]+Mon_ILR2[[#This Row],[Mounting Rate]]+Mon_ILR2[[#This Row],[Unit Rate]]*Mon_ILR2[[#This Row],[New Quantity Required ]]</f>
        <v>2051</v>
      </c>
      <c r="X896" s="8"/>
      <c r="Y896" s="246"/>
    </row>
    <row r="897" spans="2:41" ht="60" customHeight="1" x14ac:dyDescent="0.25">
      <c r="B897" s="207" t="s">
        <v>275</v>
      </c>
      <c r="C897" s="66" t="s">
        <v>645</v>
      </c>
      <c r="D897" s="4" t="s">
        <v>659</v>
      </c>
      <c r="E897" s="4" t="s">
        <v>1025</v>
      </c>
      <c r="F897" s="4" t="s">
        <v>654</v>
      </c>
      <c r="G897" s="4" t="s">
        <v>655</v>
      </c>
      <c r="H897" s="208">
        <v>2</v>
      </c>
      <c r="I897" s="4"/>
      <c r="J897" s="15"/>
      <c r="K897" s="4" t="str">
        <f>_xlfn.IFNA(VLOOKUP($J897,WH_Data[],6,FALSE),"")</f>
        <v/>
      </c>
      <c r="L897" s="4" t="str">
        <f>_xlfn.IFNA(VLOOKUP($J897,WH_Data[],3,FALSE),"")</f>
        <v/>
      </c>
      <c r="M897" s="4" t="str">
        <f>_xlfn.IFNA(VLOOKUP($J897,WH_Data[],5,FALSE),"")</f>
        <v/>
      </c>
      <c r="N897" s="4" t="str">
        <f>_xlfn.IFNA(VLOOKUP($J897,WH_Data[],7,FALSE),"")</f>
        <v/>
      </c>
      <c r="O897" s="4" t="str">
        <f>_xlfn.IFNA(VLOOKUP($J897,WH_Data[],8,FALSE),"")</f>
        <v/>
      </c>
      <c r="P897" s="8"/>
      <c r="Q897" s="300">
        <v>1</v>
      </c>
      <c r="R897" s="66" t="s">
        <v>905</v>
      </c>
      <c r="S897" s="66" t="s">
        <v>903</v>
      </c>
      <c r="T897" s="210">
        <f>_xlfn.IFNA(VLOOKUP(Mon_ILR2[[#This Row],[New Model]],PhilipsLibary[],4,FALSE),"0")</f>
        <v>2362</v>
      </c>
      <c r="U897" s="303">
        <v>199</v>
      </c>
      <c r="V897" s="210">
        <f>_xlfn.IFNA(VLOOKUP(Mon_ILR2[[#This Row],[New Model]],PhilipsLibary[],5,FALSE),"0")</f>
        <v>0</v>
      </c>
      <c r="W897" s="210">
        <f>Mon_ILR2[[#This Row],[Accessory Rate]]+Mon_ILR2[[#This Row],[Mounting Rate]]+Mon_ILR2[[#This Row],[Unit Rate]]*Mon_ILR2[[#This Row],[New Quantity Required ]]</f>
        <v>2561</v>
      </c>
      <c r="X897" s="8"/>
      <c r="Y897" s="302" t="s">
        <v>2184</v>
      </c>
      <c r="Z897" s="6" t="s">
        <v>643</v>
      </c>
      <c r="AA897" s="6" t="s">
        <v>50</v>
      </c>
      <c r="AB897" s="6" t="s">
        <v>50</v>
      </c>
      <c r="AC897" s="6" t="s">
        <v>50</v>
      </c>
      <c r="AD897" s="6" t="s">
        <v>50</v>
      </c>
      <c r="AE897" s="6" t="s">
        <v>50</v>
      </c>
      <c r="AF897" s="6" t="s">
        <v>50</v>
      </c>
      <c r="AG897" s="6" t="s">
        <v>50</v>
      </c>
      <c r="AH897" s="6" t="s">
        <v>50</v>
      </c>
      <c r="AI897" s="6" t="s">
        <v>50</v>
      </c>
      <c r="AJ897" s="6" t="s">
        <v>50</v>
      </c>
      <c r="AK897" s="6" t="s">
        <v>50</v>
      </c>
      <c r="AL897" s="6" t="s">
        <v>50</v>
      </c>
      <c r="AM897" s="6" t="s">
        <v>50</v>
      </c>
      <c r="AN897" s="6" t="s">
        <v>50</v>
      </c>
      <c r="AO897" s="6" t="s">
        <v>54</v>
      </c>
    </row>
    <row r="898" spans="2:41" ht="60" customHeight="1" x14ac:dyDescent="0.25">
      <c r="B898" s="207" t="s">
        <v>275</v>
      </c>
      <c r="C898" s="66" t="s">
        <v>645</v>
      </c>
      <c r="D898" s="4" t="s">
        <v>653</v>
      </c>
      <c r="E898" s="4" t="s">
        <v>1025</v>
      </c>
      <c r="F898" s="4" t="s">
        <v>654</v>
      </c>
      <c r="G898" s="4" t="s">
        <v>655</v>
      </c>
      <c r="H898" s="208">
        <v>2</v>
      </c>
      <c r="I898" s="4"/>
      <c r="J898" s="15"/>
      <c r="K898" s="4" t="str">
        <f>_xlfn.IFNA(VLOOKUP($J898,WH_Data[],6,FALSE),"")</f>
        <v/>
      </c>
      <c r="L898" s="4" t="str">
        <f>_xlfn.IFNA(VLOOKUP($J898,WH_Data[],3,FALSE),"")</f>
        <v/>
      </c>
      <c r="M898" s="4" t="str">
        <f>_xlfn.IFNA(VLOOKUP($J898,WH_Data[],5,FALSE),"")</f>
        <v/>
      </c>
      <c r="N898" s="4" t="str">
        <f>_xlfn.IFNA(VLOOKUP($J898,WH_Data[],7,FALSE),"")</f>
        <v/>
      </c>
      <c r="O898" s="4" t="str">
        <f>_xlfn.IFNA(VLOOKUP($J898,WH_Data[],8,FALSE),"")</f>
        <v/>
      </c>
      <c r="P898" s="8"/>
      <c r="Q898" s="300">
        <v>1</v>
      </c>
      <c r="R898" s="66" t="s">
        <v>905</v>
      </c>
      <c r="S898" s="66" t="s">
        <v>903</v>
      </c>
      <c r="T898" s="210">
        <f>_xlfn.IFNA(VLOOKUP(Mon_ILR2[[#This Row],[New Model]],PhilipsLibary[],4,FALSE),"0")</f>
        <v>2362</v>
      </c>
      <c r="U898" s="303">
        <v>199</v>
      </c>
      <c r="V898" s="210">
        <f>_xlfn.IFNA(VLOOKUP(Mon_ILR2[[#This Row],[New Model]],PhilipsLibary[],5,FALSE),"0")</f>
        <v>0</v>
      </c>
      <c r="W898" s="210">
        <f>Mon_ILR2[[#This Row],[Accessory Rate]]+Mon_ILR2[[#This Row],[Mounting Rate]]+Mon_ILR2[[#This Row],[Unit Rate]]*Mon_ILR2[[#This Row],[New Quantity Required ]]</f>
        <v>2561</v>
      </c>
      <c r="X898" s="8"/>
      <c r="Y898" s="302" t="s">
        <v>2184</v>
      </c>
      <c r="Z898" s="6" t="s">
        <v>643</v>
      </c>
      <c r="AA898" s="6" t="s">
        <v>50</v>
      </c>
      <c r="AB898" s="6" t="s">
        <v>50</v>
      </c>
      <c r="AC898" s="6" t="s">
        <v>50</v>
      </c>
      <c r="AD898" s="6" t="s">
        <v>50</v>
      </c>
      <c r="AE898" s="6" t="s">
        <v>50</v>
      </c>
      <c r="AF898" s="6" t="s">
        <v>50</v>
      </c>
      <c r="AG898" s="6" t="s">
        <v>50</v>
      </c>
      <c r="AH898" s="6" t="s">
        <v>50</v>
      </c>
      <c r="AI898" s="6" t="s">
        <v>50</v>
      </c>
      <c r="AJ898" s="6" t="s">
        <v>50</v>
      </c>
      <c r="AK898" s="6" t="s">
        <v>50</v>
      </c>
      <c r="AL898" s="6" t="s">
        <v>50</v>
      </c>
      <c r="AM898" s="6" t="s">
        <v>50</v>
      </c>
      <c r="AN898" s="6" t="s">
        <v>50</v>
      </c>
      <c r="AO898" s="6" t="s">
        <v>54</v>
      </c>
    </row>
    <row r="899" spans="2:41" ht="60" customHeight="1" x14ac:dyDescent="0.25">
      <c r="B899" s="207" t="s">
        <v>275</v>
      </c>
      <c r="C899" s="66" t="s">
        <v>645</v>
      </c>
      <c r="D899" s="4" t="s">
        <v>656</v>
      </c>
      <c r="E899" s="4" t="s">
        <v>1025</v>
      </c>
      <c r="F899" s="4" t="s">
        <v>654</v>
      </c>
      <c r="G899" s="4" t="s">
        <v>655</v>
      </c>
      <c r="H899" s="208">
        <v>2</v>
      </c>
      <c r="I899" s="4"/>
      <c r="J899" s="15"/>
      <c r="K899" s="4" t="str">
        <f>_xlfn.IFNA(VLOOKUP($J899,WH_Data[],6,FALSE),"")</f>
        <v/>
      </c>
      <c r="L899" s="4" t="str">
        <f>_xlfn.IFNA(VLOOKUP($J899,WH_Data[],3,FALSE),"")</f>
        <v/>
      </c>
      <c r="M899" s="4" t="str">
        <f>_xlfn.IFNA(VLOOKUP($J899,WH_Data[],5,FALSE),"")</f>
        <v/>
      </c>
      <c r="N899" s="4" t="str">
        <f>_xlfn.IFNA(VLOOKUP($J899,WH_Data[],7,FALSE),"")</f>
        <v/>
      </c>
      <c r="O899" s="4" t="str">
        <f>_xlfn.IFNA(VLOOKUP($J899,WH_Data[],8,FALSE),"")</f>
        <v/>
      </c>
      <c r="P899" s="8"/>
      <c r="Q899" s="300">
        <v>1</v>
      </c>
      <c r="R899" s="66" t="s">
        <v>905</v>
      </c>
      <c r="S899" s="66" t="s">
        <v>903</v>
      </c>
      <c r="T899" s="210">
        <f>_xlfn.IFNA(VLOOKUP(Mon_ILR2[[#This Row],[New Model]],PhilipsLibary[],4,FALSE),"0")</f>
        <v>2362</v>
      </c>
      <c r="U899" s="303">
        <v>199</v>
      </c>
      <c r="V899" s="210">
        <f>_xlfn.IFNA(VLOOKUP(Mon_ILR2[[#This Row],[New Model]],PhilipsLibary[],5,FALSE),"0")</f>
        <v>0</v>
      </c>
      <c r="W899" s="210">
        <f>Mon_ILR2[[#This Row],[Accessory Rate]]+Mon_ILR2[[#This Row],[Mounting Rate]]+Mon_ILR2[[#This Row],[Unit Rate]]*Mon_ILR2[[#This Row],[New Quantity Required ]]</f>
        <v>2561</v>
      </c>
      <c r="X899" s="8"/>
      <c r="Y899" s="302" t="s">
        <v>2184</v>
      </c>
      <c r="Z899" s="6" t="s">
        <v>643</v>
      </c>
      <c r="AA899" s="6" t="s">
        <v>50</v>
      </c>
      <c r="AB899" s="6" t="s">
        <v>50</v>
      </c>
      <c r="AC899" s="6" t="s">
        <v>50</v>
      </c>
      <c r="AD899" s="6" t="s">
        <v>50</v>
      </c>
      <c r="AE899" s="6" t="s">
        <v>50</v>
      </c>
      <c r="AF899" s="6" t="s">
        <v>50</v>
      </c>
      <c r="AG899" s="6" t="s">
        <v>50</v>
      </c>
      <c r="AH899" s="6" t="s">
        <v>50</v>
      </c>
      <c r="AI899" s="6" t="s">
        <v>50</v>
      </c>
      <c r="AJ899" s="6" t="s">
        <v>50</v>
      </c>
      <c r="AK899" s="6" t="s">
        <v>50</v>
      </c>
      <c r="AL899" s="6" t="s">
        <v>50</v>
      </c>
      <c r="AM899" s="6" t="s">
        <v>50</v>
      </c>
      <c r="AN899" s="6" t="s">
        <v>50</v>
      </c>
      <c r="AO899" s="6" t="s">
        <v>54</v>
      </c>
    </row>
    <row r="900" spans="2:41" ht="60" customHeight="1" x14ac:dyDescent="0.25">
      <c r="B900" s="207" t="s">
        <v>275</v>
      </c>
      <c r="C900" s="66" t="s">
        <v>645</v>
      </c>
      <c r="D900" s="4" t="s">
        <v>658</v>
      </c>
      <c r="E900" s="4" t="s">
        <v>1025</v>
      </c>
      <c r="F900" s="4" t="s">
        <v>654</v>
      </c>
      <c r="G900" s="4" t="s">
        <v>655</v>
      </c>
      <c r="H900" s="208">
        <v>2</v>
      </c>
      <c r="I900" s="4"/>
      <c r="J900" s="15"/>
      <c r="K900" s="4" t="str">
        <f>_xlfn.IFNA(VLOOKUP($J900,WH_Data[],6,FALSE),"")</f>
        <v/>
      </c>
      <c r="L900" s="4" t="str">
        <f>_xlfn.IFNA(VLOOKUP($J900,WH_Data[],3,FALSE),"")</f>
        <v/>
      </c>
      <c r="M900" s="4" t="str">
        <f>_xlfn.IFNA(VLOOKUP($J900,WH_Data[],5,FALSE),"")</f>
        <v/>
      </c>
      <c r="N900" s="4" t="str">
        <f>_xlfn.IFNA(VLOOKUP($J900,WH_Data[],7,FALSE),"")</f>
        <v/>
      </c>
      <c r="O900" s="4" t="str">
        <f>_xlfn.IFNA(VLOOKUP($J900,WH_Data[],8,FALSE),"")</f>
        <v/>
      </c>
      <c r="P900" s="8"/>
      <c r="Q900" s="209">
        <f>Mon_ILR2[[#This Row],[Qty Required]]-Mon_ILR2[[#This Row],[QTY Transfer]]</f>
        <v>2</v>
      </c>
      <c r="R900" s="66" t="s">
        <v>905</v>
      </c>
      <c r="S900" s="66" t="s">
        <v>903</v>
      </c>
      <c r="T900" s="210">
        <f>_xlfn.IFNA(VLOOKUP(Mon_ILR2[[#This Row],[New Model]],PhilipsLibary[],4,FALSE),"0")</f>
        <v>2362</v>
      </c>
      <c r="U900" s="303">
        <v>398</v>
      </c>
      <c r="V900" s="210">
        <f>_xlfn.IFNA(VLOOKUP(Mon_ILR2[[#This Row],[New Model]],PhilipsLibary[],5,FALSE),"0")</f>
        <v>0</v>
      </c>
      <c r="W900" s="210">
        <f>Mon_ILR2[[#This Row],[Accessory Rate]]+Mon_ILR2[[#This Row],[Mounting Rate]]+Mon_ILR2[[#This Row],[Unit Rate]]*Mon_ILR2[[#This Row],[New Quantity Required ]]</f>
        <v>5122</v>
      </c>
      <c r="X900" s="8"/>
      <c r="Y900" s="302" t="s">
        <v>2185</v>
      </c>
    </row>
    <row r="901" spans="2:41" ht="60" customHeight="1" x14ac:dyDescent="0.25">
      <c r="B901" s="207" t="s">
        <v>299</v>
      </c>
      <c r="C901" s="66" t="s">
        <v>645</v>
      </c>
      <c r="D901" s="4" t="s">
        <v>771</v>
      </c>
      <c r="E901" s="4" t="s">
        <v>1025</v>
      </c>
      <c r="F901" s="4" t="s">
        <v>654</v>
      </c>
      <c r="G901" s="304" t="s">
        <v>39</v>
      </c>
      <c r="H901" s="208">
        <v>1</v>
      </c>
      <c r="I901" s="4"/>
      <c r="J901" s="15"/>
      <c r="K901" s="4" t="str">
        <f>_xlfn.IFNA(VLOOKUP($J901,WH_Data[],6,FALSE),"")</f>
        <v/>
      </c>
      <c r="L901" s="4" t="str">
        <f>_xlfn.IFNA(VLOOKUP($J901,WH_Data[],3,FALSE),"")</f>
        <v/>
      </c>
      <c r="M901" s="4" t="str">
        <f>_xlfn.IFNA(VLOOKUP($J901,WH_Data[],5,FALSE),"")</f>
        <v/>
      </c>
      <c r="N901" s="4" t="str">
        <f>_xlfn.IFNA(VLOOKUP($J901,WH_Data[],7,FALSE),"")</f>
        <v/>
      </c>
      <c r="O901" s="4" t="str">
        <f>_xlfn.IFNA(VLOOKUP($J901,WH_Data[],8,FALSE),"")</f>
        <v/>
      </c>
      <c r="P901" s="8"/>
      <c r="Q901" s="209">
        <f>Mon_ILR2[[#This Row],[Qty Required]]-Mon_ILR2[[#This Row],[QTY Transfer]]</f>
        <v>1</v>
      </c>
      <c r="R901" s="66" t="s">
        <v>905</v>
      </c>
      <c r="S901" s="66" t="s">
        <v>903</v>
      </c>
      <c r="T901" s="210">
        <f>_xlfn.IFNA(VLOOKUP(Mon_ILR2[[#This Row],[New Model]],PhilipsLibary[],4,FALSE),"0")</f>
        <v>2362</v>
      </c>
      <c r="U901" s="303">
        <v>199</v>
      </c>
      <c r="V901" s="210">
        <f>_xlfn.IFNA(VLOOKUP(Mon_ILR2[[#This Row],[New Model]],PhilipsLibary[],5,FALSE),"0")</f>
        <v>0</v>
      </c>
      <c r="W901" s="210">
        <f>Mon_ILR2[[#This Row],[Accessory Rate]]+Mon_ILR2[[#This Row],[Mounting Rate]]+Mon_ILR2[[#This Row],[Unit Rate]]*Mon_ILR2[[#This Row],[New Quantity Required ]]</f>
        <v>2561</v>
      </c>
      <c r="X901" s="8"/>
      <c r="Y901" s="302" t="s">
        <v>2170</v>
      </c>
      <c r="Z901" s="6" t="s">
        <v>643</v>
      </c>
      <c r="AA901" s="6" t="s">
        <v>50</v>
      </c>
      <c r="AB901" s="6" t="s">
        <v>50</v>
      </c>
      <c r="AC901" s="6" t="s">
        <v>50</v>
      </c>
      <c r="AD901" s="6" t="s">
        <v>50</v>
      </c>
      <c r="AE901" s="6" t="s">
        <v>50</v>
      </c>
      <c r="AF901" s="6" t="s">
        <v>50</v>
      </c>
      <c r="AG901" s="6" t="s">
        <v>50</v>
      </c>
      <c r="AH901" s="6" t="s">
        <v>50</v>
      </c>
      <c r="AI901" s="6" t="s">
        <v>50</v>
      </c>
      <c r="AJ901" s="6" t="s">
        <v>50</v>
      </c>
      <c r="AK901" s="6" t="s">
        <v>50</v>
      </c>
      <c r="AL901" s="6" t="s">
        <v>50</v>
      </c>
      <c r="AM901" s="6" t="s">
        <v>50</v>
      </c>
      <c r="AN901" s="6" t="s">
        <v>50</v>
      </c>
      <c r="AO901" s="6" t="s">
        <v>54</v>
      </c>
    </row>
    <row r="902" spans="2:41" ht="60" customHeight="1" x14ac:dyDescent="0.25">
      <c r="B902" s="207" t="s">
        <v>299</v>
      </c>
      <c r="C902" s="66" t="s">
        <v>645</v>
      </c>
      <c r="D902" s="4" t="s">
        <v>771</v>
      </c>
      <c r="E902" s="4" t="s">
        <v>1025</v>
      </c>
      <c r="F902" s="4" t="s">
        <v>654</v>
      </c>
      <c r="G902" s="304" t="s">
        <v>39</v>
      </c>
      <c r="H902" s="208">
        <v>1</v>
      </c>
      <c r="I902" s="4"/>
      <c r="J902" s="15"/>
      <c r="K902" s="4" t="str">
        <f>_xlfn.IFNA(VLOOKUP($J902,WH_Data[],6,FALSE),"")</f>
        <v/>
      </c>
      <c r="L902" s="4" t="str">
        <f>_xlfn.IFNA(VLOOKUP($J902,WH_Data[],3,FALSE),"")</f>
        <v/>
      </c>
      <c r="M902" s="4" t="str">
        <f>_xlfn.IFNA(VLOOKUP($J902,WH_Data[],5,FALSE),"")</f>
        <v/>
      </c>
      <c r="N902" s="4" t="str">
        <f>_xlfn.IFNA(VLOOKUP($J902,WH_Data[],7,FALSE),"")</f>
        <v/>
      </c>
      <c r="O902" s="4" t="str">
        <f>_xlfn.IFNA(VLOOKUP($J902,WH_Data[],8,FALSE),"")</f>
        <v/>
      </c>
      <c r="P902" s="8"/>
      <c r="Q902" s="209">
        <f>Mon_ILR2[[#This Row],[Qty Required]]-Mon_ILR2[[#This Row],[QTY Transfer]]</f>
        <v>1</v>
      </c>
      <c r="R902" s="66" t="s">
        <v>905</v>
      </c>
      <c r="S902" s="66" t="s">
        <v>903</v>
      </c>
      <c r="T902" s="210">
        <f>_xlfn.IFNA(VLOOKUP(Mon_ILR2[[#This Row],[New Model]],PhilipsLibary[],4,FALSE),"0")</f>
        <v>2362</v>
      </c>
      <c r="U902" s="303">
        <v>199</v>
      </c>
      <c r="V902" s="210">
        <f>_xlfn.IFNA(VLOOKUP(Mon_ILR2[[#This Row],[New Model]],PhilipsLibary[],5,FALSE),"0")</f>
        <v>0</v>
      </c>
      <c r="W902" s="210">
        <f>Mon_ILR2[[#This Row],[Accessory Rate]]+Mon_ILR2[[#This Row],[Mounting Rate]]+Mon_ILR2[[#This Row],[Unit Rate]]*Mon_ILR2[[#This Row],[New Quantity Required ]]</f>
        <v>2561</v>
      </c>
      <c r="X902" s="8"/>
      <c r="Y902" s="302" t="s">
        <v>2170</v>
      </c>
      <c r="Z902" s="6" t="s">
        <v>643</v>
      </c>
      <c r="AA902" s="6" t="s">
        <v>50</v>
      </c>
      <c r="AB902" s="6" t="s">
        <v>50</v>
      </c>
      <c r="AC902" s="6" t="s">
        <v>50</v>
      </c>
      <c r="AD902" s="6" t="s">
        <v>50</v>
      </c>
      <c r="AE902" s="6" t="s">
        <v>50</v>
      </c>
      <c r="AF902" s="6" t="s">
        <v>50</v>
      </c>
      <c r="AG902" s="6" t="s">
        <v>50</v>
      </c>
      <c r="AH902" s="6" t="s">
        <v>50</v>
      </c>
      <c r="AI902" s="6" t="s">
        <v>50</v>
      </c>
      <c r="AJ902" s="6" t="s">
        <v>50</v>
      </c>
      <c r="AK902" s="6" t="s">
        <v>50</v>
      </c>
      <c r="AL902" s="6" t="s">
        <v>50</v>
      </c>
      <c r="AM902" s="6" t="s">
        <v>50</v>
      </c>
      <c r="AN902" s="6" t="s">
        <v>50</v>
      </c>
      <c r="AO902" s="6" t="s">
        <v>54</v>
      </c>
    </row>
    <row r="903" spans="2:41" ht="60" customHeight="1" x14ac:dyDescent="0.25">
      <c r="B903" s="207" t="s">
        <v>35</v>
      </c>
      <c r="C903" s="66" t="s">
        <v>796</v>
      </c>
      <c r="D903" s="4" t="s">
        <v>797</v>
      </c>
      <c r="E903" s="4" t="s">
        <v>1025</v>
      </c>
      <c r="F903" s="4" t="s">
        <v>654</v>
      </c>
      <c r="G903" s="4" t="s">
        <v>655</v>
      </c>
      <c r="H903" s="208">
        <v>2</v>
      </c>
      <c r="I903" s="4"/>
      <c r="J903" s="15"/>
      <c r="K903" s="4" t="str">
        <f>_xlfn.IFNA(VLOOKUP($J903,WH_Data[],6,FALSE),"")</f>
        <v/>
      </c>
      <c r="L903" s="4" t="str">
        <f>_xlfn.IFNA(VLOOKUP($J903,WH_Data[],3,FALSE),"")</f>
        <v/>
      </c>
      <c r="M903" s="4" t="str">
        <f>_xlfn.IFNA(VLOOKUP($J903,WH_Data[],5,FALSE),"")</f>
        <v/>
      </c>
      <c r="N903" s="4" t="str">
        <f>_xlfn.IFNA(VLOOKUP($J903,WH_Data[],7,FALSE),"")</f>
        <v/>
      </c>
      <c r="O903" s="4" t="str">
        <f>_xlfn.IFNA(VLOOKUP($J903,WH_Data[],8,FALSE),"")</f>
        <v/>
      </c>
      <c r="P903" s="8"/>
      <c r="Q903" s="209">
        <f>Mon_ILR2[[#This Row],[Qty Required]]-Mon_ILR2[[#This Row],[QTY Transfer]]</f>
        <v>2</v>
      </c>
      <c r="R903" s="66" t="s">
        <v>905</v>
      </c>
      <c r="S903" s="66" t="s">
        <v>903</v>
      </c>
      <c r="T903" s="210">
        <f>_xlfn.IFNA(VLOOKUP(Mon_ILR2[[#This Row],[New Model]],PhilipsLibary[],4,FALSE),"0")</f>
        <v>2362</v>
      </c>
      <c r="U903" s="210">
        <f>_xlfn.IFNA(VLOOKUP(Mon_ILR2[[#This Row],[New Model]],PhilipsLibary[],5,FALSE),"0")</f>
        <v>0</v>
      </c>
      <c r="V903" s="210">
        <f>_xlfn.IFNA(VLOOKUP(Mon_ILR2[[#This Row],[New Model]],PhilipsLibary[],5,FALSE),"0")</f>
        <v>0</v>
      </c>
      <c r="W903" s="210">
        <f>Mon_ILR2[[#This Row],[Accessory Rate]]+Mon_ILR2[[#This Row],[Mounting Rate]]+Mon_ILR2[[#This Row],[Unit Rate]]*Mon_ILR2[[#This Row],[New Quantity Required ]]</f>
        <v>4724</v>
      </c>
      <c r="X903" s="8"/>
      <c r="Y903" s="246"/>
      <c r="Z903" s="6" t="s">
        <v>683</v>
      </c>
      <c r="AA903" s="6" t="s">
        <v>50</v>
      </c>
      <c r="AB903" s="6" t="s">
        <v>50</v>
      </c>
      <c r="AC903" s="6" t="s">
        <v>50</v>
      </c>
      <c r="AD903" s="6" t="s">
        <v>50</v>
      </c>
      <c r="AE903" s="6" t="s">
        <v>50</v>
      </c>
      <c r="AF903" s="6" t="s">
        <v>50</v>
      </c>
      <c r="AG903" s="6" t="s">
        <v>50</v>
      </c>
      <c r="AH903" s="6" t="s">
        <v>50</v>
      </c>
      <c r="AI903" s="6" t="s">
        <v>50</v>
      </c>
      <c r="AJ903" s="6" t="s">
        <v>50</v>
      </c>
      <c r="AK903" s="6" t="s">
        <v>50</v>
      </c>
      <c r="AL903" s="6" t="s">
        <v>50</v>
      </c>
      <c r="AM903" s="6" t="s">
        <v>50</v>
      </c>
      <c r="AN903" s="6" t="s">
        <v>50</v>
      </c>
      <c r="AO903" s="6" t="s">
        <v>54</v>
      </c>
    </row>
    <row r="904" spans="2:41" ht="30" x14ac:dyDescent="0.25">
      <c r="B904" s="207" t="s">
        <v>35</v>
      </c>
      <c r="C904" s="66" t="s">
        <v>645</v>
      </c>
      <c r="D904" s="4" t="s">
        <v>883</v>
      </c>
      <c r="E904" s="4" t="s">
        <v>1025</v>
      </c>
      <c r="F904" s="4" t="s">
        <v>654</v>
      </c>
      <c r="G904" s="4" t="s">
        <v>655</v>
      </c>
      <c r="H904" s="208">
        <v>2</v>
      </c>
      <c r="I904" s="4"/>
      <c r="J904" s="15"/>
      <c r="K904" s="4" t="str">
        <f>_xlfn.IFNA(VLOOKUP($J904,WH_Data[],6,FALSE),"")</f>
        <v/>
      </c>
      <c r="L904" s="4" t="str">
        <f>_xlfn.IFNA(VLOOKUP($J904,WH_Data[],3,FALSE),"")</f>
        <v/>
      </c>
      <c r="M904" s="4" t="str">
        <f>_xlfn.IFNA(VLOOKUP($J904,WH_Data[],5,FALSE),"")</f>
        <v/>
      </c>
      <c r="N904" s="4" t="str">
        <f>_xlfn.IFNA(VLOOKUP($J904,WH_Data[],7,FALSE),"")</f>
        <v/>
      </c>
      <c r="O904" s="4" t="str">
        <f>_xlfn.IFNA(VLOOKUP($J904,WH_Data[],8,FALSE),"")</f>
        <v/>
      </c>
      <c r="P904" s="8"/>
      <c r="Q904" s="209">
        <f>Mon_ILR2[[#This Row],[Qty Required]]-Mon_ILR2[[#This Row],[QTY Transfer]]</f>
        <v>2</v>
      </c>
      <c r="R904" s="66" t="s">
        <v>905</v>
      </c>
      <c r="S904" s="66" t="s">
        <v>903</v>
      </c>
      <c r="T904" s="210">
        <f>_xlfn.IFNA(VLOOKUP(Mon_ILR2[[#This Row],[New Model]],PhilipsLibary[],4,FALSE),"0")</f>
        <v>2362</v>
      </c>
      <c r="U904" s="210">
        <f>_xlfn.IFNA(VLOOKUP(Mon_ILR2[[#This Row],[New Model]],PhilipsLibary[],5,FALSE),"0")</f>
        <v>0</v>
      </c>
      <c r="V904" s="210">
        <f>_xlfn.IFNA(VLOOKUP(Mon_ILR2[[#This Row],[New Model]],PhilipsLibary[],5,FALSE),"0")</f>
        <v>0</v>
      </c>
      <c r="W904" s="210">
        <f>Mon_ILR2[[#This Row],[Accessory Rate]]+Mon_ILR2[[#This Row],[Mounting Rate]]+Mon_ILR2[[#This Row],[Unit Rate]]*Mon_ILR2[[#This Row],[New Quantity Required ]]</f>
        <v>4724</v>
      </c>
      <c r="X904" s="8"/>
      <c r="Y904" s="246"/>
      <c r="Z904" s="6" t="s">
        <v>643</v>
      </c>
      <c r="AA904" s="6" t="s">
        <v>50</v>
      </c>
      <c r="AB904" s="6" t="s">
        <v>50</v>
      </c>
      <c r="AC904" s="6" t="s">
        <v>50</v>
      </c>
      <c r="AD904" s="6" t="s">
        <v>50</v>
      </c>
      <c r="AE904" s="6" t="s">
        <v>50</v>
      </c>
      <c r="AF904" s="6" t="s">
        <v>50</v>
      </c>
      <c r="AG904" s="6" t="s">
        <v>50</v>
      </c>
      <c r="AH904" s="6" t="s">
        <v>50</v>
      </c>
      <c r="AI904" s="6" t="s">
        <v>50</v>
      </c>
      <c r="AJ904" s="6" t="s">
        <v>50</v>
      </c>
      <c r="AK904" s="6" t="s">
        <v>50</v>
      </c>
      <c r="AL904" s="6" t="s">
        <v>50</v>
      </c>
      <c r="AM904" s="6" t="s">
        <v>50</v>
      </c>
      <c r="AN904" s="6" t="s">
        <v>50</v>
      </c>
      <c r="AO904" s="6" t="s">
        <v>54</v>
      </c>
    </row>
    <row r="905" spans="2:41" ht="105" x14ac:dyDescent="0.25">
      <c r="B905" s="207" t="s">
        <v>275</v>
      </c>
      <c r="C905" s="66" t="s">
        <v>688</v>
      </c>
      <c r="D905" s="4" t="s">
        <v>689</v>
      </c>
      <c r="E905" s="4" t="s">
        <v>1027</v>
      </c>
      <c r="F905" s="4" t="s">
        <v>681</v>
      </c>
      <c r="G905" s="304" t="s">
        <v>39</v>
      </c>
      <c r="H905" s="208">
        <v>1</v>
      </c>
      <c r="I905" s="4"/>
      <c r="J905" s="15"/>
      <c r="K905" s="4" t="str">
        <f>_xlfn.IFNA(VLOOKUP($J905,WH_Data[],6,FALSE),"")</f>
        <v/>
      </c>
      <c r="L905" s="4" t="str">
        <f>_xlfn.IFNA(VLOOKUP($J905,WH_Data[],3,FALSE),"")</f>
        <v/>
      </c>
      <c r="M905" s="4" t="str">
        <f>_xlfn.IFNA(VLOOKUP($J905,WH_Data[],5,FALSE),"")</f>
        <v/>
      </c>
      <c r="N905" s="4" t="str">
        <f>_xlfn.IFNA(VLOOKUP($J905,WH_Data[],7,FALSE),"")</f>
        <v/>
      </c>
      <c r="O905" s="4" t="str">
        <f>_xlfn.IFNA(VLOOKUP($J905,WH_Data[],8,FALSE),"")</f>
        <v/>
      </c>
      <c r="P905" s="8"/>
      <c r="Q905" s="209">
        <f>Mon_ILR2[[#This Row],[Qty Required]]-Mon_ILR2[[#This Row],[QTY Transfer]]</f>
        <v>1</v>
      </c>
      <c r="R905" s="66" t="s">
        <v>905</v>
      </c>
      <c r="S905" s="264" t="s">
        <v>2209</v>
      </c>
      <c r="T905" s="210">
        <v>750</v>
      </c>
      <c r="U905" s="303">
        <v>199</v>
      </c>
      <c r="V905" s="210" t="str">
        <f>_xlfn.IFNA(VLOOKUP(Mon_ILR2[[#This Row],[New Model]],PhilipsLibary[],5,FALSE),"0")</f>
        <v>0</v>
      </c>
      <c r="W905" s="210">
        <f>Mon_ILR2[[#This Row],[Accessory Rate]]+Mon_ILR2[[#This Row],[Mounting Rate]]+Mon_ILR2[[#This Row],[Unit Rate]]*Mon_ILR2[[#This Row],[New Quantity Required ]]</f>
        <v>949</v>
      </c>
      <c r="X905" s="8"/>
      <c r="Y905" s="289" t="s">
        <v>2171</v>
      </c>
      <c r="Z905" s="6" t="s">
        <v>683</v>
      </c>
      <c r="AA905" s="6" t="s">
        <v>50</v>
      </c>
      <c r="AB905" s="6" t="s">
        <v>50</v>
      </c>
      <c r="AC905" s="6" t="s">
        <v>50</v>
      </c>
      <c r="AD905" s="6" t="s">
        <v>50</v>
      </c>
      <c r="AE905" s="6" t="s">
        <v>50</v>
      </c>
      <c r="AF905" s="6" t="s">
        <v>50</v>
      </c>
      <c r="AG905" s="6" t="s">
        <v>50</v>
      </c>
      <c r="AH905" s="6" t="s">
        <v>50</v>
      </c>
      <c r="AI905" s="6" t="s">
        <v>50</v>
      </c>
      <c r="AJ905" s="6" t="s">
        <v>50</v>
      </c>
      <c r="AK905" s="6" t="s">
        <v>50</v>
      </c>
      <c r="AL905" s="6" t="s">
        <v>50</v>
      </c>
      <c r="AM905" s="6" t="s">
        <v>50</v>
      </c>
      <c r="AN905" s="6" t="s">
        <v>50</v>
      </c>
      <c r="AO905" s="6" t="s">
        <v>54</v>
      </c>
    </row>
    <row r="906" spans="2:41" ht="135" x14ac:dyDescent="0.25">
      <c r="B906" s="207" t="s">
        <v>368</v>
      </c>
      <c r="C906" s="66" t="s">
        <v>783</v>
      </c>
      <c r="D906" s="4" t="s">
        <v>784</v>
      </c>
      <c r="E906" s="4" t="s">
        <v>1027</v>
      </c>
      <c r="F906" s="4" t="s">
        <v>681</v>
      </c>
      <c r="G906" s="304" t="s">
        <v>39</v>
      </c>
      <c r="H906" s="208">
        <v>1</v>
      </c>
      <c r="I906" s="4"/>
      <c r="J906" s="15"/>
      <c r="K906" s="4" t="str">
        <f>_xlfn.IFNA(VLOOKUP($J906,WH_Data[],6,FALSE),"")</f>
        <v/>
      </c>
      <c r="L906" s="4" t="str">
        <f>_xlfn.IFNA(VLOOKUP($J906,WH_Data[],3,FALSE),"")</f>
        <v/>
      </c>
      <c r="M906" s="4" t="str">
        <f>_xlfn.IFNA(VLOOKUP($J906,WH_Data[],5,FALSE),"")</f>
        <v/>
      </c>
      <c r="N906" s="4" t="str">
        <f>_xlfn.IFNA(VLOOKUP($J906,WH_Data[],7,FALSE),"")</f>
        <v/>
      </c>
      <c r="O906" s="4" t="str">
        <f>_xlfn.IFNA(VLOOKUP($J906,WH_Data[],8,FALSE),"")</f>
        <v/>
      </c>
      <c r="P906" s="8"/>
      <c r="Q906" s="209">
        <f>Mon_ILR2[[#This Row],[Qty Required]]-Mon_ILR2[[#This Row],[QTY Transfer]]</f>
        <v>1</v>
      </c>
      <c r="R906" s="66" t="s">
        <v>905</v>
      </c>
      <c r="S906" s="264" t="s">
        <v>2211</v>
      </c>
      <c r="T906" s="210">
        <v>750</v>
      </c>
      <c r="U906" s="303">
        <v>199</v>
      </c>
      <c r="V906" s="210" t="str">
        <f>_xlfn.IFNA(VLOOKUP(Mon_ILR2[[#This Row],[New Model]],PhilipsLibary[],5,FALSE),"0")</f>
        <v>0</v>
      </c>
      <c r="W906" s="210">
        <f>Mon_ILR2[[#This Row],[Accessory Rate]]+Mon_ILR2[[#This Row],[Mounting Rate]]+Mon_ILR2[[#This Row],[Unit Rate]]*Mon_ILR2[[#This Row],[New Quantity Required ]]</f>
        <v>949</v>
      </c>
      <c r="X906" s="8"/>
      <c r="Y906" s="289" t="s">
        <v>2175</v>
      </c>
      <c r="Z906" s="6" t="s">
        <v>683</v>
      </c>
      <c r="AA906" s="6" t="s">
        <v>50</v>
      </c>
      <c r="AB906" s="6" t="s">
        <v>50</v>
      </c>
      <c r="AC906" s="6" t="s">
        <v>50</v>
      </c>
      <c r="AD906" s="6" t="s">
        <v>50</v>
      </c>
      <c r="AE906" s="6" t="s">
        <v>50</v>
      </c>
      <c r="AF906" s="6" t="s">
        <v>50</v>
      </c>
      <c r="AG906" s="6" t="s">
        <v>50</v>
      </c>
      <c r="AH906" s="6" t="s">
        <v>50</v>
      </c>
      <c r="AI906" s="6" t="s">
        <v>50</v>
      </c>
      <c r="AJ906" s="6" t="s">
        <v>50</v>
      </c>
      <c r="AK906" s="6" t="s">
        <v>50</v>
      </c>
      <c r="AL906" s="6" t="s">
        <v>50</v>
      </c>
      <c r="AM906" s="6" t="s">
        <v>50</v>
      </c>
      <c r="AN906" s="6" t="s">
        <v>50</v>
      </c>
      <c r="AO906" s="6" t="s">
        <v>54</v>
      </c>
    </row>
    <row r="907" spans="2:41" ht="135" x14ac:dyDescent="0.25">
      <c r="B907" s="207" t="s">
        <v>368</v>
      </c>
      <c r="C907" s="66" t="s">
        <v>785</v>
      </c>
      <c r="D907" s="4" t="s">
        <v>786</v>
      </c>
      <c r="E907" s="4" t="s">
        <v>1027</v>
      </c>
      <c r="F907" s="4" t="s">
        <v>681</v>
      </c>
      <c r="G907" s="304" t="s">
        <v>39</v>
      </c>
      <c r="H907" s="208">
        <v>1</v>
      </c>
      <c r="I907" s="4"/>
      <c r="J907" s="15"/>
      <c r="K907" s="4" t="str">
        <f>_xlfn.IFNA(VLOOKUP($J907,WH_Data[],6,FALSE),"")</f>
        <v/>
      </c>
      <c r="L907" s="4" t="str">
        <f>_xlfn.IFNA(VLOOKUP($J907,WH_Data[],3,FALSE),"")</f>
        <v/>
      </c>
      <c r="M907" s="4" t="str">
        <f>_xlfn.IFNA(VLOOKUP($J907,WH_Data[],5,FALSE),"")</f>
        <v/>
      </c>
      <c r="N907" s="4" t="str">
        <f>_xlfn.IFNA(VLOOKUP($J907,WH_Data[],7,FALSE),"")</f>
        <v/>
      </c>
      <c r="O907" s="4" t="str">
        <f>_xlfn.IFNA(VLOOKUP($J907,WH_Data[],8,FALSE),"")</f>
        <v/>
      </c>
      <c r="P907" s="8"/>
      <c r="Q907" s="209">
        <f>Mon_ILR2[[#This Row],[Qty Required]]-Mon_ILR2[[#This Row],[QTY Transfer]]</f>
        <v>1</v>
      </c>
      <c r="R907" s="66" t="s">
        <v>905</v>
      </c>
      <c r="S907" s="264" t="s">
        <v>2211</v>
      </c>
      <c r="T907" s="210">
        <v>750</v>
      </c>
      <c r="U907" s="303">
        <v>199</v>
      </c>
      <c r="V907" s="210" t="str">
        <f>_xlfn.IFNA(VLOOKUP(Mon_ILR2[[#This Row],[New Model]],PhilipsLibary[],5,FALSE),"0")</f>
        <v>0</v>
      </c>
      <c r="W907" s="210">
        <f>Mon_ILR2[[#This Row],[Accessory Rate]]+Mon_ILR2[[#This Row],[Mounting Rate]]+Mon_ILR2[[#This Row],[Unit Rate]]*Mon_ILR2[[#This Row],[New Quantity Required ]]</f>
        <v>949</v>
      </c>
      <c r="X907" s="8"/>
      <c r="Y907" s="289" t="s">
        <v>2177</v>
      </c>
      <c r="Z907" s="6" t="s">
        <v>683</v>
      </c>
      <c r="AA907" s="6" t="s">
        <v>50</v>
      </c>
      <c r="AB907" s="6" t="s">
        <v>50</v>
      </c>
      <c r="AC907" s="6" t="s">
        <v>50</v>
      </c>
      <c r="AD907" s="6" t="s">
        <v>50</v>
      </c>
      <c r="AE907" s="6" t="s">
        <v>50</v>
      </c>
      <c r="AF907" s="6" t="s">
        <v>50</v>
      </c>
      <c r="AG907" s="6" t="s">
        <v>50</v>
      </c>
      <c r="AH907" s="6" t="s">
        <v>50</v>
      </c>
      <c r="AI907" s="6" t="s">
        <v>50</v>
      </c>
      <c r="AJ907" s="6" t="s">
        <v>50</v>
      </c>
      <c r="AK907" s="6" t="s">
        <v>50</v>
      </c>
      <c r="AL907" s="6" t="s">
        <v>50</v>
      </c>
      <c r="AM907" s="6" t="s">
        <v>50</v>
      </c>
      <c r="AN907" s="6" t="s">
        <v>50</v>
      </c>
      <c r="AO907" s="6" t="s">
        <v>54</v>
      </c>
    </row>
    <row r="908" spans="2:41" ht="150" x14ac:dyDescent="0.25">
      <c r="B908" s="207" t="s">
        <v>368</v>
      </c>
      <c r="C908" s="66" t="s">
        <v>787</v>
      </c>
      <c r="D908" s="4" t="s">
        <v>788</v>
      </c>
      <c r="E908" s="4" t="s">
        <v>1027</v>
      </c>
      <c r="F908" s="4" t="s">
        <v>681</v>
      </c>
      <c r="G908" s="4" t="s">
        <v>39</v>
      </c>
      <c r="H908" s="208">
        <v>1</v>
      </c>
      <c r="I908" s="4"/>
      <c r="J908" s="15"/>
      <c r="K908" s="4" t="str">
        <f>_xlfn.IFNA(VLOOKUP($J908,WH_Data[],6,FALSE),"")</f>
        <v/>
      </c>
      <c r="L908" s="4" t="str">
        <f>_xlfn.IFNA(VLOOKUP($J908,WH_Data[],3,FALSE),"")</f>
        <v/>
      </c>
      <c r="M908" s="4" t="str">
        <f>_xlfn.IFNA(VLOOKUP($J908,WH_Data[],5,FALSE),"")</f>
        <v/>
      </c>
      <c r="N908" s="4" t="str">
        <f>_xlfn.IFNA(VLOOKUP($J908,WH_Data[],7,FALSE),"")</f>
        <v/>
      </c>
      <c r="O908" s="4" t="str">
        <f>_xlfn.IFNA(VLOOKUP($J908,WH_Data[],8,FALSE),"")</f>
        <v/>
      </c>
      <c r="P908" s="8"/>
      <c r="Q908" s="300">
        <v>2</v>
      </c>
      <c r="R908" s="66" t="s">
        <v>905</v>
      </c>
      <c r="S908" s="264" t="s">
        <v>2211</v>
      </c>
      <c r="T908" s="210">
        <v>750</v>
      </c>
      <c r="U908" s="303">
        <v>398</v>
      </c>
      <c r="V908" s="210" t="str">
        <f>_xlfn.IFNA(VLOOKUP(Mon_ILR2[[#This Row],[New Model]],PhilipsLibary[],5,FALSE),"0")</f>
        <v>0</v>
      </c>
      <c r="W908" s="210">
        <f>Mon_ILR2[[#This Row],[Accessory Rate]]+Mon_ILR2[[#This Row],[Mounting Rate]]+Mon_ILR2[[#This Row],[Unit Rate]]*Mon_ILR2[[#This Row],[New Quantity Required ]]</f>
        <v>1898</v>
      </c>
      <c r="X908" s="8"/>
      <c r="Y908" s="289" t="s">
        <v>2178</v>
      </c>
      <c r="Z908" s="6" t="s">
        <v>683</v>
      </c>
      <c r="AA908" s="6" t="s">
        <v>50</v>
      </c>
      <c r="AB908" s="6" t="s">
        <v>50</v>
      </c>
      <c r="AC908" s="6" t="s">
        <v>50</v>
      </c>
      <c r="AD908" s="6" t="s">
        <v>50</v>
      </c>
      <c r="AE908" s="6" t="s">
        <v>50</v>
      </c>
      <c r="AF908" s="6" t="s">
        <v>50</v>
      </c>
      <c r="AG908" s="6" t="s">
        <v>50</v>
      </c>
      <c r="AH908" s="6" t="s">
        <v>50</v>
      </c>
      <c r="AI908" s="6" t="s">
        <v>50</v>
      </c>
      <c r="AJ908" s="6" t="s">
        <v>50</v>
      </c>
      <c r="AK908" s="6" t="s">
        <v>50</v>
      </c>
      <c r="AL908" s="6" t="s">
        <v>50</v>
      </c>
      <c r="AM908" s="6" t="s">
        <v>50</v>
      </c>
      <c r="AN908" s="6" t="s">
        <v>50</v>
      </c>
      <c r="AO908" s="6" t="s">
        <v>54</v>
      </c>
    </row>
    <row r="909" spans="2:41" ht="135" x14ac:dyDescent="0.25">
      <c r="B909" s="207" t="s">
        <v>368</v>
      </c>
      <c r="C909" s="66" t="s">
        <v>789</v>
      </c>
      <c r="D909" s="4" t="s">
        <v>790</v>
      </c>
      <c r="E909" s="4" t="s">
        <v>1027</v>
      </c>
      <c r="F909" s="4" t="s">
        <v>681</v>
      </c>
      <c r="G909" s="4" t="s">
        <v>657</v>
      </c>
      <c r="H909" s="208">
        <v>1</v>
      </c>
      <c r="I909" s="4"/>
      <c r="J909" s="15"/>
      <c r="K909" s="4" t="str">
        <f>_xlfn.IFNA(VLOOKUP($J909,WH_Data[],6,FALSE),"")</f>
        <v/>
      </c>
      <c r="L909" s="4" t="str">
        <f>_xlfn.IFNA(VLOOKUP($J909,WH_Data[],3,FALSE),"")</f>
        <v/>
      </c>
      <c r="M909" s="4" t="str">
        <f>_xlfn.IFNA(VLOOKUP($J909,WH_Data[],5,FALSE),"")</f>
        <v/>
      </c>
      <c r="N909" s="4" t="str">
        <f>_xlfn.IFNA(VLOOKUP($J909,WH_Data[],7,FALSE),"")</f>
        <v/>
      </c>
      <c r="O909" s="4" t="str">
        <f>_xlfn.IFNA(VLOOKUP($J909,WH_Data[],8,FALSE),"")</f>
        <v/>
      </c>
      <c r="P909" s="8"/>
      <c r="Q909" s="300">
        <v>0</v>
      </c>
      <c r="R909" s="66" t="s">
        <v>905</v>
      </c>
      <c r="S909" s="264" t="s">
        <v>983</v>
      </c>
      <c r="T909" s="210">
        <v>750</v>
      </c>
      <c r="U909" s="210">
        <f>_xlfn.IFNA(VLOOKUP(Mon_ILR2[[#This Row],[New Model]],PhilipsLibary[],5,FALSE),"0")</f>
        <v>0</v>
      </c>
      <c r="V909" s="210">
        <f>_xlfn.IFNA(VLOOKUP(Mon_ILR2[[#This Row],[New Model]],PhilipsLibary[],5,FALSE),"0")</f>
        <v>0</v>
      </c>
      <c r="W909" s="210">
        <f>Mon_ILR2[[#This Row],[Accessory Rate]]+Mon_ILR2[[#This Row],[Mounting Rate]]+Mon_ILR2[[#This Row],[Unit Rate]]*Mon_ILR2[[#This Row],[New Quantity Required ]]</f>
        <v>0</v>
      </c>
      <c r="X909" s="8"/>
      <c r="Y909" s="289" t="s">
        <v>2179</v>
      </c>
      <c r="Z909" s="6" t="s">
        <v>683</v>
      </c>
      <c r="AA909" s="6" t="s">
        <v>50</v>
      </c>
      <c r="AB909" s="6" t="s">
        <v>50</v>
      </c>
      <c r="AC909" s="6" t="s">
        <v>50</v>
      </c>
      <c r="AD909" s="6" t="s">
        <v>50</v>
      </c>
      <c r="AE909" s="6" t="s">
        <v>50</v>
      </c>
      <c r="AF909" s="6" t="s">
        <v>50</v>
      </c>
      <c r="AG909" s="6" t="s">
        <v>50</v>
      </c>
      <c r="AH909" s="6" t="s">
        <v>50</v>
      </c>
      <c r="AI909" s="6" t="s">
        <v>50</v>
      </c>
      <c r="AJ909" s="6" t="s">
        <v>50</v>
      </c>
      <c r="AK909" s="6" t="s">
        <v>50</v>
      </c>
      <c r="AL909" s="6" t="s">
        <v>50</v>
      </c>
      <c r="AM909" s="6" t="s">
        <v>50</v>
      </c>
      <c r="AN909" s="6" t="s">
        <v>50</v>
      </c>
      <c r="AO909" s="6" t="s">
        <v>54</v>
      </c>
    </row>
    <row r="910" spans="2:41" ht="135" x14ac:dyDescent="0.25">
      <c r="B910" s="207" t="s">
        <v>368</v>
      </c>
      <c r="C910" s="66" t="s">
        <v>789</v>
      </c>
      <c r="D910" s="4" t="s">
        <v>791</v>
      </c>
      <c r="E910" s="4" t="s">
        <v>1027</v>
      </c>
      <c r="F910" s="4" t="s">
        <v>681</v>
      </c>
      <c r="G910" s="4" t="s">
        <v>657</v>
      </c>
      <c r="H910" s="208">
        <v>1</v>
      </c>
      <c r="I910" s="4"/>
      <c r="J910" s="15"/>
      <c r="K910" s="4" t="str">
        <f>_xlfn.IFNA(VLOOKUP($J910,WH_Data[],6,FALSE),"")</f>
        <v/>
      </c>
      <c r="L910" s="4" t="str">
        <f>_xlfn.IFNA(VLOOKUP($J910,WH_Data[],3,FALSE),"")</f>
        <v/>
      </c>
      <c r="M910" s="4" t="str">
        <f>_xlfn.IFNA(VLOOKUP($J910,WH_Data[],5,FALSE),"")</f>
        <v/>
      </c>
      <c r="N910" s="4" t="str">
        <f>_xlfn.IFNA(VLOOKUP($J910,WH_Data[],7,FALSE),"")</f>
        <v/>
      </c>
      <c r="O910" s="4" t="str">
        <f>_xlfn.IFNA(VLOOKUP($J910,WH_Data[],8,FALSE),"")</f>
        <v/>
      </c>
      <c r="P910" s="8"/>
      <c r="Q910" s="300">
        <v>0</v>
      </c>
      <c r="R910" s="66" t="s">
        <v>905</v>
      </c>
      <c r="S910" s="264" t="s">
        <v>983</v>
      </c>
      <c r="T910" s="210">
        <v>750</v>
      </c>
      <c r="U910" s="210">
        <f>_xlfn.IFNA(VLOOKUP(Mon_ILR2[[#This Row],[New Model]],PhilipsLibary[],5,FALSE),"0")</f>
        <v>0</v>
      </c>
      <c r="V910" s="210">
        <f>_xlfn.IFNA(VLOOKUP(Mon_ILR2[[#This Row],[New Model]],PhilipsLibary[],5,FALSE),"0")</f>
        <v>0</v>
      </c>
      <c r="W910" s="210">
        <f>Mon_ILR2[[#This Row],[Accessory Rate]]+Mon_ILR2[[#This Row],[Mounting Rate]]+Mon_ILR2[[#This Row],[Unit Rate]]*Mon_ILR2[[#This Row],[New Quantity Required ]]</f>
        <v>0</v>
      </c>
      <c r="X910" s="8"/>
      <c r="Y910" s="289" t="s">
        <v>2179</v>
      </c>
      <c r="Z910" s="6" t="s">
        <v>683</v>
      </c>
      <c r="AA910" s="6" t="s">
        <v>50</v>
      </c>
      <c r="AB910" s="6" t="s">
        <v>50</v>
      </c>
      <c r="AC910" s="6" t="s">
        <v>50</v>
      </c>
      <c r="AD910" s="6" t="s">
        <v>50</v>
      </c>
      <c r="AE910" s="6" t="s">
        <v>50</v>
      </c>
      <c r="AF910" s="6" t="s">
        <v>50</v>
      </c>
      <c r="AG910" s="6" t="s">
        <v>50</v>
      </c>
      <c r="AH910" s="6" t="s">
        <v>50</v>
      </c>
      <c r="AI910" s="6" t="s">
        <v>50</v>
      </c>
      <c r="AJ910" s="6" t="s">
        <v>50</v>
      </c>
      <c r="AK910" s="6" t="s">
        <v>50</v>
      </c>
      <c r="AL910" s="6" t="s">
        <v>50</v>
      </c>
      <c r="AM910" s="6" t="s">
        <v>50</v>
      </c>
      <c r="AN910" s="6" t="s">
        <v>50</v>
      </c>
      <c r="AO910" s="6" t="s">
        <v>54</v>
      </c>
    </row>
    <row r="911" spans="2:41" ht="60" x14ac:dyDescent="0.25">
      <c r="B911" s="207" t="s">
        <v>368</v>
      </c>
      <c r="C911" s="66" t="s">
        <v>792</v>
      </c>
      <c r="D911" s="4" t="s">
        <v>793</v>
      </c>
      <c r="E911" s="4" t="s">
        <v>1166</v>
      </c>
      <c r="F911" s="4" t="s">
        <v>681</v>
      </c>
      <c r="G911" s="4" t="s">
        <v>657</v>
      </c>
      <c r="H911" s="208">
        <v>1</v>
      </c>
      <c r="I911" s="4"/>
      <c r="J911" s="15"/>
      <c r="K911" s="4" t="str">
        <f>_xlfn.IFNA(VLOOKUP($J911,WH_Data[],6,FALSE),"")</f>
        <v/>
      </c>
      <c r="L911" s="4" t="str">
        <f>_xlfn.IFNA(VLOOKUP($J911,WH_Data[],3,FALSE),"")</f>
        <v/>
      </c>
      <c r="M911" s="4" t="str">
        <f>_xlfn.IFNA(VLOOKUP($J911,WH_Data[],5,FALSE),"")</f>
        <v/>
      </c>
      <c r="N911" s="4" t="str">
        <f>_xlfn.IFNA(VLOOKUP($J911,WH_Data[],7,FALSE),"")</f>
        <v/>
      </c>
      <c r="O911" s="4" t="str">
        <f>_xlfn.IFNA(VLOOKUP($J911,WH_Data[],8,FALSE),"")</f>
        <v/>
      </c>
      <c r="P911" s="8"/>
      <c r="Q911" s="209">
        <f>Mon_ILR2[[#This Row],[Qty Required]]-Mon_ILR2[[#This Row],[QTY Transfer]]</f>
        <v>1</v>
      </c>
      <c r="R911" s="66" t="s">
        <v>1167</v>
      </c>
      <c r="S911" s="66" t="s">
        <v>1167</v>
      </c>
      <c r="T911" s="210" t="str">
        <f>_xlfn.IFNA(VLOOKUP(Mon_ILR2[[#This Row],[New Model]],PhilipsLibary[],4,FALSE),"0")</f>
        <v>0</v>
      </c>
      <c r="U911" s="210" t="str">
        <f>_xlfn.IFNA(VLOOKUP(Mon_ILR2[[#This Row],[New Model]],PhilipsLibary[],5,FALSE),"0")</f>
        <v>0</v>
      </c>
      <c r="V911" s="210" t="str">
        <f>_xlfn.IFNA(VLOOKUP(Mon_ILR2[[#This Row],[New Model]],PhilipsLibary[],5,FALSE),"0")</f>
        <v>0</v>
      </c>
      <c r="W911" s="210">
        <f>Mon_ILR2[[#This Row],[Accessory Rate]]+Mon_ILR2[[#This Row],[Mounting Rate]]+Mon_ILR2[[#This Row],[Unit Rate]]*Mon_ILR2[[#This Row],[New Quantity Required ]]</f>
        <v>0</v>
      </c>
      <c r="X911" s="8"/>
      <c r="Y911" s="246" t="s">
        <v>1168</v>
      </c>
      <c r="Z911" s="6" t="s">
        <v>683</v>
      </c>
      <c r="AA911" s="6" t="s">
        <v>50</v>
      </c>
      <c r="AB911" s="6" t="s">
        <v>50</v>
      </c>
      <c r="AC911" s="6" t="s">
        <v>50</v>
      </c>
      <c r="AD911" s="6" t="s">
        <v>50</v>
      </c>
      <c r="AE911" s="6" t="s">
        <v>50</v>
      </c>
      <c r="AF911" s="6" t="s">
        <v>50</v>
      </c>
      <c r="AG911" s="6" t="s">
        <v>50</v>
      </c>
      <c r="AH911" s="6" t="s">
        <v>50</v>
      </c>
      <c r="AI911" s="6" t="s">
        <v>50</v>
      </c>
      <c r="AJ911" s="6" t="s">
        <v>50</v>
      </c>
      <c r="AK911" s="6" t="s">
        <v>50</v>
      </c>
      <c r="AL911" s="6" t="s">
        <v>50</v>
      </c>
      <c r="AM911" s="6" t="s">
        <v>50</v>
      </c>
      <c r="AN911" s="6" t="s">
        <v>50</v>
      </c>
      <c r="AO911" s="6" t="s">
        <v>54</v>
      </c>
    </row>
    <row r="912" spans="2:41" ht="60" x14ac:dyDescent="0.25">
      <c r="B912" s="207" t="s">
        <v>368</v>
      </c>
      <c r="C912" s="66" t="s">
        <v>792</v>
      </c>
      <c r="D912" s="4" t="s">
        <v>794</v>
      </c>
      <c r="E912" s="4" t="s">
        <v>1166</v>
      </c>
      <c r="F912" s="4" t="s">
        <v>681</v>
      </c>
      <c r="G912" s="4" t="s">
        <v>657</v>
      </c>
      <c r="H912" s="208">
        <v>1</v>
      </c>
      <c r="I912" s="4"/>
      <c r="J912" s="15"/>
      <c r="K912" s="4" t="str">
        <f>_xlfn.IFNA(VLOOKUP($J912,WH_Data[],6,FALSE),"")</f>
        <v/>
      </c>
      <c r="L912" s="4" t="str">
        <f>_xlfn.IFNA(VLOOKUP($J912,WH_Data[],3,FALSE),"")</f>
        <v/>
      </c>
      <c r="M912" s="4" t="str">
        <f>_xlfn.IFNA(VLOOKUP($J912,WH_Data[],5,FALSE),"")</f>
        <v/>
      </c>
      <c r="N912" s="4" t="str">
        <f>_xlfn.IFNA(VLOOKUP($J912,WH_Data[],7,FALSE),"")</f>
        <v/>
      </c>
      <c r="O912" s="4" t="str">
        <f>_xlfn.IFNA(VLOOKUP($J912,WH_Data[],8,FALSE),"")</f>
        <v/>
      </c>
      <c r="P912" s="8"/>
      <c r="Q912" s="209">
        <f>Mon_ILR2[[#This Row],[Qty Required]]-Mon_ILR2[[#This Row],[QTY Transfer]]</f>
        <v>1</v>
      </c>
      <c r="R912" s="66" t="s">
        <v>1167</v>
      </c>
      <c r="S912" s="66" t="s">
        <v>1167</v>
      </c>
      <c r="T912" s="210" t="str">
        <f>_xlfn.IFNA(VLOOKUP(Mon_ILR2[[#This Row],[New Model]],PhilipsLibary[],4,FALSE),"0")</f>
        <v>0</v>
      </c>
      <c r="U912" s="210" t="str">
        <f>_xlfn.IFNA(VLOOKUP(Mon_ILR2[[#This Row],[New Model]],PhilipsLibary[],5,FALSE),"0")</f>
        <v>0</v>
      </c>
      <c r="V912" s="210" t="str">
        <f>_xlfn.IFNA(VLOOKUP(Mon_ILR2[[#This Row],[New Model]],PhilipsLibary[],5,FALSE),"0")</f>
        <v>0</v>
      </c>
      <c r="W912" s="210">
        <f>Mon_ILR2[[#This Row],[Accessory Rate]]+Mon_ILR2[[#This Row],[Mounting Rate]]+Mon_ILR2[[#This Row],[Unit Rate]]*Mon_ILR2[[#This Row],[New Quantity Required ]]</f>
        <v>0</v>
      </c>
      <c r="X912" s="8"/>
      <c r="Y912" s="246" t="s">
        <v>1168</v>
      </c>
      <c r="Z912" s="6" t="s">
        <v>683</v>
      </c>
      <c r="AA912" s="6" t="s">
        <v>50</v>
      </c>
      <c r="AB912" s="6" t="s">
        <v>50</v>
      </c>
      <c r="AC912" s="6" t="s">
        <v>50</v>
      </c>
      <c r="AD912" s="6" t="s">
        <v>50</v>
      </c>
      <c r="AE912" s="6" t="s">
        <v>50</v>
      </c>
      <c r="AF912" s="6" t="s">
        <v>50</v>
      </c>
      <c r="AG912" s="6" t="s">
        <v>50</v>
      </c>
      <c r="AH912" s="6" t="s">
        <v>50</v>
      </c>
      <c r="AI912" s="6" t="s">
        <v>50</v>
      </c>
      <c r="AJ912" s="6" t="s">
        <v>50</v>
      </c>
      <c r="AK912" s="6" t="s">
        <v>50</v>
      </c>
      <c r="AL912" s="6" t="s">
        <v>50</v>
      </c>
      <c r="AM912" s="6" t="s">
        <v>50</v>
      </c>
      <c r="AN912" s="6" t="s">
        <v>50</v>
      </c>
      <c r="AO912" s="6" t="s">
        <v>54</v>
      </c>
    </row>
    <row r="913" spans="2:41" ht="60" x14ac:dyDescent="0.25">
      <c r="B913" s="207" t="s">
        <v>368</v>
      </c>
      <c r="C913" s="66" t="s">
        <v>792</v>
      </c>
      <c r="D913" s="4" t="s">
        <v>795</v>
      </c>
      <c r="E913" s="4" t="s">
        <v>1166</v>
      </c>
      <c r="F913" s="4" t="s">
        <v>681</v>
      </c>
      <c r="G913" s="4" t="s">
        <v>657</v>
      </c>
      <c r="H913" s="208">
        <v>1</v>
      </c>
      <c r="I913" s="4"/>
      <c r="J913" s="15"/>
      <c r="K913" s="4" t="str">
        <f>_xlfn.IFNA(VLOOKUP($J913,WH_Data[],6,FALSE),"")</f>
        <v/>
      </c>
      <c r="L913" s="4" t="str">
        <f>_xlfn.IFNA(VLOOKUP($J913,WH_Data[],3,FALSE),"")</f>
        <v/>
      </c>
      <c r="M913" s="4" t="str">
        <f>_xlfn.IFNA(VLOOKUP($J913,WH_Data[],5,FALSE),"")</f>
        <v/>
      </c>
      <c r="N913" s="4" t="str">
        <f>_xlfn.IFNA(VLOOKUP($J913,WH_Data[],7,FALSE),"")</f>
        <v/>
      </c>
      <c r="O913" s="4" t="str">
        <f>_xlfn.IFNA(VLOOKUP($J913,WH_Data[],8,FALSE),"")</f>
        <v/>
      </c>
      <c r="P913" s="8"/>
      <c r="Q913" s="209">
        <f>Mon_ILR2[[#This Row],[Qty Required]]-Mon_ILR2[[#This Row],[QTY Transfer]]</f>
        <v>1</v>
      </c>
      <c r="R913" s="66" t="s">
        <v>1167</v>
      </c>
      <c r="S913" s="66" t="s">
        <v>1167</v>
      </c>
      <c r="T913" s="210" t="str">
        <f>_xlfn.IFNA(VLOOKUP(Mon_ILR2[[#This Row],[New Model]],PhilipsLibary[],4,FALSE),"0")</f>
        <v>0</v>
      </c>
      <c r="U913" s="210" t="str">
        <f>_xlfn.IFNA(VLOOKUP(Mon_ILR2[[#This Row],[New Model]],PhilipsLibary[],5,FALSE),"0")</f>
        <v>0</v>
      </c>
      <c r="V913" s="210" t="str">
        <f>_xlfn.IFNA(VLOOKUP(Mon_ILR2[[#This Row],[New Model]],PhilipsLibary[],5,FALSE),"0")</f>
        <v>0</v>
      </c>
      <c r="W913" s="210">
        <f>Mon_ILR2[[#This Row],[Accessory Rate]]+Mon_ILR2[[#This Row],[Mounting Rate]]+Mon_ILR2[[#This Row],[Unit Rate]]*Mon_ILR2[[#This Row],[New Quantity Required ]]</f>
        <v>0</v>
      </c>
      <c r="X913" s="8"/>
      <c r="Y913" s="246" t="s">
        <v>1168</v>
      </c>
      <c r="Z913" s="6" t="s">
        <v>683</v>
      </c>
      <c r="AA913" s="6" t="s">
        <v>50</v>
      </c>
      <c r="AB913" s="6" t="s">
        <v>50</v>
      </c>
      <c r="AC913" s="6" t="s">
        <v>50</v>
      </c>
      <c r="AD913" s="6" t="s">
        <v>50</v>
      </c>
      <c r="AE913" s="6" t="s">
        <v>50</v>
      </c>
      <c r="AF913" s="6" t="s">
        <v>50</v>
      </c>
      <c r="AG913" s="6" t="s">
        <v>50</v>
      </c>
      <c r="AH913" s="6" t="s">
        <v>50</v>
      </c>
      <c r="AI913" s="6" t="s">
        <v>50</v>
      </c>
      <c r="AJ913" s="6" t="s">
        <v>50</v>
      </c>
      <c r="AK913" s="6" t="s">
        <v>50</v>
      </c>
      <c r="AL913" s="6" t="s">
        <v>50</v>
      </c>
      <c r="AM913" s="6" t="s">
        <v>50</v>
      </c>
      <c r="AN913" s="6" t="s">
        <v>50</v>
      </c>
      <c r="AO913" s="6" t="s">
        <v>54</v>
      </c>
    </row>
    <row r="914" spans="2:41" ht="105" x14ac:dyDescent="0.25">
      <c r="B914" s="207" t="s">
        <v>35</v>
      </c>
      <c r="C914" s="66" t="s">
        <v>818</v>
      </c>
      <c r="D914" s="4" t="s">
        <v>853</v>
      </c>
      <c r="E914" s="4" t="s">
        <v>1072</v>
      </c>
      <c r="F914" s="4" t="s">
        <v>816</v>
      </c>
      <c r="G914" s="304" t="s">
        <v>39</v>
      </c>
      <c r="H914" s="208">
        <v>1</v>
      </c>
      <c r="I914" s="4"/>
      <c r="J914" s="15"/>
      <c r="K914" s="4" t="str">
        <f>_xlfn.IFNA(VLOOKUP($J914,WH_Data[],6,FALSE),"")</f>
        <v/>
      </c>
      <c r="L914" s="4" t="str">
        <f>_xlfn.IFNA(VLOOKUP($J914,WH_Data[],3,FALSE),"")</f>
        <v/>
      </c>
      <c r="M914" s="4" t="str">
        <f>_xlfn.IFNA(VLOOKUP($J914,WH_Data[],5,FALSE),"")</f>
        <v/>
      </c>
      <c r="N914" s="4" t="str">
        <f>_xlfn.IFNA(VLOOKUP($J914,WH_Data[],7,FALSE),"")</f>
        <v/>
      </c>
      <c r="O914" s="4" t="str">
        <f>_xlfn.IFNA(VLOOKUP($J914,WH_Data[],8,FALSE),"")</f>
        <v/>
      </c>
      <c r="P914" s="8"/>
      <c r="Q914" s="209">
        <f>Mon_ILR2[[#This Row],[Qty Required]]-Mon_ILR2[[#This Row],[QTY Transfer]]</f>
        <v>1</v>
      </c>
      <c r="R914" s="66" t="s">
        <v>905</v>
      </c>
      <c r="S914" s="264" t="s">
        <v>2211</v>
      </c>
      <c r="T914" s="210">
        <v>750</v>
      </c>
      <c r="U914" s="303">
        <v>199</v>
      </c>
      <c r="V914" s="210" t="str">
        <f>_xlfn.IFNA(VLOOKUP(Mon_ILR2[[#This Row],[New Model]],PhilipsLibary[],5,FALSE),"0")</f>
        <v>0</v>
      </c>
      <c r="W914" s="210">
        <f>Mon_ILR2[[#This Row],[Accessory Rate]]+Mon_ILR2[[#This Row],[Mounting Rate]]+Mon_ILR2[[#This Row],[Unit Rate]]*Mon_ILR2[[#This Row],[New Quantity Required ]]</f>
        <v>949</v>
      </c>
      <c r="X914" s="8"/>
      <c r="Y914" s="257" t="s">
        <v>2190</v>
      </c>
      <c r="Z914" s="6" t="s">
        <v>683</v>
      </c>
      <c r="AA914" s="6" t="s">
        <v>50</v>
      </c>
      <c r="AB914" s="6" t="s">
        <v>50</v>
      </c>
      <c r="AC914" s="6" t="s">
        <v>50</v>
      </c>
      <c r="AD914" s="6" t="s">
        <v>50</v>
      </c>
      <c r="AE914" s="6" t="s">
        <v>50</v>
      </c>
      <c r="AF914" s="6" t="s">
        <v>50</v>
      </c>
      <c r="AG914" s="6" t="s">
        <v>50</v>
      </c>
      <c r="AH914" s="6" t="s">
        <v>50</v>
      </c>
      <c r="AI914" s="6" t="s">
        <v>50</v>
      </c>
      <c r="AJ914" s="6" t="s">
        <v>50</v>
      </c>
      <c r="AK914" s="6" t="s">
        <v>50</v>
      </c>
      <c r="AL914" s="6" t="s">
        <v>50</v>
      </c>
      <c r="AM914" s="6" t="s">
        <v>50</v>
      </c>
      <c r="AN914" s="6" t="s">
        <v>50</v>
      </c>
      <c r="AO914" s="6" t="s">
        <v>54</v>
      </c>
    </row>
    <row r="915" spans="2:41" ht="105" x14ac:dyDescent="0.25">
      <c r="B915" s="207" t="s">
        <v>275</v>
      </c>
      <c r="C915" s="66" t="s">
        <v>276</v>
      </c>
      <c r="D915" s="4" t="s">
        <v>277</v>
      </c>
      <c r="E915" s="4" t="s">
        <v>1072</v>
      </c>
      <c r="F915" s="4" t="s">
        <v>681</v>
      </c>
      <c r="G915" s="304" t="s">
        <v>39</v>
      </c>
      <c r="H915" s="208">
        <v>1</v>
      </c>
      <c r="I915" s="4" t="s">
        <v>1255</v>
      </c>
      <c r="J915" s="15"/>
      <c r="K915" s="4" t="str">
        <f>_xlfn.IFNA(VLOOKUP($J915,WH_Data[],6,FALSE),"")</f>
        <v/>
      </c>
      <c r="L915" s="4" t="str">
        <f>_xlfn.IFNA(VLOOKUP($J915,WH_Data[],3,FALSE),"")</f>
        <v/>
      </c>
      <c r="M915" s="4" t="str">
        <f>_xlfn.IFNA(VLOOKUP($J915,WH_Data[],5,FALSE),"")</f>
        <v/>
      </c>
      <c r="N915" s="4" t="str">
        <f>_xlfn.IFNA(VLOOKUP($J915,WH_Data[],7,FALSE),"")</f>
        <v/>
      </c>
      <c r="O915" s="4" t="str">
        <f>_xlfn.IFNA(VLOOKUP($J915,WH_Data[],8,FALSE),"")</f>
        <v/>
      </c>
      <c r="P915" s="8"/>
      <c r="Q915" s="209">
        <f>Mon_ILR2[[#This Row],[Qty Required]]-Mon_ILR2[[#This Row],[QTY Transfer]]</f>
        <v>1</v>
      </c>
      <c r="R915" s="66" t="s">
        <v>905</v>
      </c>
      <c r="S915" s="264" t="s">
        <v>2210</v>
      </c>
      <c r="T915" s="210">
        <v>750</v>
      </c>
      <c r="U915" s="303">
        <v>406</v>
      </c>
      <c r="V915" s="210" t="str">
        <f>_xlfn.IFNA(VLOOKUP(Mon_ILR2[[#This Row],[New Model]],PhilipsLibary[],5,FALSE),"0")</f>
        <v>0</v>
      </c>
      <c r="W915" s="210">
        <f>Mon_ILR2[[#This Row],[Accessory Rate]]+Mon_ILR2[[#This Row],[Mounting Rate]]+Mon_ILR2[[#This Row],[Unit Rate]]*Mon_ILR2[[#This Row],[New Quantity Required ]]</f>
        <v>1156</v>
      </c>
      <c r="X915" s="8"/>
      <c r="Y915" s="289" t="s">
        <v>2160</v>
      </c>
      <c r="Z915" s="6" t="s">
        <v>683</v>
      </c>
      <c r="AA915" s="6" t="s">
        <v>50</v>
      </c>
      <c r="AB915" s="6" t="s">
        <v>50</v>
      </c>
      <c r="AC915" s="6" t="s">
        <v>50</v>
      </c>
      <c r="AD915" s="6" t="s">
        <v>50</v>
      </c>
      <c r="AE915" s="6" t="s">
        <v>50</v>
      </c>
      <c r="AF915" s="6" t="s">
        <v>50</v>
      </c>
      <c r="AG915" s="6" t="s">
        <v>50</v>
      </c>
      <c r="AH915" s="6" t="s">
        <v>50</v>
      </c>
      <c r="AI915" s="6" t="s">
        <v>50</v>
      </c>
      <c r="AJ915" s="6" t="s">
        <v>50</v>
      </c>
      <c r="AK915" s="6" t="s">
        <v>50</v>
      </c>
      <c r="AL915" s="6" t="s">
        <v>50</v>
      </c>
      <c r="AM915" s="6" t="s">
        <v>50</v>
      </c>
      <c r="AN915" s="6" t="s">
        <v>50</v>
      </c>
      <c r="AO915" s="6" t="s">
        <v>54</v>
      </c>
    </row>
    <row r="916" spans="2:41" ht="105" x14ac:dyDescent="0.25">
      <c r="B916" s="207" t="s">
        <v>275</v>
      </c>
      <c r="C916" s="66" t="s">
        <v>276</v>
      </c>
      <c r="D916" s="4" t="s">
        <v>282</v>
      </c>
      <c r="E916" s="4" t="s">
        <v>1072</v>
      </c>
      <c r="F916" s="4" t="s">
        <v>681</v>
      </c>
      <c r="G916" s="304" t="s">
        <v>39</v>
      </c>
      <c r="H916" s="208">
        <v>1</v>
      </c>
      <c r="I916" s="4" t="s">
        <v>1255</v>
      </c>
      <c r="J916" s="15"/>
      <c r="K916" s="4" t="str">
        <f>_xlfn.IFNA(VLOOKUP($J916,WH_Data[],6,FALSE),"")</f>
        <v/>
      </c>
      <c r="L916" s="4" t="str">
        <f>_xlfn.IFNA(VLOOKUP($J916,WH_Data[],3,FALSE),"")</f>
        <v/>
      </c>
      <c r="M916" s="4" t="str">
        <f>_xlfn.IFNA(VLOOKUP($J916,WH_Data[],5,FALSE),"")</f>
        <v/>
      </c>
      <c r="N916" s="4" t="str">
        <f>_xlfn.IFNA(VLOOKUP($J916,WH_Data[],7,FALSE),"")</f>
        <v/>
      </c>
      <c r="O916" s="4" t="str">
        <f>_xlfn.IFNA(VLOOKUP($J916,WH_Data[],8,FALSE),"")</f>
        <v/>
      </c>
      <c r="P916" s="8"/>
      <c r="Q916" s="209">
        <f>Mon_ILR2[[#This Row],[Qty Required]]-Mon_ILR2[[#This Row],[QTY Transfer]]</f>
        <v>1</v>
      </c>
      <c r="R916" s="66" t="s">
        <v>905</v>
      </c>
      <c r="S916" s="264" t="s">
        <v>2210</v>
      </c>
      <c r="T916" s="210">
        <v>750</v>
      </c>
      <c r="U916" s="303">
        <v>406</v>
      </c>
      <c r="V916" s="210" t="str">
        <f>_xlfn.IFNA(VLOOKUP(Mon_ILR2[[#This Row],[New Model]],PhilipsLibary[],5,FALSE),"0")</f>
        <v>0</v>
      </c>
      <c r="W916" s="210">
        <f>Mon_ILR2[[#This Row],[Accessory Rate]]+Mon_ILR2[[#This Row],[Mounting Rate]]+Mon_ILR2[[#This Row],[Unit Rate]]*Mon_ILR2[[#This Row],[New Quantity Required ]]</f>
        <v>1156</v>
      </c>
      <c r="X916" s="8"/>
      <c r="Y916" s="289" t="s">
        <v>2161</v>
      </c>
      <c r="Z916" s="6" t="s">
        <v>683</v>
      </c>
      <c r="AA916" s="6" t="s">
        <v>50</v>
      </c>
      <c r="AB916" s="6" t="s">
        <v>50</v>
      </c>
      <c r="AC916" s="6" t="s">
        <v>50</v>
      </c>
      <c r="AD916" s="6" t="s">
        <v>50</v>
      </c>
      <c r="AE916" s="6" t="s">
        <v>50</v>
      </c>
      <c r="AF916" s="6" t="s">
        <v>50</v>
      </c>
      <c r="AG916" s="6" t="s">
        <v>50</v>
      </c>
      <c r="AH916" s="6" t="s">
        <v>50</v>
      </c>
      <c r="AI916" s="6" t="s">
        <v>50</v>
      </c>
      <c r="AJ916" s="6" t="s">
        <v>50</v>
      </c>
      <c r="AK916" s="6" t="s">
        <v>50</v>
      </c>
      <c r="AL916" s="6" t="s">
        <v>50</v>
      </c>
      <c r="AM916" s="6" t="s">
        <v>50</v>
      </c>
      <c r="AN916" s="6" t="s">
        <v>50</v>
      </c>
      <c r="AO916" s="6" t="s">
        <v>54</v>
      </c>
    </row>
    <row r="917" spans="2:41" ht="105" x14ac:dyDescent="0.25">
      <c r="B917" s="207" t="s">
        <v>275</v>
      </c>
      <c r="C917" s="66" t="s">
        <v>276</v>
      </c>
      <c r="D917" s="4" t="s">
        <v>285</v>
      </c>
      <c r="E917" s="4" t="s">
        <v>1072</v>
      </c>
      <c r="F917" s="4" t="s">
        <v>681</v>
      </c>
      <c r="G917" s="304" t="s">
        <v>39</v>
      </c>
      <c r="H917" s="208">
        <v>1</v>
      </c>
      <c r="I917" s="4" t="s">
        <v>1255</v>
      </c>
      <c r="J917" s="15"/>
      <c r="K917" s="4" t="str">
        <f>_xlfn.IFNA(VLOOKUP($J917,WH_Data[],6,FALSE),"")</f>
        <v/>
      </c>
      <c r="L917" s="4" t="str">
        <f>_xlfn.IFNA(VLOOKUP($J917,WH_Data[],3,FALSE),"")</f>
        <v/>
      </c>
      <c r="M917" s="4" t="str">
        <f>_xlfn.IFNA(VLOOKUP($J917,WH_Data[],5,FALSE),"")</f>
        <v/>
      </c>
      <c r="N917" s="4" t="str">
        <f>_xlfn.IFNA(VLOOKUP($J917,WH_Data[],7,FALSE),"")</f>
        <v/>
      </c>
      <c r="O917" s="4" t="str">
        <f>_xlfn.IFNA(VLOOKUP($J917,WH_Data[],8,FALSE),"")</f>
        <v/>
      </c>
      <c r="P917" s="8"/>
      <c r="Q917" s="209">
        <f>Mon_ILR2[[#This Row],[Qty Required]]-Mon_ILR2[[#This Row],[QTY Transfer]]</f>
        <v>1</v>
      </c>
      <c r="R917" s="66" t="s">
        <v>905</v>
      </c>
      <c r="S917" s="264" t="s">
        <v>2209</v>
      </c>
      <c r="T917" s="210">
        <v>750</v>
      </c>
      <c r="U917" s="303">
        <v>406</v>
      </c>
      <c r="V917" s="210" t="str">
        <f>_xlfn.IFNA(VLOOKUP(Mon_ILR2[[#This Row],[New Model]],PhilipsLibary[],5,FALSE),"0")</f>
        <v>0</v>
      </c>
      <c r="W917" s="210">
        <f>Mon_ILR2[[#This Row],[Accessory Rate]]+Mon_ILR2[[#This Row],[Mounting Rate]]+Mon_ILR2[[#This Row],[Unit Rate]]*Mon_ILR2[[#This Row],[New Quantity Required ]]</f>
        <v>1156</v>
      </c>
      <c r="X917" s="8"/>
      <c r="Y917" s="289" t="s">
        <v>2162</v>
      </c>
      <c r="Z917" s="6" t="s">
        <v>683</v>
      </c>
      <c r="AA917" s="6" t="s">
        <v>50</v>
      </c>
      <c r="AB917" s="6" t="s">
        <v>50</v>
      </c>
      <c r="AC917" s="6" t="s">
        <v>50</v>
      </c>
      <c r="AD917" s="6" t="s">
        <v>50</v>
      </c>
      <c r="AE917" s="6" t="s">
        <v>50</v>
      </c>
      <c r="AF917" s="6" t="s">
        <v>50</v>
      </c>
      <c r="AG917" s="6" t="s">
        <v>50</v>
      </c>
      <c r="AH917" s="6" t="s">
        <v>50</v>
      </c>
      <c r="AI917" s="6" t="s">
        <v>50</v>
      </c>
      <c r="AJ917" s="6" t="s">
        <v>50</v>
      </c>
      <c r="AK917" s="6" t="s">
        <v>50</v>
      </c>
      <c r="AL917" s="6" t="s">
        <v>50</v>
      </c>
      <c r="AM917" s="6" t="s">
        <v>50</v>
      </c>
      <c r="AN917" s="6" t="s">
        <v>50</v>
      </c>
      <c r="AO917" s="6" t="s">
        <v>54</v>
      </c>
    </row>
    <row r="918" spans="2:41" ht="120" x14ac:dyDescent="0.25">
      <c r="B918" s="207" t="s">
        <v>275</v>
      </c>
      <c r="C918" s="66" t="s">
        <v>684</v>
      </c>
      <c r="D918" s="4" t="s">
        <v>685</v>
      </c>
      <c r="E918" s="4" t="s">
        <v>1072</v>
      </c>
      <c r="F918" s="4" t="s">
        <v>681</v>
      </c>
      <c r="G918" s="4" t="s">
        <v>682</v>
      </c>
      <c r="H918" s="208">
        <v>1</v>
      </c>
      <c r="I918" s="4" t="s">
        <v>1255</v>
      </c>
      <c r="J918" s="15"/>
      <c r="K918" s="4" t="str">
        <f>_xlfn.IFNA(VLOOKUP($J918,WH_Data[],6,FALSE),"")</f>
        <v/>
      </c>
      <c r="L918" s="4" t="str">
        <f>_xlfn.IFNA(VLOOKUP($J918,WH_Data[],3,FALSE),"")</f>
        <v/>
      </c>
      <c r="M918" s="4" t="str">
        <f>_xlfn.IFNA(VLOOKUP($J918,WH_Data[],5,FALSE),"")</f>
        <v/>
      </c>
      <c r="N918" s="4" t="str">
        <f>_xlfn.IFNA(VLOOKUP($J918,WH_Data[],7,FALSE),"")</f>
        <v/>
      </c>
      <c r="O918" s="4" t="str">
        <f>_xlfn.IFNA(VLOOKUP($J918,WH_Data[],8,FALSE),"")</f>
        <v/>
      </c>
      <c r="P918" s="8"/>
      <c r="Q918" s="209">
        <f>Mon_ILR2[[#This Row],[Qty Required]]-Mon_ILR2[[#This Row],[QTY Transfer]]</f>
        <v>1</v>
      </c>
      <c r="R918" s="66" t="s">
        <v>905</v>
      </c>
      <c r="S918" s="66" t="s">
        <v>1256</v>
      </c>
      <c r="T918" s="210">
        <v>3345</v>
      </c>
      <c r="U918" s="210">
        <v>876</v>
      </c>
      <c r="V918" s="210">
        <v>500</v>
      </c>
      <c r="W918" s="210">
        <f>Mon_ILR2[[#This Row],[Accessory Rate]]+Mon_ILR2[[#This Row],[Mounting Rate]]+Mon_ILR2[[#This Row],[Unit Rate]]*Mon_ILR2[[#This Row],[New Quantity Required ]]</f>
        <v>4721</v>
      </c>
      <c r="X918" s="8"/>
      <c r="Y918" s="289" t="s">
        <v>1257</v>
      </c>
      <c r="Z918" s="6" t="s">
        <v>683</v>
      </c>
      <c r="AA918" s="6" t="s">
        <v>50</v>
      </c>
      <c r="AB918" s="6" t="s">
        <v>50</v>
      </c>
      <c r="AC918" s="6" t="s">
        <v>50</v>
      </c>
      <c r="AD918" s="6" t="s">
        <v>50</v>
      </c>
      <c r="AE918" s="6" t="s">
        <v>50</v>
      </c>
      <c r="AF918" s="6" t="s">
        <v>50</v>
      </c>
      <c r="AG918" s="6" t="s">
        <v>50</v>
      </c>
      <c r="AH918" s="6" t="s">
        <v>50</v>
      </c>
      <c r="AI918" s="6" t="s">
        <v>50</v>
      </c>
      <c r="AJ918" s="6" t="s">
        <v>50</v>
      </c>
      <c r="AK918" s="6" t="s">
        <v>50</v>
      </c>
      <c r="AL918" s="6" t="s">
        <v>50</v>
      </c>
      <c r="AM918" s="6" t="s">
        <v>50</v>
      </c>
      <c r="AN918" s="6" t="s">
        <v>50</v>
      </c>
      <c r="AO918" s="6" t="s">
        <v>54</v>
      </c>
    </row>
    <row r="919" spans="2:41" ht="120" x14ac:dyDescent="0.25">
      <c r="B919" s="207" t="s">
        <v>275</v>
      </c>
      <c r="C919" s="66" t="s">
        <v>288</v>
      </c>
      <c r="D919" s="4" t="s">
        <v>289</v>
      </c>
      <c r="E919" s="4" t="s">
        <v>1072</v>
      </c>
      <c r="F919" s="4" t="s">
        <v>681</v>
      </c>
      <c r="G919" s="304" t="s">
        <v>39</v>
      </c>
      <c r="H919" s="208">
        <v>1</v>
      </c>
      <c r="I919" s="4" t="s">
        <v>1255</v>
      </c>
      <c r="J919" s="15"/>
      <c r="K919" s="4" t="str">
        <f>_xlfn.IFNA(VLOOKUP($J919,WH_Data[],6,FALSE),"")</f>
        <v/>
      </c>
      <c r="L919" s="4" t="str">
        <f>_xlfn.IFNA(VLOOKUP($J919,WH_Data[],3,FALSE),"")</f>
        <v/>
      </c>
      <c r="M919" s="4" t="str">
        <f>_xlfn.IFNA(VLOOKUP($J919,WH_Data[],5,FALSE),"")</f>
        <v/>
      </c>
      <c r="N919" s="4" t="str">
        <f>_xlfn.IFNA(VLOOKUP($J919,WH_Data[],7,FALSE),"")</f>
        <v/>
      </c>
      <c r="O919" s="4" t="str">
        <f>_xlfn.IFNA(VLOOKUP($J919,WH_Data[],8,FALSE),"")</f>
        <v/>
      </c>
      <c r="P919" s="8"/>
      <c r="Q919" s="209">
        <f>Mon_ILR2[[#This Row],[Qty Required]]-Mon_ILR2[[#This Row],[QTY Transfer]]</f>
        <v>1</v>
      </c>
      <c r="R919" s="66" t="s">
        <v>905</v>
      </c>
      <c r="S919" s="264" t="s">
        <v>2209</v>
      </c>
      <c r="T919" s="210">
        <v>750</v>
      </c>
      <c r="U919" s="303">
        <v>406</v>
      </c>
      <c r="V919" s="210" t="str">
        <f>_xlfn.IFNA(VLOOKUP(Mon_ILR2[[#This Row],[New Model]],PhilipsLibary[],5,FALSE),"0")</f>
        <v>0</v>
      </c>
      <c r="W919" s="210">
        <f>Mon_ILR2[[#This Row],[Accessory Rate]]+Mon_ILR2[[#This Row],[Mounting Rate]]+Mon_ILR2[[#This Row],[Unit Rate]]*Mon_ILR2[[#This Row],[New Quantity Required ]]</f>
        <v>1156</v>
      </c>
      <c r="X919" s="8"/>
      <c r="Y919" s="289" t="s">
        <v>2163</v>
      </c>
      <c r="Z919" s="6" t="s">
        <v>683</v>
      </c>
      <c r="AA919" s="6" t="s">
        <v>50</v>
      </c>
      <c r="AB919" s="6" t="s">
        <v>50</v>
      </c>
      <c r="AC919" s="6" t="s">
        <v>50</v>
      </c>
      <c r="AD919" s="6" t="s">
        <v>50</v>
      </c>
      <c r="AE919" s="6" t="s">
        <v>50</v>
      </c>
      <c r="AF919" s="6" t="s">
        <v>50</v>
      </c>
      <c r="AG919" s="6" t="s">
        <v>50</v>
      </c>
      <c r="AH919" s="6" t="s">
        <v>50</v>
      </c>
      <c r="AI919" s="6" t="s">
        <v>50</v>
      </c>
      <c r="AJ919" s="6" t="s">
        <v>50</v>
      </c>
      <c r="AK919" s="6" t="s">
        <v>50</v>
      </c>
      <c r="AL919" s="6" t="s">
        <v>50</v>
      </c>
      <c r="AM919" s="6" t="s">
        <v>50</v>
      </c>
      <c r="AN919" s="6" t="s">
        <v>50</v>
      </c>
      <c r="AO919" s="6" t="s">
        <v>54</v>
      </c>
    </row>
    <row r="920" spans="2:41" ht="120" x14ac:dyDescent="0.25">
      <c r="B920" s="207" t="s">
        <v>275</v>
      </c>
      <c r="C920" s="66" t="s">
        <v>276</v>
      </c>
      <c r="D920" s="4" t="s">
        <v>292</v>
      </c>
      <c r="E920" s="4" t="s">
        <v>1072</v>
      </c>
      <c r="F920" s="4" t="s">
        <v>681</v>
      </c>
      <c r="G920" s="304" t="s">
        <v>39</v>
      </c>
      <c r="H920" s="208">
        <v>1</v>
      </c>
      <c r="I920" s="4" t="s">
        <v>1255</v>
      </c>
      <c r="J920" s="15"/>
      <c r="K920" s="4" t="str">
        <f>_xlfn.IFNA(VLOOKUP($J920,WH_Data[],6,FALSE),"")</f>
        <v/>
      </c>
      <c r="L920" s="4" t="str">
        <f>_xlfn.IFNA(VLOOKUP($J920,WH_Data[],3,FALSE),"")</f>
        <v/>
      </c>
      <c r="M920" s="4" t="str">
        <f>_xlfn.IFNA(VLOOKUP($J920,WH_Data[],5,FALSE),"")</f>
        <v/>
      </c>
      <c r="N920" s="4" t="str">
        <f>_xlfn.IFNA(VLOOKUP($J920,WH_Data[],7,FALSE),"")</f>
        <v/>
      </c>
      <c r="O920" s="4" t="str">
        <f>_xlfn.IFNA(VLOOKUP($J920,WH_Data[],8,FALSE),"")</f>
        <v/>
      </c>
      <c r="P920" s="8"/>
      <c r="Q920" s="209">
        <f>Mon_ILR2[[#This Row],[Qty Required]]-Mon_ILR2[[#This Row],[QTY Transfer]]</f>
        <v>1</v>
      </c>
      <c r="R920" s="66" t="s">
        <v>905</v>
      </c>
      <c r="S920" s="264" t="s">
        <v>2209</v>
      </c>
      <c r="T920" s="210">
        <v>750</v>
      </c>
      <c r="U920" s="303">
        <v>406</v>
      </c>
      <c r="V920" s="210" t="str">
        <f>_xlfn.IFNA(VLOOKUP(Mon_ILR2[[#This Row],[New Model]],PhilipsLibary[],5,FALSE),"0")</f>
        <v>0</v>
      </c>
      <c r="W920" s="210">
        <f>Mon_ILR2[[#This Row],[Accessory Rate]]+Mon_ILR2[[#This Row],[Mounting Rate]]+Mon_ILR2[[#This Row],[Unit Rate]]*Mon_ILR2[[#This Row],[New Quantity Required ]]</f>
        <v>1156</v>
      </c>
      <c r="X920" s="8"/>
      <c r="Y920" s="289" t="s">
        <v>2164</v>
      </c>
      <c r="Z920" s="6" t="s">
        <v>683</v>
      </c>
      <c r="AA920" s="6" t="s">
        <v>50</v>
      </c>
      <c r="AB920" s="6" t="s">
        <v>50</v>
      </c>
      <c r="AC920" s="6" t="s">
        <v>50</v>
      </c>
      <c r="AD920" s="6" t="s">
        <v>50</v>
      </c>
      <c r="AE920" s="6" t="s">
        <v>50</v>
      </c>
      <c r="AF920" s="6" t="s">
        <v>50</v>
      </c>
      <c r="AG920" s="6" t="s">
        <v>50</v>
      </c>
      <c r="AH920" s="6" t="s">
        <v>50</v>
      </c>
      <c r="AI920" s="6" t="s">
        <v>50</v>
      </c>
      <c r="AJ920" s="6" t="s">
        <v>50</v>
      </c>
      <c r="AK920" s="6" t="s">
        <v>50</v>
      </c>
      <c r="AL920" s="6" t="s">
        <v>50</v>
      </c>
      <c r="AM920" s="6" t="s">
        <v>50</v>
      </c>
      <c r="AN920" s="6" t="s">
        <v>50</v>
      </c>
      <c r="AO920" s="6" t="s">
        <v>54</v>
      </c>
    </row>
    <row r="921" spans="2:41" ht="135" x14ac:dyDescent="0.25">
      <c r="B921" s="207" t="s">
        <v>368</v>
      </c>
      <c r="C921" s="66" t="s">
        <v>783</v>
      </c>
      <c r="D921" s="4" t="s">
        <v>784</v>
      </c>
      <c r="E921" s="4" t="s">
        <v>1027</v>
      </c>
      <c r="F921" s="4" t="s">
        <v>681</v>
      </c>
      <c r="G921" s="304" t="s">
        <v>39</v>
      </c>
      <c r="H921" s="208">
        <v>1</v>
      </c>
      <c r="I921" s="4"/>
      <c r="J921" s="15"/>
      <c r="K921" s="4" t="str">
        <f>_xlfn.IFNA(VLOOKUP($J921,WH_Data[],6,FALSE),"")</f>
        <v/>
      </c>
      <c r="L921" s="4" t="str">
        <f>_xlfn.IFNA(VLOOKUP($J921,WH_Data[],3,FALSE),"")</f>
        <v/>
      </c>
      <c r="M921" s="4" t="str">
        <f>_xlfn.IFNA(VLOOKUP($J921,WH_Data[],5,FALSE),"")</f>
        <v/>
      </c>
      <c r="N921" s="4" t="str">
        <f>_xlfn.IFNA(VLOOKUP($J921,WH_Data[],7,FALSE),"")</f>
        <v/>
      </c>
      <c r="O921" s="4" t="str">
        <f>_xlfn.IFNA(VLOOKUP($J921,WH_Data[],8,FALSE),"")</f>
        <v/>
      </c>
      <c r="P921" s="8"/>
      <c r="Q921" s="209">
        <f>Mon_ILR2[[#This Row],[Qty Required]]-Mon_ILR2[[#This Row],[QTY Transfer]]</f>
        <v>1</v>
      </c>
      <c r="R921" s="66" t="s">
        <v>905</v>
      </c>
      <c r="S921" s="264" t="s">
        <v>2211</v>
      </c>
      <c r="T921" s="210">
        <v>750</v>
      </c>
      <c r="U921" s="303">
        <v>199</v>
      </c>
      <c r="V921" s="210" t="str">
        <f>_xlfn.IFNA(VLOOKUP(Mon_ILR2[[#This Row],[New Model]],PhilipsLibary[],5,FALSE),"0")</f>
        <v>0</v>
      </c>
      <c r="W921" s="210">
        <f>Mon_ILR2[[#This Row],[Accessory Rate]]+Mon_ILR2[[#This Row],[Mounting Rate]]+Mon_ILR2[[#This Row],[Unit Rate]]*Mon_ILR2[[#This Row],[New Quantity Required ]]</f>
        <v>949</v>
      </c>
      <c r="X921" s="8"/>
      <c r="Y921" s="289" t="s">
        <v>2176</v>
      </c>
      <c r="Z921" s="6" t="s">
        <v>683</v>
      </c>
      <c r="AA921" s="6" t="s">
        <v>50</v>
      </c>
      <c r="AB921" s="6" t="s">
        <v>50</v>
      </c>
      <c r="AC921" s="6" t="s">
        <v>50</v>
      </c>
      <c r="AD921" s="6" t="s">
        <v>50</v>
      </c>
      <c r="AE921" s="6" t="s">
        <v>50</v>
      </c>
      <c r="AF921" s="6" t="s">
        <v>50</v>
      </c>
      <c r="AG921" s="6" t="s">
        <v>50</v>
      </c>
      <c r="AH921" s="6" t="s">
        <v>50</v>
      </c>
      <c r="AI921" s="6" t="s">
        <v>50</v>
      </c>
      <c r="AJ921" s="6" t="s">
        <v>50</v>
      </c>
      <c r="AK921" s="6" t="s">
        <v>50</v>
      </c>
      <c r="AL921" s="6" t="s">
        <v>50</v>
      </c>
      <c r="AM921" s="6" t="s">
        <v>50</v>
      </c>
      <c r="AN921" s="6" t="s">
        <v>50</v>
      </c>
      <c r="AO921" s="6" t="s">
        <v>54</v>
      </c>
    </row>
    <row r="922" spans="2:41" ht="160.5" customHeight="1" x14ac:dyDescent="0.25">
      <c r="B922" s="207" t="s">
        <v>35</v>
      </c>
      <c r="C922" s="66" t="s">
        <v>864</v>
      </c>
      <c r="D922" s="4" t="s">
        <v>865</v>
      </c>
      <c r="E922" s="4" t="s">
        <v>1025</v>
      </c>
      <c r="F922" s="4" t="s">
        <v>1026</v>
      </c>
      <c r="G922" s="304" t="s">
        <v>39</v>
      </c>
      <c r="H922" s="208">
        <v>2</v>
      </c>
      <c r="I922" s="4"/>
      <c r="J922" s="15"/>
      <c r="K922" s="4" t="str">
        <f>_xlfn.IFNA(VLOOKUP($J922,WH_Data[],6,FALSE),"")</f>
        <v/>
      </c>
      <c r="L922" s="4" t="str">
        <f>_xlfn.IFNA(VLOOKUP($J922,WH_Data[],3,FALSE),"")</f>
        <v/>
      </c>
      <c r="M922" s="4" t="str">
        <f>_xlfn.IFNA(VLOOKUP($J922,WH_Data[],5,FALSE),"")</f>
        <v/>
      </c>
      <c r="N922" s="4" t="str">
        <f>_xlfn.IFNA(VLOOKUP($J922,WH_Data[],7,FALSE),"")</f>
        <v/>
      </c>
      <c r="O922" s="4" t="str">
        <f>_xlfn.IFNA(VLOOKUP($J922,WH_Data[],8,FALSE),"")</f>
        <v/>
      </c>
      <c r="P922" s="8"/>
      <c r="Q922" s="209">
        <f>Mon_ILR2[[#This Row],[Qty Required]]-Mon_ILR2[[#This Row],[QTY Transfer]]</f>
        <v>2</v>
      </c>
      <c r="R922" s="66" t="s">
        <v>905</v>
      </c>
      <c r="S922" s="66" t="s">
        <v>967</v>
      </c>
      <c r="T922" s="303">
        <v>5714</v>
      </c>
      <c r="U922" s="303">
        <v>398</v>
      </c>
      <c r="V922" s="210">
        <f>_xlfn.IFNA(VLOOKUP(Mon_ILR2[[#This Row],[New Model]],PhilipsLibary[],5,FALSE),"0")</f>
        <v>0</v>
      </c>
      <c r="W922" s="210">
        <f>Mon_ILR2[[#This Row],[Accessory Rate]]+Mon_ILR2[[#This Row],[Mounting Rate]]+Mon_ILR2[[#This Row],[Unit Rate]]*Mon_ILR2[[#This Row],[New Quantity Required ]]</f>
        <v>11826</v>
      </c>
      <c r="X922" s="8"/>
      <c r="Y922" s="269" t="s">
        <v>2186</v>
      </c>
      <c r="Z922" s="6" t="s">
        <v>651</v>
      </c>
      <c r="AA922" s="6" t="s">
        <v>652</v>
      </c>
      <c r="AB922" s="6" t="s">
        <v>50</v>
      </c>
      <c r="AC922" s="6" t="s">
        <v>50</v>
      </c>
      <c r="AD922" s="6" t="s">
        <v>49</v>
      </c>
      <c r="AE922" s="6" t="s">
        <v>50</v>
      </c>
      <c r="AF922" s="6" t="s">
        <v>50</v>
      </c>
      <c r="AG922" s="6" t="s">
        <v>50</v>
      </c>
      <c r="AH922" s="6" t="s">
        <v>50</v>
      </c>
      <c r="AI922" s="6" t="s">
        <v>50</v>
      </c>
      <c r="AJ922" s="6" t="s">
        <v>50</v>
      </c>
      <c r="AK922" s="6" t="s">
        <v>50</v>
      </c>
      <c r="AL922" s="6" t="s">
        <v>52</v>
      </c>
      <c r="AM922" s="6" t="s">
        <v>50</v>
      </c>
      <c r="AN922" s="6" t="s">
        <v>50</v>
      </c>
      <c r="AO922" s="6" t="s">
        <v>54</v>
      </c>
    </row>
    <row r="923" spans="2:41" ht="105" x14ac:dyDescent="0.25">
      <c r="B923" s="207" t="s">
        <v>35</v>
      </c>
      <c r="C923" s="66" t="s">
        <v>818</v>
      </c>
      <c r="D923" s="4" t="s">
        <v>853</v>
      </c>
      <c r="E923" s="4" t="s">
        <v>1072</v>
      </c>
      <c r="F923" s="4" t="s">
        <v>816</v>
      </c>
      <c r="G923" s="304" t="s">
        <v>39</v>
      </c>
      <c r="H923" s="208">
        <v>1</v>
      </c>
      <c r="I923" s="4"/>
      <c r="J923" s="15"/>
      <c r="K923" s="4" t="str">
        <f>_xlfn.IFNA(VLOOKUP($J923,WH_Data[],6,FALSE),"")</f>
        <v/>
      </c>
      <c r="L923" s="4" t="str">
        <f>_xlfn.IFNA(VLOOKUP($J923,WH_Data[],3,FALSE),"")</f>
        <v/>
      </c>
      <c r="M923" s="4" t="str">
        <f>_xlfn.IFNA(VLOOKUP($J923,WH_Data[],5,FALSE),"")</f>
        <v/>
      </c>
      <c r="N923" s="4" t="str">
        <f>_xlfn.IFNA(VLOOKUP($J923,WH_Data[],7,FALSE),"")</f>
        <v/>
      </c>
      <c r="O923" s="4" t="str">
        <f>_xlfn.IFNA(VLOOKUP($J923,WH_Data[],8,FALSE),"")</f>
        <v/>
      </c>
      <c r="P923" s="8"/>
      <c r="Q923" s="209">
        <f>Mon_ILR2[[#This Row],[Qty Required]]-Mon_ILR2[[#This Row],[QTY Transfer]]</f>
        <v>1</v>
      </c>
      <c r="R923" s="66" t="s">
        <v>905</v>
      </c>
      <c r="S923" s="264" t="s">
        <v>2211</v>
      </c>
      <c r="T923" s="210">
        <v>750</v>
      </c>
      <c r="U923" s="303">
        <v>199</v>
      </c>
      <c r="V923" s="210" t="str">
        <f>_xlfn.IFNA(VLOOKUP(Mon_ILR2[[#This Row],[New Model]],PhilipsLibary[],5,FALSE),"0")</f>
        <v>0</v>
      </c>
      <c r="W923" s="210">
        <f>Mon_ILR2[[#This Row],[Accessory Rate]]+Mon_ILR2[[#This Row],[Mounting Rate]]+Mon_ILR2[[#This Row],[Unit Rate]]*Mon_ILR2[[#This Row],[New Quantity Required ]]</f>
        <v>949</v>
      </c>
      <c r="X923" s="8"/>
      <c r="Y923" s="257" t="s">
        <v>2191</v>
      </c>
      <c r="Z923" s="6" t="s">
        <v>683</v>
      </c>
      <c r="AA923" s="6" t="s">
        <v>50</v>
      </c>
      <c r="AB923" s="6" t="s">
        <v>50</v>
      </c>
      <c r="AC923" s="6" t="s">
        <v>50</v>
      </c>
      <c r="AD923" s="6" t="s">
        <v>50</v>
      </c>
      <c r="AE923" s="6" t="s">
        <v>50</v>
      </c>
      <c r="AF923" s="6" t="s">
        <v>50</v>
      </c>
      <c r="AG923" s="6" t="s">
        <v>50</v>
      </c>
      <c r="AH923" s="6" t="s">
        <v>50</v>
      </c>
      <c r="AI923" s="6" t="s">
        <v>50</v>
      </c>
      <c r="AJ923" s="6" t="s">
        <v>50</v>
      </c>
      <c r="AK923" s="6" t="s">
        <v>50</v>
      </c>
      <c r="AL923" s="6" t="s">
        <v>50</v>
      </c>
      <c r="AM923" s="6" t="s">
        <v>50</v>
      </c>
      <c r="AN923" s="6" t="s">
        <v>50</v>
      </c>
      <c r="AO923" s="6" t="s">
        <v>54</v>
      </c>
    </row>
    <row r="924" spans="2:41" s="271" customFormat="1" ht="30" x14ac:dyDescent="0.25">
      <c r="B924" s="263" t="s">
        <v>1259</v>
      </c>
      <c r="C924" s="264"/>
      <c r="D924" s="264"/>
      <c r="E924" s="264"/>
      <c r="F924" s="264"/>
      <c r="G924" s="264"/>
      <c r="H924" s="265"/>
      <c r="I924" s="264"/>
      <c r="J924" s="266"/>
      <c r="K924" s="264"/>
      <c r="L924" s="264"/>
      <c r="M924" s="264"/>
      <c r="N924" s="264"/>
      <c r="O924" s="264"/>
      <c r="P924" s="266"/>
      <c r="Q924" s="267">
        <v>1</v>
      </c>
      <c r="R924" s="264" t="str">
        <f>IF(Mon_ILR2[[#This Row],[New Quantity Required ]]="1","Philips","")</f>
        <v/>
      </c>
      <c r="S924" s="264" t="s">
        <v>1260</v>
      </c>
      <c r="T924" s="268">
        <v>23239</v>
      </c>
      <c r="U924" s="268">
        <v>0</v>
      </c>
      <c r="V924" s="268">
        <v>0</v>
      </c>
      <c r="W924" s="268">
        <f>Mon_ILR2[[#This Row],[Accessory Rate]]+Mon_ILR2[[#This Row],[Mounting Rate]]+Mon_ILR2[[#This Row],[Unit Rate]]*Mon_ILR2[[#This Row],[New Quantity Required ]]</f>
        <v>23239</v>
      </c>
      <c r="X924" s="266"/>
      <c r="Y924" s="269" t="s">
        <v>1261</v>
      </c>
      <c r="Z924" s="270"/>
      <c r="AA924" s="270"/>
      <c r="AB924" s="270"/>
      <c r="AC924" s="270"/>
      <c r="AD924" s="270"/>
      <c r="AE924" s="270"/>
      <c r="AF924" s="270"/>
      <c r="AG924" s="270"/>
      <c r="AH924" s="270"/>
      <c r="AI924" s="270"/>
      <c r="AJ924" s="270"/>
      <c r="AK924" s="270"/>
      <c r="AL924" s="270"/>
      <c r="AM924" s="270"/>
      <c r="AN924" s="270"/>
      <c r="AO924" s="270"/>
    </row>
    <row r="925" spans="2:41" ht="75" x14ac:dyDescent="0.25">
      <c r="B925" s="263" t="s">
        <v>1259</v>
      </c>
      <c r="C925" s="66"/>
      <c r="D925" s="4"/>
      <c r="E925" s="4"/>
      <c r="F925" s="4"/>
      <c r="G925" s="4"/>
      <c r="H925" s="208"/>
      <c r="I925" s="4"/>
      <c r="J925" s="15"/>
      <c r="K925" s="4"/>
      <c r="L925" s="4"/>
      <c r="M925" s="4"/>
      <c r="N925" s="4"/>
      <c r="O925" s="4"/>
      <c r="P925" s="8"/>
      <c r="Q925" s="267">
        <v>1</v>
      </c>
      <c r="R925" s="264" t="str">
        <f>IF(Mon_ILR2[[#This Row],[New Quantity Required ]]="1","Philips","")</f>
        <v/>
      </c>
      <c r="S925" s="264" t="s">
        <v>1262</v>
      </c>
      <c r="T925" s="268">
        <v>108320</v>
      </c>
      <c r="U925" s="268">
        <v>0</v>
      </c>
      <c r="V925" s="268">
        <v>0</v>
      </c>
      <c r="W925" s="268">
        <f>Mon_ILR2[[#This Row],[Accessory Rate]]+Mon_ILR2[[#This Row],[Mounting Rate]]+Mon_ILR2[[#This Row],[Unit Rate]]*Mon_ILR2[[#This Row],[New Quantity Required ]]</f>
        <v>108320</v>
      </c>
      <c r="X925" s="8"/>
      <c r="Y925" s="269" t="s">
        <v>998</v>
      </c>
    </row>
    <row r="926" spans="2:41" ht="19.5" customHeight="1" x14ac:dyDescent="0.25">
      <c r="B926" s="263" t="s">
        <v>1259</v>
      </c>
      <c r="C926" s="264"/>
      <c r="D926" s="264"/>
      <c r="E926" s="264"/>
      <c r="F926" s="264"/>
      <c r="G926" s="264"/>
      <c r="H926" s="265"/>
      <c r="I926" s="264"/>
      <c r="J926" s="266"/>
      <c r="K926" s="264"/>
      <c r="L926" s="264"/>
      <c r="M926" s="264"/>
      <c r="N926" s="264"/>
      <c r="O926" s="264"/>
      <c r="P926" s="266"/>
      <c r="Q926" s="267">
        <v>1</v>
      </c>
      <c r="R926" s="264" t="str">
        <f>IF(Mon_ILR2[[#This Row],[New Quantity Required ]]="1","Philips","")</f>
        <v/>
      </c>
      <c r="S926" s="264" t="s">
        <v>1263</v>
      </c>
      <c r="T926" s="268">
        <v>22716</v>
      </c>
      <c r="U926" s="268">
        <v>0</v>
      </c>
      <c r="V926" s="268">
        <v>0</v>
      </c>
      <c r="W926" s="268">
        <f>Mon_ILR2[[#This Row],[Accessory Rate]]+Mon_ILR2[[#This Row],[Mounting Rate]]+Mon_ILR2[[#This Row],[Unit Rate]]*Mon_ILR2[[#This Row],[New Quantity Required ]]</f>
        <v>22716</v>
      </c>
      <c r="X926" s="266"/>
      <c r="Y926" s="269" t="s">
        <v>1001</v>
      </c>
    </row>
    <row r="927" spans="2:41" s="271" customFormat="1" ht="19.5" customHeight="1" x14ac:dyDescent="0.25">
      <c r="B927" s="263" t="s">
        <v>1259</v>
      </c>
      <c r="C927" s="264"/>
      <c r="D927" s="264"/>
      <c r="E927" s="264"/>
      <c r="F927" s="264"/>
      <c r="G927" s="264"/>
      <c r="H927" s="265"/>
      <c r="I927" s="264"/>
      <c r="J927" s="266"/>
      <c r="K927" s="264"/>
      <c r="L927" s="264"/>
      <c r="M927" s="264"/>
      <c r="N927" s="264"/>
      <c r="O927" s="264"/>
      <c r="P927" s="266"/>
      <c r="Q927" s="267">
        <v>1</v>
      </c>
      <c r="R927" s="264" t="str">
        <f>IF(Mon_ILR2[[#This Row],[New Quantity Required ]]="1","Philips","")</f>
        <v/>
      </c>
      <c r="S927" s="264" t="s">
        <v>1003</v>
      </c>
      <c r="T927" s="268">
        <v>70000</v>
      </c>
      <c r="U927" s="268">
        <v>0</v>
      </c>
      <c r="V927" s="268">
        <v>0</v>
      </c>
      <c r="W927" s="268">
        <f>Mon_ILR2[[#This Row],[Accessory Rate]]+Mon_ILR2[[#This Row],[Mounting Rate]]+Mon_ILR2[[#This Row],[Unit Rate]]*Mon_ILR2[[#This Row],[New Quantity Required ]]</f>
        <v>70000</v>
      </c>
      <c r="X927" s="266"/>
      <c r="Y927" s="269" t="s">
        <v>1004</v>
      </c>
      <c r="Z927" s="270"/>
      <c r="AA927" s="270"/>
      <c r="AB927" s="270"/>
      <c r="AC927" s="270"/>
      <c r="AD927" s="270"/>
      <c r="AE927" s="270"/>
      <c r="AF927" s="270"/>
      <c r="AG927" s="270"/>
      <c r="AH927" s="270"/>
      <c r="AI927" s="270"/>
      <c r="AJ927" s="270"/>
      <c r="AK927" s="270"/>
      <c r="AL927" s="270"/>
      <c r="AM927" s="270"/>
      <c r="AN927" s="270"/>
      <c r="AO927" s="270"/>
    </row>
    <row r="928" spans="2:41" s="271" customFormat="1" ht="90" x14ac:dyDescent="0.25">
      <c r="B928" s="263" t="s">
        <v>1259</v>
      </c>
      <c r="C928" s="264"/>
      <c r="D928" s="264"/>
      <c r="E928" s="264"/>
      <c r="F928" s="264"/>
      <c r="G928" s="264"/>
      <c r="H928" s="265"/>
      <c r="I928" s="264"/>
      <c r="J928" s="266"/>
      <c r="K928" s="264"/>
      <c r="L928" s="264"/>
      <c r="M928" s="264"/>
      <c r="N928" s="264"/>
      <c r="O928" s="264"/>
      <c r="P928" s="266"/>
      <c r="Q928" s="267">
        <v>2</v>
      </c>
      <c r="R928" s="264" t="str">
        <f>IF(Mon_ILR2[[#This Row],[New Quantity Required ]]="1","Philips","")</f>
        <v/>
      </c>
      <c r="S928" s="264" t="s">
        <v>1006</v>
      </c>
      <c r="T928" s="268">
        <v>53100</v>
      </c>
      <c r="U928" s="268">
        <v>0</v>
      </c>
      <c r="V928" s="268">
        <v>0</v>
      </c>
      <c r="W928" s="268">
        <v>106200</v>
      </c>
      <c r="X928" s="266"/>
      <c r="Y928" s="269" t="s">
        <v>1264</v>
      </c>
      <c r="Z928" s="270"/>
      <c r="AA928" s="270"/>
      <c r="AB928" s="270"/>
      <c r="AC928" s="270"/>
      <c r="AD928" s="270"/>
      <c r="AE928" s="270"/>
      <c r="AF928" s="270"/>
      <c r="AG928" s="270"/>
      <c r="AH928" s="270"/>
      <c r="AI928" s="270"/>
      <c r="AJ928" s="270"/>
      <c r="AK928" s="270"/>
      <c r="AL928" s="270"/>
      <c r="AM928" s="270"/>
      <c r="AN928" s="270"/>
      <c r="AO928" s="270"/>
    </row>
    <row r="929" spans="2:41" s="271" customFormat="1" ht="45" x14ac:dyDescent="0.25">
      <c r="B929" s="263" t="s">
        <v>1259</v>
      </c>
      <c r="C929" s="264"/>
      <c r="D929" s="264"/>
      <c r="E929" s="264"/>
      <c r="F929" s="264"/>
      <c r="G929" s="264"/>
      <c r="H929" s="265"/>
      <c r="I929" s="264"/>
      <c r="J929" s="266"/>
      <c r="K929" s="264"/>
      <c r="L929" s="264"/>
      <c r="M929" s="264"/>
      <c r="N929" s="264"/>
      <c r="O929" s="264"/>
      <c r="P929" s="266"/>
      <c r="Q929" s="267">
        <v>2</v>
      </c>
      <c r="R929" s="264" t="str">
        <f>IF(Mon_ILR2[[#This Row],[New Quantity Required ]]="1","Philips","")</f>
        <v/>
      </c>
      <c r="S929" s="264" t="s">
        <v>1009</v>
      </c>
      <c r="T929" s="268">
        <v>30000</v>
      </c>
      <c r="U929" s="268">
        <v>0</v>
      </c>
      <c r="V929" s="268">
        <v>0</v>
      </c>
      <c r="W929" s="268">
        <v>60000</v>
      </c>
      <c r="X929" s="266"/>
      <c r="Y929" s="269" t="s">
        <v>1265</v>
      </c>
      <c r="Z929" s="270"/>
      <c r="AA929" s="270"/>
      <c r="AB929" s="270"/>
      <c r="AC929" s="270"/>
      <c r="AD929" s="270"/>
      <c r="AE929" s="270"/>
      <c r="AF929" s="270"/>
      <c r="AG929" s="270"/>
      <c r="AH929" s="270"/>
      <c r="AI929" s="270"/>
      <c r="AJ929" s="270"/>
      <c r="AK929" s="270"/>
      <c r="AL929" s="270"/>
      <c r="AM929" s="270"/>
      <c r="AN929" s="270"/>
      <c r="AO929" s="270"/>
    </row>
    <row r="930" spans="2:41" s="271" customFormat="1" ht="19.5" customHeight="1" x14ac:dyDescent="0.25">
      <c r="B930" s="263" t="s">
        <v>1259</v>
      </c>
      <c r="C930" s="264"/>
      <c r="D930" s="264"/>
      <c r="E930" s="264"/>
      <c r="F930" s="264"/>
      <c r="G930" s="264"/>
      <c r="H930" s="265"/>
      <c r="I930" s="264"/>
      <c r="J930" s="266"/>
      <c r="K930" s="264"/>
      <c r="L930" s="264"/>
      <c r="M930" s="264"/>
      <c r="N930" s="264"/>
      <c r="O930" s="264"/>
      <c r="P930" s="266"/>
      <c r="Q930" s="267">
        <v>1</v>
      </c>
      <c r="R930" s="264" t="str">
        <f>IF(Mon_ILR2[[#This Row],[New Quantity Required ]]="1","Philips","")</f>
        <v/>
      </c>
      <c r="S930" s="264" t="s">
        <v>1012</v>
      </c>
      <c r="T930" s="268">
        <v>40690</v>
      </c>
      <c r="U930" s="268">
        <v>0</v>
      </c>
      <c r="V930" s="268">
        <v>0</v>
      </c>
      <c r="W930" s="268">
        <f>Mon_ILR2[[#This Row],[Accessory Rate]]+Mon_ILR2[[#This Row],[Mounting Rate]]+Mon_ILR2[[#This Row],[Unit Rate]]*Mon_ILR2[[#This Row],[New Quantity Required ]]</f>
        <v>40690</v>
      </c>
      <c r="X930" s="266"/>
      <c r="Y930" s="269" t="s">
        <v>1266</v>
      </c>
      <c r="Z930" s="270"/>
      <c r="AA930" s="270"/>
      <c r="AB930" s="270"/>
      <c r="AC930" s="270"/>
      <c r="AD930" s="270"/>
      <c r="AE930" s="270"/>
      <c r="AF930" s="270"/>
      <c r="AG930" s="270"/>
      <c r="AH930" s="270"/>
      <c r="AI930" s="270"/>
      <c r="AJ930" s="270"/>
      <c r="AK930" s="270"/>
      <c r="AL930" s="270"/>
      <c r="AM930" s="270"/>
      <c r="AN930" s="270"/>
      <c r="AO930" s="270"/>
    </row>
    <row r="931" spans="2:41" s="271" customFormat="1" ht="60" x14ac:dyDescent="0.25">
      <c r="B931" s="263" t="s">
        <v>1259</v>
      </c>
      <c r="C931" s="264"/>
      <c r="D931" s="264"/>
      <c r="E931" s="264"/>
      <c r="F931" s="264"/>
      <c r="G931" s="264"/>
      <c r="H931" s="265"/>
      <c r="I931" s="264"/>
      <c r="J931" s="266"/>
      <c r="K931" s="264"/>
      <c r="L931" s="264"/>
      <c r="M931" s="264"/>
      <c r="N931" s="264"/>
      <c r="O931" s="264"/>
      <c r="P931" s="266"/>
      <c r="Q931" s="267">
        <v>1</v>
      </c>
      <c r="R931" s="264" t="str">
        <f>IF(Mon_ILR2[[#This Row],[New Quantity Required ]]="1","Philips","")</f>
        <v/>
      </c>
      <c r="S931" s="264" t="s">
        <v>1267</v>
      </c>
      <c r="T931" s="268">
        <f>_xlfn.IFNA(VLOOKUP(Mon_ILR2[[#This Row],[New Model]],PhilipsLibary[],4,FALSE),"0")</f>
        <v>25487</v>
      </c>
      <c r="U931" s="268">
        <f>_xlfn.IFNA(VLOOKUP(Mon_ILR2[[#This Row],[New Model]],PhilipsLibary[],5,FALSE),"0")</f>
        <v>0</v>
      </c>
      <c r="V931" s="268">
        <v>0</v>
      </c>
      <c r="W931" s="268">
        <f>Mon_ILR2[[#This Row],[Accessory Rate]]+Mon_ILR2[[#This Row],[Mounting Rate]]+Mon_ILR2[[#This Row],[Unit Rate]]*Mon_ILR2[[#This Row],[New Quantity Required ]]</f>
        <v>25487</v>
      </c>
      <c r="X931" s="266"/>
      <c r="Y931" s="269" t="s">
        <v>912</v>
      </c>
      <c r="Z931" s="270"/>
      <c r="AA931" s="270"/>
      <c r="AB931" s="270"/>
      <c r="AC931" s="270"/>
      <c r="AD931" s="270"/>
      <c r="AE931" s="270"/>
      <c r="AF931" s="270"/>
      <c r="AG931" s="270"/>
      <c r="AH931" s="270"/>
      <c r="AI931" s="270"/>
      <c r="AJ931" s="270"/>
      <c r="AK931" s="270"/>
      <c r="AL931" s="270"/>
      <c r="AM931" s="270"/>
      <c r="AN931" s="270"/>
      <c r="AO931" s="270"/>
    </row>
    <row r="932" spans="2:41" s="271" customFormat="1" ht="45" x14ac:dyDescent="0.25">
      <c r="B932" s="207"/>
      <c r="C932" s="66"/>
      <c r="D932" s="4"/>
      <c r="E932" s="4"/>
      <c r="F932" s="4"/>
      <c r="G932" s="4"/>
      <c r="H932" s="208"/>
      <c r="I932" s="4"/>
      <c r="J932" s="15"/>
      <c r="K932" s="4"/>
      <c r="L932" s="4"/>
      <c r="M932" s="4"/>
      <c r="N932" s="4"/>
      <c r="O932" s="4"/>
      <c r="P932" s="8"/>
      <c r="Q932" s="267">
        <v>1</v>
      </c>
      <c r="R932" s="66" t="str">
        <f>IF(Mon_ILR2[[#This Row],[New Quantity Required ]]="1","Philips","")</f>
        <v/>
      </c>
      <c r="S932" s="264" t="s">
        <v>2198</v>
      </c>
      <c r="T932" s="268">
        <v>40000</v>
      </c>
      <c r="U932" s="268" t="str">
        <f>_xlfn.IFNA(VLOOKUP(Mon_ILR2[[#This Row],[New Model]],PhilipsLibary[],5,FALSE),"0")</f>
        <v>0</v>
      </c>
      <c r="V932" s="268">
        <v>0</v>
      </c>
      <c r="W932" s="268">
        <v>40000</v>
      </c>
      <c r="X932" s="8"/>
      <c r="Y932" s="269" t="s">
        <v>2199</v>
      </c>
      <c r="Z932" s="6"/>
      <c r="AA932" s="6"/>
      <c r="AB932" s="6"/>
      <c r="AC932" s="6"/>
      <c r="AD932" s="6"/>
      <c r="AE932" s="6"/>
      <c r="AF932" s="6"/>
      <c r="AG932" s="6"/>
      <c r="AH932" s="6"/>
      <c r="AI932" s="6"/>
      <c r="AJ932" s="6"/>
      <c r="AK932" s="6"/>
      <c r="AL932" s="6"/>
      <c r="AM932" s="6"/>
      <c r="AN932" s="6"/>
      <c r="AO932" s="6"/>
    </row>
    <row r="933" spans="2:41" s="292" customFormat="1" ht="15.75" x14ac:dyDescent="0.25">
      <c r="B933" s="291"/>
      <c r="D933" s="293"/>
      <c r="E933" s="293"/>
      <c r="F933" s="293"/>
      <c r="G933" s="293"/>
      <c r="H933" s="294"/>
      <c r="I933" s="293"/>
      <c r="J933" s="293"/>
      <c r="K933" s="293"/>
      <c r="L933" s="293"/>
      <c r="M933" s="293"/>
      <c r="N933" s="293"/>
      <c r="O933" s="293"/>
      <c r="Q933" s="209">
        <f>Mon_ILR2[[#This Row],[Qty Required]]-Mon_ILR2[[#This Row],[QTY Transfer]]</f>
        <v>0</v>
      </c>
      <c r="R933" s="292" t="str">
        <f>IF(Mon_ILR2[[#This Row],[New Quantity Required ]]="1","Philips","")</f>
        <v/>
      </c>
      <c r="T933" s="290" t="str">
        <f>_xlfn.IFNA(VLOOKUP(Mon_ILR2[[#This Row],[New Model]],PhilipsLibary[],4,FALSE),"0")</f>
        <v>0</v>
      </c>
      <c r="U933" s="290" t="str">
        <f>_xlfn.IFNA(VLOOKUP(Mon_ILR2[[#This Row],[New Model]],PhilipsLibary[],5,FALSE),"0")</f>
        <v>0</v>
      </c>
      <c r="V933" s="296" t="s">
        <v>2207</v>
      </c>
      <c r="W933" s="297">
        <v>5734511.2000000002</v>
      </c>
      <c r="Y933" s="295"/>
      <c r="Z933" s="295"/>
      <c r="AA933" s="295"/>
      <c r="AB933" s="295"/>
      <c r="AC933" s="295"/>
      <c r="AD933" s="295"/>
      <c r="AE933" s="295"/>
      <c r="AF933" s="295"/>
      <c r="AG933" s="295"/>
      <c r="AH933" s="295"/>
      <c r="AI933" s="295"/>
      <c r="AJ933" s="295"/>
      <c r="AK933" s="295"/>
      <c r="AL933" s="295"/>
      <c r="AM933" s="295"/>
      <c r="AN933" s="295"/>
      <c r="AO933" s="295"/>
    </row>
    <row r="934" spans="2:41" ht="78.75" x14ac:dyDescent="0.25">
      <c r="B934" s="207"/>
      <c r="C934" s="66"/>
      <c r="D934" s="4"/>
      <c r="E934" s="4"/>
      <c r="F934" s="4"/>
      <c r="G934" s="4"/>
      <c r="H934" s="208"/>
      <c r="I934" s="4"/>
      <c r="J934" s="15"/>
      <c r="K934" s="4"/>
      <c r="L934" s="4"/>
      <c r="M934" s="4"/>
      <c r="N934" s="4"/>
      <c r="O934" s="4"/>
      <c r="P934" s="8"/>
      <c r="Q934" s="209">
        <f>Mon_ILR2[[#This Row],[Qty Required]]-Mon_ILR2[[#This Row],[QTY Transfer]]</f>
        <v>0</v>
      </c>
      <c r="R934" s="66" t="str">
        <f>IF(Mon_ILR2[[#This Row],[New Quantity Required ]]="1","Philips","")</f>
        <v/>
      </c>
      <c r="S934" s="66"/>
      <c r="T934" s="290" t="str">
        <f>_xlfn.IFNA(VLOOKUP(Mon_ILR2[[#This Row],[New Model]],PhilipsLibary[],4,FALSE),"0")</f>
        <v>0</v>
      </c>
      <c r="U934" s="290" t="str">
        <f>_xlfn.IFNA(VLOOKUP(Mon_ILR2[[#This Row],[New Model]],PhilipsLibary[],5,FALSE),"0")</f>
        <v>0</v>
      </c>
      <c r="V934" s="298" t="s">
        <v>2140</v>
      </c>
      <c r="W934" s="299">
        <v>5496000</v>
      </c>
      <c r="X934" s="8"/>
      <c r="Y934" s="246"/>
    </row>
    <row r="935" spans="2:41" ht="60" x14ac:dyDescent="0.25">
      <c r="B935" s="207"/>
      <c r="C935" s="66"/>
      <c r="D935" s="4"/>
      <c r="E935" s="4"/>
      <c r="F935" s="4"/>
      <c r="G935" s="4"/>
      <c r="H935" s="208"/>
      <c r="I935" s="4"/>
      <c r="J935" s="15"/>
      <c r="K935" s="4"/>
      <c r="L935" s="4"/>
      <c r="M935" s="4"/>
      <c r="N935" s="4"/>
      <c r="O935" s="4"/>
      <c r="P935" s="8"/>
      <c r="Q935" s="209">
        <f>Mon_ILR2[[#This Row],[Qty Required]]-Mon_ILR2[[#This Row],[QTY Transfer]]</f>
        <v>0</v>
      </c>
      <c r="R935" s="66" t="str">
        <f>IF(Mon_ILR2[[#This Row],[New Quantity Required ]]="1","Philips","")</f>
        <v/>
      </c>
      <c r="S935" s="66"/>
      <c r="T935" s="290" t="str">
        <f>_xlfn.IFNA(VLOOKUP(Mon_ILR2[[#This Row],[New Model]],PhilipsLibary[],4,FALSE),"0")</f>
        <v>0</v>
      </c>
      <c r="U935" s="290" t="str">
        <f>_xlfn.IFNA(VLOOKUP(Mon_ILR2[[#This Row],[New Model]],PhilipsLibary[],5,FALSE),"0")</f>
        <v>0</v>
      </c>
      <c r="V935" s="296" t="s">
        <v>2141</v>
      </c>
      <c r="W935" s="297"/>
      <c r="X935" s="8"/>
      <c r="Y935" s="246"/>
    </row>
    <row r="936" spans="2:41" ht="52.5" customHeight="1" x14ac:dyDescent="0.25">
      <c r="B936" s="207"/>
      <c r="C936" s="312"/>
      <c r="D936" s="313"/>
      <c r="E936" s="313"/>
      <c r="F936" s="313"/>
      <c r="G936" s="313"/>
      <c r="H936" s="314"/>
      <c r="I936" s="313"/>
      <c r="J936" s="315"/>
      <c r="K936" s="313"/>
      <c r="L936" s="313"/>
      <c r="M936" s="313"/>
      <c r="N936" s="313"/>
      <c r="O936" s="313"/>
      <c r="P936" s="316"/>
      <c r="Q936" s="317">
        <f>Mon_ILR2[[#This Row],[Qty Required]]-Mon_ILR2[[#This Row],[QTY Transfer]]</f>
        <v>0</v>
      </c>
      <c r="R936" s="318" t="str">
        <f>IF(Mon_ILR2[[#This Row],[New Quantity Required ]]="1","Philips","")</f>
        <v/>
      </c>
      <c r="S936" s="312"/>
      <c r="T936" s="319" t="str">
        <f>_xlfn.IFNA(VLOOKUP(Mon_ILR2[[#This Row],[New Model]],PhilipsLibary[],4,FALSE),"0")</f>
        <v>0</v>
      </c>
      <c r="U936" s="319" t="str">
        <f>_xlfn.IFNA(VLOOKUP(Mon_ILR2[[#This Row],[New Model]],PhilipsLibary[],5,FALSE),"0")</f>
        <v>0</v>
      </c>
      <c r="V936" s="322" t="s">
        <v>2218</v>
      </c>
      <c r="W936" s="319">
        <v>-67536</v>
      </c>
      <c r="X936" s="316"/>
      <c r="Y936" s="320"/>
      <c r="Z936" s="321"/>
      <c r="AA936" s="321"/>
      <c r="AB936" s="321"/>
      <c r="AC936" s="321"/>
      <c r="AD936" s="321"/>
      <c r="AE936" s="321"/>
      <c r="AF936" s="321"/>
      <c r="AG936" s="321"/>
      <c r="AH936" s="321"/>
      <c r="AI936" s="321"/>
      <c r="AJ936" s="321"/>
      <c r="AK936" s="321"/>
      <c r="AL936" s="321"/>
      <c r="AM936" s="321"/>
      <c r="AN936" s="321"/>
      <c r="AO936" s="321"/>
    </row>
    <row r="937" spans="2:41" ht="65.25" customHeight="1" x14ac:dyDescent="0.25">
      <c r="B937" s="207"/>
      <c r="C937" s="312"/>
      <c r="D937" s="313"/>
      <c r="E937" s="313"/>
      <c r="F937" s="313"/>
      <c r="G937" s="313"/>
      <c r="H937" s="314"/>
      <c r="I937" s="313"/>
      <c r="J937" s="315"/>
      <c r="K937" s="313"/>
      <c r="L937" s="313"/>
      <c r="M937" s="313"/>
      <c r="N937" s="313"/>
      <c r="O937" s="313"/>
      <c r="P937" s="316"/>
      <c r="Q937" s="317">
        <f>Mon_ILR2[[#This Row],[Qty Required]]-Mon_ILR2[[#This Row],[QTY Transfer]]</f>
        <v>0</v>
      </c>
      <c r="R937" s="318" t="str">
        <f>IF(Mon_ILR2[[#This Row],[New Quantity Required ]]="1","Philips","")</f>
        <v/>
      </c>
      <c r="S937" s="312"/>
      <c r="T937" s="319" t="str">
        <f>_xlfn.IFNA(VLOOKUP(Mon_ILR2[[#This Row],[New Model]],PhilipsLibary[],4,FALSE),"0")</f>
        <v>0</v>
      </c>
      <c r="U937" s="319" t="str">
        <f>_xlfn.IFNA(VLOOKUP(Mon_ILR2[[#This Row],[New Model]],PhilipsLibary[],5,FALSE),"0")</f>
        <v>0</v>
      </c>
      <c r="V937" s="322" t="s">
        <v>2219</v>
      </c>
      <c r="W937" s="319">
        <v>82065.36</v>
      </c>
      <c r="X937" s="316"/>
      <c r="Y937" s="320"/>
      <c r="Z937" s="321"/>
      <c r="AA937" s="321"/>
      <c r="AB937" s="321"/>
      <c r="AC937" s="321"/>
      <c r="AD937" s="321"/>
      <c r="AE937" s="321"/>
      <c r="AF937" s="321"/>
      <c r="AG937" s="321"/>
      <c r="AH937" s="321"/>
      <c r="AI937" s="321"/>
      <c r="AJ937" s="321"/>
      <c r="AK937" s="321"/>
      <c r="AL937" s="321"/>
      <c r="AM937" s="321"/>
      <c r="AN937" s="321"/>
      <c r="AO937" s="321"/>
    </row>
  </sheetData>
  <mergeCells count="1">
    <mergeCell ref="J3:L3"/>
  </mergeCells>
  <phoneticPr fontId="13" type="noConversion"/>
  <conditionalFormatting sqref="J891:J897">
    <cfRule type="expression" dxfId="23" priority="23">
      <formula>$R891=FALSE</formula>
    </cfRule>
  </conditionalFormatting>
  <conditionalFormatting sqref="J899:J902">
    <cfRule type="expression" dxfId="22" priority="22">
      <formula>$Q899=FALSE</formula>
    </cfRule>
  </conditionalFormatting>
  <conditionalFormatting sqref="J486:J487 J489:J507">
    <cfRule type="expression" dxfId="21" priority="21">
      <formula>$Q486=FALSE</formula>
    </cfRule>
  </conditionalFormatting>
  <conditionalFormatting sqref="J360:J372">
    <cfRule type="expression" dxfId="20" priority="20">
      <formula>$Q360=FALSE</formula>
    </cfRule>
  </conditionalFormatting>
  <conditionalFormatting sqref="J373:J377">
    <cfRule type="expression" dxfId="19" priority="19">
      <formula>$Q373=FALSE</formula>
    </cfRule>
  </conditionalFormatting>
  <conditionalFormatting sqref="J486:J487 J456:J463 J1:J31 J396:J403 J417:J451 J116:J155 J912:J916 J205:J250 J924:J1048576 J162:J163 J159:J160 J287:J381 J489:J907 J41:J106">
    <cfRule type="duplicateValues" dxfId="18" priority="18"/>
  </conditionalFormatting>
  <conditionalFormatting sqref="J464:J485">
    <cfRule type="expression" dxfId="17" priority="17">
      <formula>$Q464=FALSE</formula>
    </cfRule>
  </conditionalFormatting>
  <conditionalFormatting sqref="J404:J416">
    <cfRule type="expression" dxfId="16" priority="16">
      <formula>$Q404=FALSE</formula>
    </cfRule>
  </conditionalFormatting>
  <conditionalFormatting sqref="J382:J395">
    <cfRule type="expression" dxfId="15" priority="15">
      <formula>$Q382=FALSE</formula>
    </cfRule>
  </conditionalFormatting>
  <conditionalFormatting sqref="J488">
    <cfRule type="expression" dxfId="14" priority="14">
      <formula>$Q488=FALSE</formula>
    </cfRule>
  </conditionalFormatting>
  <conditionalFormatting sqref="J452:J455">
    <cfRule type="expression" dxfId="13" priority="13">
      <formula>$Q452=FALSE</formula>
    </cfRule>
  </conditionalFormatting>
  <conditionalFormatting sqref="J32:J40">
    <cfRule type="expression" dxfId="12" priority="12">
      <formula>$Q32=FALSE</formula>
    </cfRule>
  </conditionalFormatting>
  <conditionalFormatting sqref="J107:J115">
    <cfRule type="expression" dxfId="11" priority="11">
      <formula>$Q107=FALSE</formula>
    </cfRule>
  </conditionalFormatting>
  <conditionalFormatting sqref="J908:J911">
    <cfRule type="expression" dxfId="10" priority="10">
      <formula>$Q908=FALSE</formula>
    </cfRule>
  </conditionalFormatting>
  <conditionalFormatting sqref="J164:J191">
    <cfRule type="expression" dxfId="9" priority="9">
      <formula>$Q164=FALSE</formula>
    </cfRule>
  </conditionalFormatting>
  <conditionalFormatting sqref="J252:J274">
    <cfRule type="expression" dxfId="8" priority="8">
      <formula>$Q252=FALSE</formula>
    </cfRule>
  </conditionalFormatting>
  <conditionalFormatting sqref="J917:J921">
    <cfRule type="expression" dxfId="7" priority="7">
      <formula>$Q917=FALSE</formula>
    </cfRule>
  </conditionalFormatting>
  <conditionalFormatting sqref="J922:J923">
    <cfRule type="expression" dxfId="6" priority="6">
      <formula>$Q922=FALSE</formula>
    </cfRule>
  </conditionalFormatting>
  <conditionalFormatting sqref="J192:J204">
    <cfRule type="expression" dxfId="5" priority="5">
      <formula>$Q192=FALSE</formula>
    </cfRule>
  </conditionalFormatting>
  <conditionalFormatting sqref="J161">
    <cfRule type="expression" dxfId="4" priority="4">
      <formula>$Q161=FALSE</formula>
    </cfRule>
  </conditionalFormatting>
  <conditionalFormatting sqref="J251">
    <cfRule type="expression" dxfId="3" priority="3">
      <formula>$Q251=FALSE</formula>
    </cfRule>
  </conditionalFormatting>
  <conditionalFormatting sqref="J275:J286">
    <cfRule type="expression" dxfId="2" priority="2">
      <formula>$Q275=FALSE</formula>
    </cfRule>
  </conditionalFormatting>
  <conditionalFormatting sqref="J156:J158">
    <cfRule type="expression" dxfId="1" priority="1">
      <formula>$Q156=FALSE</formula>
    </cfRule>
  </conditionalFormatting>
  <dataValidations count="1">
    <dataValidation type="list" allowBlank="1" showInputMessage="1" showErrorMessage="1" sqref="D325:D328" xr:uid="{95581211-4EF0-4ED9-AC1B-505F71298FE5}">
      <formula1>monlist</formula1>
    </dataValidation>
  </dataValidations>
  <pageMargins left="0.7" right="0.7" top="0.75" bottom="0.75" header="0.3" footer="0.3"/>
  <pageSetup paperSize="9" orientation="portrait" r:id="rId1"/>
  <ignoredErrors>
    <ignoredError sqref="V935:V937"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Button1_Click">
                <anchor moveWithCells="1" sizeWithCells="1">
                  <from>
                    <xdr:col>23</xdr:col>
                    <xdr:colOff>2609850</xdr:colOff>
                    <xdr:row>0</xdr:row>
                    <xdr:rowOff>76200</xdr:rowOff>
                  </from>
                  <to>
                    <xdr:col>25</xdr:col>
                    <xdr:colOff>0</xdr:colOff>
                    <xdr:row>1</xdr:row>
                    <xdr:rowOff>209550</xdr:rowOff>
                  </to>
                </anchor>
              </controlPr>
            </control>
          </mc:Choice>
        </mc:AlternateContent>
        <mc:AlternateContent xmlns:mc="http://schemas.openxmlformats.org/markup-compatibility/2006">
          <mc:Choice Requires="x14">
            <control shapeId="3119" r:id="rId5" name="Button 47">
              <controlPr defaultSize="0" print="0" autoFill="0" autoPict="0" macro="[0]!Button14_Click">
                <anchor moveWithCells="1" sizeWithCells="1">
                  <from>
                    <xdr:col>8</xdr:col>
                    <xdr:colOff>1685925</xdr:colOff>
                    <xdr:row>1</xdr:row>
                    <xdr:rowOff>228600</xdr:rowOff>
                  </from>
                  <to>
                    <xdr:col>8</xdr:col>
                    <xdr:colOff>3648075</xdr:colOff>
                    <xdr:row>2</xdr:row>
                    <xdr:rowOff>314325</xdr:rowOff>
                  </to>
                </anchor>
              </controlPr>
            </control>
          </mc:Choice>
        </mc:AlternateContent>
      </controls>
    </mc:Choice>
  </mc:AlternateContent>
  <tableParts count="1">
    <tablePart r:id="rId6"/>
  </tableParts>
  <extLst>
    <ext xmlns:x14="http://schemas.microsoft.com/office/spreadsheetml/2009/9/main" uri="{CCE6A557-97BC-4b89-ADB6-D9C93CAAB3DF}">
      <x14:dataValidations xmlns:xm="http://schemas.microsoft.com/office/excel/2006/main" count="4">
        <x14:dataValidation type="list" allowBlank="1" showInputMessage="1" showErrorMessage="1" xr:uid="{53A326AD-3C5F-436D-8093-88C5F6A890F5}">
          <x14:formula1>
            <xm:f>LookUps!$A$3:$A$16</xm:f>
          </x14:formula1>
          <xm:sqref>G5:G937</xm:sqref>
        </x14:dataValidation>
        <x14:dataValidation type="list" allowBlank="1" showInputMessage="1" showErrorMessage="1" xr:uid="{CEB0CF70-503A-4F38-B71E-6AF2DF200035}">
          <x14:formula1>
            <xm:f>LookUps!$C$3:$C$8</xm:f>
          </x14:formula1>
          <xm:sqref>E5:E937</xm:sqref>
        </x14:dataValidation>
        <x14:dataValidation type="list" allowBlank="1" showInputMessage="1" showErrorMessage="1" xr:uid="{CA183E6E-0138-424E-9CC3-1EB6A62F311D}">
          <x14:formula1>
            <xm:f>'Philips Library'!$B$5:$B$40</xm:f>
          </x14:formula1>
          <xm:sqref>S677:S890 S923 S5:S23 S904 S663:S673 S914 S25:S661</xm:sqref>
        </x14:dataValidation>
        <x14:dataValidation type="list" allowBlank="1" showInputMessage="1" showErrorMessage="1" xr:uid="{A8729073-C98C-493A-B824-83850741EF52}">
          <x14:formula1>
            <xm:f>'Philips Library'!$B$5:$B$237</xm:f>
          </x14:formula1>
          <xm:sqref>S24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C77C50-24B3-4DA2-A3E4-B9F3194D1BA3}">
  <sheetPr codeName="Sheet11"/>
  <dimension ref="B2:I240"/>
  <sheetViews>
    <sheetView showGridLines="0" topLeftCell="A2" zoomScale="85" zoomScaleNormal="85" workbookViewId="0">
      <pane ySplit="4" topLeftCell="A203" activePane="bottomLeft" state="frozen"/>
      <selection activeCell="A2" sqref="A2"/>
      <selection pane="bottomLeft" activeCell="F225" sqref="F225:F240"/>
    </sheetView>
  </sheetViews>
  <sheetFormatPr defaultRowHeight="15" x14ac:dyDescent="0.2"/>
  <cols>
    <col min="1" max="1" width="5.28515625" style="68" customWidth="1"/>
    <col min="2" max="2" width="51.140625" style="68" bestFit="1" customWidth="1"/>
    <col min="3" max="3" width="53.140625" style="68" bestFit="1" customWidth="1"/>
    <col min="4" max="4" width="26.28515625" style="69" bestFit="1" customWidth="1"/>
    <col min="5" max="5" width="44.42578125" style="70" bestFit="1" customWidth="1"/>
    <col min="6" max="6" width="87.28515625" style="68" bestFit="1" customWidth="1"/>
    <col min="7" max="7" width="52" style="174" customWidth="1"/>
    <col min="8" max="8" width="56" style="68" customWidth="1"/>
    <col min="9" max="9" width="29.28515625" style="68" customWidth="1"/>
    <col min="10" max="16384" width="9.140625" style="68"/>
  </cols>
  <sheetData>
    <row r="2" spans="2:7" ht="10.5" customHeight="1" x14ac:dyDescent="0.2"/>
    <row r="3" spans="2:7" ht="29.25" customHeight="1" x14ac:dyDescent="0.2">
      <c r="B3" s="309" t="s">
        <v>1268</v>
      </c>
      <c r="C3" s="309"/>
      <c r="D3" s="309"/>
      <c r="E3" s="309"/>
      <c r="F3" s="309"/>
    </row>
    <row r="4" spans="2:7" ht="3.75" customHeight="1" x14ac:dyDescent="0.25">
      <c r="B4" s="71"/>
      <c r="C4" s="71"/>
      <c r="D4" s="72"/>
      <c r="E4" s="73"/>
      <c r="F4" s="5"/>
    </row>
    <row r="5" spans="2:7" ht="35.25" customHeight="1" x14ac:dyDescent="0.2">
      <c r="B5" s="74" t="s">
        <v>1269</v>
      </c>
      <c r="C5" s="74" t="s">
        <v>1270</v>
      </c>
      <c r="D5" s="75" t="s">
        <v>1271</v>
      </c>
      <c r="E5" s="75" t="s">
        <v>1272</v>
      </c>
      <c r="F5" s="74" t="s">
        <v>1273</v>
      </c>
    </row>
    <row r="6" spans="2:7" x14ac:dyDescent="0.25">
      <c r="B6" s="76" t="s">
        <v>161</v>
      </c>
      <c r="C6" s="77" t="s">
        <v>1274</v>
      </c>
      <c r="D6" s="78" t="s">
        <v>646</v>
      </c>
      <c r="E6" s="78" t="s">
        <v>648</v>
      </c>
      <c r="F6" s="79" t="s">
        <v>645</v>
      </c>
      <c r="G6" s="179" t="s">
        <v>1275</v>
      </c>
    </row>
    <row r="7" spans="2:7" x14ac:dyDescent="0.25">
      <c r="B7" s="80"/>
      <c r="C7" s="81"/>
      <c r="D7" s="82"/>
      <c r="E7" s="83" t="s">
        <v>1276</v>
      </c>
      <c r="F7" s="84"/>
    </row>
    <row r="8" spans="2:7" x14ac:dyDescent="0.25">
      <c r="B8" s="80"/>
      <c r="C8" s="81"/>
      <c r="D8" s="82"/>
      <c r="E8" s="78" t="s">
        <v>646</v>
      </c>
      <c r="F8" s="79" t="s">
        <v>645</v>
      </c>
      <c r="G8" s="179" t="s">
        <v>1277</v>
      </c>
    </row>
    <row r="9" spans="2:7" x14ac:dyDescent="0.25">
      <c r="B9" s="80"/>
      <c r="C9" s="81"/>
      <c r="D9" s="82"/>
      <c r="E9" s="78" t="s">
        <v>641</v>
      </c>
      <c r="F9" s="79" t="s">
        <v>640</v>
      </c>
      <c r="G9" s="179" t="s">
        <v>1278</v>
      </c>
    </row>
    <row r="10" spans="2:7" x14ac:dyDescent="0.25">
      <c r="B10" s="80"/>
      <c r="C10" s="81"/>
      <c r="D10" s="82"/>
      <c r="E10" s="78" t="s">
        <v>644</v>
      </c>
      <c r="F10" s="79" t="s">
        <v>640</v>
      </c>
      <c r="G10" s="179" t="s">
        <v>1279</v>
      </c>
    </row>
    <row r="11" spans="2:7" x14ac:dyDescent="0.25">
      <c r="B11" s="80"/>
      <c r="C11" s="81"/>
      <c r="D11" s="82"/>
      <c r="E11" s="83" t="s">
        <v>1280</v>
      </c>
      <c r="F11" s="84"/>
    </row>
    <row r="12" spans="2:7" x14ac:dyDescent="0.25">
      <c r="B12" s="80"/>
      <c r="C12" s="81"/>
      <c r="D12" s="82"/>
      <c r="E12" s="85" t="s">
        <v>226</v>
      </c>
      <c r="F12" s="86" t="s">
        <v>225</v>
      </c>
    </row>
    <row r="13" spans="2:7" x14ac:dyDescent="0.25">
      <c r="B13" s="80"/>
      <c r="C13" s="81"/>
      <c r="D13" s="82"/>
      <c r="E13" s="85" t="s">
        <v>182</v>
      </c>
      <c r="F13" s="86" t="s">
        <v>162</v>
      </c>
    </row>
    <row r="14" spans="2:7" x14ac:dyDescent="0.25">
      <c r="B14" s="80"/>
      <c r="C14" s="81"/>
      <c r="D14" s="82"/>
      <c r="E14" s="85" t="s">
        <v>186</v>
      </c>
      <c r="F14" s="86" t="s">
        <v>185</v>
      </c>
    </row>
    <row r="15" spans="2:7" x14ac:dyDescent="0.25">
      <c r="B15" s="80"/>
      <c r="C15" s="81"/>
      <c r="D15" s="82"/>
      <c r="E15" s="85" t="s">
        <v>192</v>
      </c>
      <c r="F15" s="86" t="s">
        <v>191</v>
      </c>
    </row>
    <row r="16" spans="2:7" x14ac:dyDescent="0.25">
      <c r="B16" s="80"/>
      <c r="C16" s="81"/>
      <c r="D16" s="82"/>
      <c r="E16" s="85" t="s">
        <v>199</v>
      </c>
      <c r="F16" s="86" t="s">
        <v>198</v>
      </c>
    </row>
    <row r="17" spans="2:6" x14ac:dyDescent="0.25">
      <c r="B17" s="80"/>
      <c r="C17" s="81"/>
      <c r="D17" s="82"/>
      <c r="E17" s="85" t="s">
        <v>200</v>
      </c>
      <c r="F17" s="86" t="s">
        <v>198</v>
      </c>
    </row>
    <row r="18" spans="2:6" x14ac:dyDescent="0.25">
      <c r="B18" s="80"/>
      <c r="C18" s="81"/>
      <c r="D18" s="82"/>
      <c r="E18" s="85" t="s">
        <v>201</v>
      </c>
      <c r="F18" s="86" t="s">
        <v>191</v>
      </c>
    </row>
    <row r="19" spans="2:6" x14ac:dyDescent="0.25">
      <c r="B19" s="80"/>
      <c r="C19" s="81"/>
      <c r="D19" s="82"/>
      <c r="E19" s="85" t="s">
        <v>207</v>
      </c>
      <c r="F19" s="86" t="s">
        <v>191</v>
      </c>
    </row>
    <row r="20" spans="2:6" x14ac:dyDescent="0.25">
      <c r="B20" s="80"/>
      <c r="C20" s="81"/>
      <c r="D20" s="82"/>
      <c r="E20" s="85" t="s">
        <v>212</v>
      </c>
      <c r="F20" s="86" t="s">
        <v>198</v>
      </c>
    </row>
    <row r="21" spans="2:6" x14ac:dyDescent="0.25">
      <c r="B21" s="80"/>
      <c r="C21" s="81"/>
      <c r="D21" s="82"/>
      <c r="E21" s="85" t="s">
        <v>213</v>
      </c>
      <c r="F21" s="86" t="s">
        <v>198</v>
      </c>
    </row>
    <row r="22" spans="2:6" x14ac:dyDescent="0.25">
      <c r="B22" s="80"/>
      <c r="C22" s="81"/>
      <c r="D22" s="82"/>
      <c r="E22" s="85" t="s">
        <v>214</v>
      </c>
      <c r="F22" s="86" t="s">
        <v>191</v>
      </c>
    </row>
    <row r="23" spans="2:6" x14ac:dyDescent="0.25">
      <c r="B23" s="80"/>
      <c r="C23" s="81"/>
      <c r="D23" s="82"/>
      <c r="E23" s="85" t="s">
        <v>220</v>
      </c>
      <c r="F23" s="86" t="s">
        <v>162</v>
      </c>
    </row>
    <row r="24" spans="2:6" x14ac:dyDescent="0.25">
      <c r="B24" s="80"/>
      <c r="C24" s="81"/>
      <c r="D24" s="82"/>
      <c r="E24" s="85" t="s">
        <v>163</v>
      </c>
      <c r="F24" s="86" t="s">
        <v>162</v>
      </c>
    </row>
    <row r="25" spans="2:6" x14ac:dyDescent="0.25">
      <c r="B25" s="80"/>
      <c r="C25" s="81"/>
      <c r="D25" s="82"/>
      <c r="E25" s="85" t="s">
        <v>229</v>
      </c>
      <c r="F25" s="86" t="s">
        <v>191</v>
      </c>
    </row>
    <row r="26" spans="2:6" x14ac:dyDescent="0.25">
      <c r="B26" s="80"/>
      <c r="C26" s="81"/>
      <c r="D26" s="82"/>
      <c r="E26" s="85" t="s">
        <v>233</v>
      </c>
      <c r="F26" s="86" t="s">
        <v>191</v>
      </c>
    </row>
    <row r="27" spans="2:6" x14ac:dyDescent="0.25">
      <c r="B27" s="80"/>
      <c r="C27" s="81"/>
      <c r="D27" s="82"/>
      <c r="E27" s="85" t="s">
        <v>239</v>
      </c>
      <c r="F27" s="86" t="s">
        <v>238</v>
      </c>
    </row>
    <row r="28" spans="2:6" x14ac:dyDescent="0.25">
      <c r="B28" s="80"/>
      <c r="C28" s="81"/>
      <c r="D28" s="82"/>
      <c r="E28" s="85" t="s">
        <v>242</v>
      </c>
      <c r="F28" s="86" t="s">
        <v>238</v>
      </c>
    </row>
    <row r="29" spans="2:6" x14ac:dyDescent="0.25">
      <c r="B29" s="80"/>
      <c r="C29" s="81"/>
      <c r="D29" s="82"/>
      <c r="E29" s="85" t="s">
        <v>245</v>
      </c>
      <c r="F29" s="86" t="s">
        <v>238</v>
      </c>
    </row>
    <row r="30" spans="2:6" x14ac:dyDescent="0.25">
      <c r="B30" s="80"/>
      <c r="C30" s="81"/>
      <c r="D30" s="82"/>
      <c r="E30" s="85" t="s">
        <v>248</v>
      </c>
      <c r="F30" s="86" t="s">
        <v>238</v>
      </c>
    </row>
    <row r="31" spans="2:6" x14ac:dyDescent="0.25">
      <c r="B31" s="80"/>
      <c r="C31" s="81"/>
      <c r="D31" s="82"/>
      <c r="E31" s="85" t="s">
        <v>252</v>
      </c>
      <c r="F31" s="86" t="s">
        <v>251</v>
      </c>
    </row>
    <row r="32" spans="2:6" x14ac:dyDescent="0.25">
      <c r="B32" s="80"/>
      <c r="C32" s="81"/>
      <c r="D32" s="82"/>
      <c r="E32" s="85" t="s">
        <v>255</v>
      </c>
      <c r="F32" s="86" t="s">
        <v>251</v>
      </c>
    </row>
    <row r="33" spans="2:7" x14ac:dyDescent="0.25">
      <c r="B33" s="80"/>
      <c r="C33" s="81"/>
      <c r="D33" s="82"/>
      <c r="E33" s="85" t="s">
        <v>258</v>
      </c>
      <c r="F33" s="86" t="s">
        <v>251</v>
      </c>
    </row>
    <row r="34" spans="2:7" x14ac:dyDescent="0.25">
      <c r="B34" s="80"/>
      <c r="C34" s="81"/>
      <c r="D34" s="82"/>
      <c r="E34" s="85" t="s">
        <v>261</v>
      </c>
      <c r="F34" s="86" t="s">
        <v>251</v>
      </c>
    </row>
    <row r="35" spans="2:7" x14ac:dyDescent="0.25">
      <c r="B35" s="80"/>
      <c r="C35" s="81"/>
      <c r="D35" s="82"/>
      <c r="E35" s="85" t="s">
        <v>264</v>
      </c>
      <c r="F35" s="86" t="s">
        <v>191</v>
      </c>
    </row>
    <row r="36" spans="2:7" x14ac:dyDescent="0.25">
      <c r="B36" s="87"/>
      <c r="C36" s="88"/>
      <c r="D36" s="89"/>
      <c r="E36" s="85" t="s">
        <v>270</v>
      </c>
      <c r="F36" s="86" t="s">
        <v>191</v>
      </c>
    </row>
    <row r="37" spans="2:7" x14ac:dyDescent="0.25">
      <c r="B37" s="5"/>
      <c r="C37" s="5"/>
      <c r="D37" s="8"/>
      <c r="E37" s="73"/>
      <c r="F37" s="5"/>
    </row>
    <row r="38" spans="2:7" x14ac:dyDescent="0.25">
      <c r="B38" s="90" t="s">
        <v>275</v>
      </c>
      <c r="C38" s="91" t="s">
        <v>1281</v>
      </c>
      <c r="D38" s="92" t="s">
        <v>653</v>
      </c>
      <c r="E38" s="93" t="s">
        <v>653</v>
      </c>
      <c r="F38" s="94" t="s">
        <v>645</v>
      </c>
      <c r="G38" s="175" t="s">
        <v>1275</v>
      </c>
    </row>
    <row r="39" spans="2:7" x14ac:dyDescent="0.25">
      <c r="B39" s="76"/>
      <c r="C39" s="81"/>
      <c r="D39" s="82"/>
      <c r="E39" s="83" t="s">
        <v>1280</v>
      </c>
      <c r="F39" s="84"/>
    </row>
    <row r="40" spans="2:7" x14ac:dyDescent="0.25">
      <c r="B40" s="76"/>
      <c r="C40" s="81"/>
      <c r="D40" s="82"/>
      <c r="E40" s="95" t="s">
        <v>282</v>
      </c>
      <c r="F40" s="96" t="s">
        <v>276</v>
      </c>
    </row>
    <row r="41" spans="2:7" x14ac:dyDescent="0.25">
      <c r="B41" s="76"/>
      <c r="C41" s="81"/>
      <c r="D41" s="82"/>
      <c r="E41" s="95" t="s">
        <v>285</v>
      </c>
      <c r="F41" s="96" t="s">
        <v>276</v>
      </c>
    </row>
    <row r="42" spans="2:7" x14ac:dyDescent="0.25">
      <c r="B42" s="76"/>
      <c r="C42" s="81"/>
      <c r="D42" s="82"/>
      <c r="E42" s="95" t="s">
        <v>277</v>
      </c>
      <c r="F42" s="96" t="s">
        <v>276</v>
      </c>
    </row>
    <row r="43" spans="2:7" x14ac:dyDescent="0.25">
      <c r="B43" s="76"/>
      <c r="C43" s="81"/>
      <c r="D43" s="82"/>
      <c r="E43" s="95" t="s">
        <v>289</v>
      </c>
      <c r="F43" s="96" t="s">
        <v>288</v>
      </c>
    </row>
    <row r="44" spans="2:7" x14ac:dyDescent="0.25">
      <c r="B44" s="76"/>
      <c r="C44" s="88"/>
      <c r="D44" s="89"/>
      <c r="E44" s="95" t="s">
        <v>292</v>
      </c>
      <c r="F44" s="96" t="s">
        <v>276</v>
      </c>
    </row>
    <row r="45" spans="2:7" x14ac:dyDescent="0.25">
      <c r="B45" s="76"/>
      <c r="C45" s="97"/>
      <c r="D45" s="98"/>
      <c r="E45" s="99"/>
      <c r="F45" s="100"/>
    </row>
    <row r="46" spans="2:7" x14ac:dyDescent="0.25">
      <c r="B46" s="76"/>
      <c r="C46" s="101" t="s">
        <v>1282</v>
      </c>
      <c r="D46" s="102" t="s">
        <v>659</v>
      </c>
      <c r="E46" s="103" t="s">
        <v>659</v>
      </c>
      <c r="F46" s="104" t="s">
        <v>645</v>
      </c>
      <c r="G46" s="176" t="s">
        <v>1275</v>
      </c>
    </row>
    <row r="47" spans="2:7" x14ac:dyDescent="0.25">
      <c r="B47" s="76"/>
      <c r="C47" s="81"/>
      <c r="D47" s="82"/>
      <c r="E47" s="83" t="s">
        <v>1280</v>
      </c>
      <c r="F47" s="84"/>
    </row>
    <row r="48" spans="2:7" x14ac:dyDescent="0.25">
      <c r="B48" s="76"/>
      <c r="C48" s="81"/>
      <c r="D48" s="82"/>
      <c r="E48" s="105" t="s">
        <v>663</v>
      </c>
      <c r="F48" s="106" t="s">
        <v>661</v>
      </c>
    </row>
    <row r="49" spans="2:7" x14ac:dyDescent="0.25">
      <c r="B49" s="76"/>
      <c r="C49" s="81"/>
      <c r="D49" s="82"/>
      <c r="E49" s="105" t="s">
        <v>664</v>
      </c>
      <c r="F49" s="106" t="s">
        <v>661</v>
      </c>
    </row>
    <row r="50" spans="2:7" x14ac:dyDescent="0.25">
      <c r="B50" s="76"/>
      <c r="C50" s="81"/>
      <c r="D50" s="82"/>
      <c r="E50" s="105" t="s">
        <v>665</v>
      </c>
      <c r="F50" s="106" t="s">
        <v>661</v>
      </c>
    </row>
    <row r="51" spans="2:7" x14ac:dyDescent="0.25">
      <c r="B51" s="76"/>
      <c r="C51" s="81"/>
      <c r="D51" s="82"/>
      <c r="E51" s="105" t="s">
        <v>666</v>
      </c>
      <c r="F51" s="106" t="s">
        <v>661</v>
      </c>
    </row>
    <row r="52" spans="2:7" x14ac:dyDescent="0.25">
      <c r="B52" s="76"/>
      <c r="C52" s="81"/>
      <c r="D52" s="82"/>
      <c r="E52" s="105" t="s">
        <v>667</v>
      </c>
      <c r="F52" s="106" t="s">
        <v>661</v>
      </c>
    </row>
    <row r="53" spans="2:7" x14ac:dyDescent="0.25">
      <c r="B53" s="76"/>
      <c r="C53" s="88"/>
      <c r="D53" s="89"/>
      <c r="E53" s="105" t="s">
        <v>662</v>
      </c>
      <c r="F53" s="106" t="s">
        <v>661</v>
      </c>
    </row>
    <row r="54" spans="2:7" x14ac:dyDescent="0.25">
      <c r="B54" s="76"/>
      <c r="C54" s="97"/>
      <c r="D54" s="98"/>
      <c r="E54" s="97"/>
      <c r="F54" s="97"/>
    </row>
    <row r="55" spans="2:7" x14ac:dyDescent="0.25">
      <c r="B55" s="76"/>
      <c r="C55" s="107" t="s">
        <v>1283</v>
      </c>
      <c r="D55" s="108" t="s">
        <v>660</v>
      </c>
      <c r="E55" s="109" t="s">
        <v>660</v>
      </c>
      <c r="F55" s="110" t="s">
        <v>645</v>
      </c>
      <c r="G55" s="177" t="s">
        <v>1275</v>
      </c>
    </row>
    <row r="56" spans="2:7" x14ac:dyDescent="0.25">
      <c r="B56" s="76"/>
      <c r="C56" s="81"/>
      <c r="D56" s="82"/>
      <c r="E56" s="83" t="s">
        <v>1280</v>
      </c>
      <c r="F56" s="84"/>
    </row>
    <row r="57" spans="2:7" x14ac:dyDescent="0.25">
      <c r="B57" s="76"/>
      <c r="C57" s="81"/>
      <c r="D57" s="82"/>
      <c r="E57" s="111" t="s">
        <v>695</v>
      </c>
      <c r="F57" s="112" t="s">
        <v>693</v>
      </c>
    </row>
    <row r="58" spans="2:7" x14ac:dyDescent="0.25">
      <c r="B58" s="76"/>
      <c r="C58" s="81"/>
      <c r="D58" s="82"/>
      <c r="E58" s="111" t="s">
        <v>696</v>
      </c>
      <c r="F58" s="112" t="s">
        <v>693</v>
      </c>
    </row>
    <row r="59" spans="2:7" x14ac:dyDescent="0.25">
      <c r="B59" s="76"/>
      <c r="C59" s="81"/>
      <c r="D59" s="82"/>
      <c r="E59" s="111" t="s">
        <v>697</v>
      </c>
      <c r="F59" s="112" t="s">
        <v>693</v>
      </c>
    </row>
    <row r="60" spans="2:7" x14ac:dyDescent="0.25">
      <c r="B60" s="76"/>
      <c r="C60" s="81"/>
      <c r="D60" s="82"/>
      <c r="E60" s="111" t="s">
        <v>698</v>
      </c>
      <c r="F60" s="112" t="s">
        <v>693</v>
      </c>
    </row>
    <row r="61" spans="2:7" x14ac:dyDescent="0.25">
      <c r="B61" s="76"/>
      <c r="C61" s="81"/>
      <c r="D61" s="82"/>
      <c r="E61" s="111" t="s">
        <v>699</v>
      </c>
      <c r="F61" s="112" t="s">
        <v>693</v>
      </c>
    </row>
    <row r="62" spans="2:7" x14ac:dyDescent="0.25">
      <c r="B62" s="76"/>
      <c r="C62" s="81"/>
      <c r="D62" s="82"/>
      <c r="E62" s="111" t="s">
        <v>694</v>
      </c>
      <c r="F62" s="112" t="s">
        <v>693</v>
      </c>
    </row>
    <row r="63" spans="2:7" x14ac:dyDescent="0.25">
      <c r="B63" s="76"/>
      <c r="C63" s="81"/>
      <c r="D63" s="82"/>
      <c r="E63" s="111" t="s">
        <v>701</v>
      </c>
      <c r="F63" s="112" t="s">
        <v>700</v>
      </c>
    </row>
    <row r="64" spans="2:7" x14ac:dyDescent="0.25">
      <c r="B64" s="76"/>
      <c r="C64" s="81"/>
      <c r="D64" s="82"/>
      <c r="E64" s="111" t="s">
        <v>702</v>
      </c>
      <c r="F64" s="112" t="s">
        <v>693</v>
      </c>
    </row>
    <row r="65" spans="2:9" x14ac:dyDescent="0.25">
      <c r="B65" s="76"/>
      <c r="C65" s="81"/>
      <c r="D65" s="82"/>
      <c r="E65" s="111" t="s">
        <v>703</v>
      </c>
      <c r="F65" s="112" t="s">
        <v>693</v>
      </c>
    </row>
    <row r="66" spans="2:9" x14ac:dyDescent="0.25">
      <c r="B66" s="76"/>
      <c r="C66" s="81"/>
      <c r="D66" s="82"/>
      <c r="E66" s="111" t="s">
        <v>704</v>
      </c>
      <c r="F66" s="112" t="s">
        <v>693</v>
      </c>
    </row>
    <row r="67" spans="2:9" x14ac:dyDescent="0.25">
      <c r="B67" s="76"/>
      <c r="C67" s="81"/>
      <c r="D67" s="82"/>
      <c r="E67" s="111" t="s">
        <v>706</v>
      </c>
      <c r="F67" s="112" t="s">
        <v>705</v>
      </c>
    </row>
    <row r="68" spans="2:9" x14ac:dyDescent="0.25">
      <c r="B68" s="76"/>
      <c r="C68" s="81"/>
      <c r="D68" s="82"/>
      <c r="E68" s="111" t="s">
        <v>707</v>
      </c>
      <c r="F68" s="112" t="s">
        <v>693</v>
      </c>
    </row>
    <row r="69" spans="2:9" x14ac:dyDescent="0.25">
      <c r="B69" s="76"/>
      <c r="C69" s="81"/>
      <c r="D69" s="82"/>
      <c r="E69" s="111" t="s">
        <v>709</v>
      </c>
      <c r="F69" s="112" t="s">
        <v>708</v>
      </c>
    </row>
    <row r="70" spans="2:9" x14ac:dyDescent="0.25">
      <c r="B70" s="76"/>
      <c r="C70" s="81"/>
      <c r="D70" s="82"/>
      <c r="E70" s="111" t="s">
        <v>710</v>
      </c>
      <c r="F70" s="112" t="s">
        <v>693</v>
      </c>
    </row>
    <row r="71" spans="2:9" x14ac:dyDescent="0.25">
      <c r="B71" s="76"/>
      <c r="C71" s="81"/>
      <c r="D71" s="82"/>
      <c r="E71" s="111" t="s">
        <v>711</v>
      </c>
      <c r="F71" s="112" t="s">
        <v>693</v>
      </c>
      <c r="H71"/>
      <c r="I71"/>
    </row>
    <row r="72" spans="2:9" x14ac:dyDescent="0.25">
      <c r="B72" s="76"/>
      <c r="C72" s="81"/>
      <c r="D72" s="82"/>
      <c r="E72" s="111" t="s">
        <v>712</v>
      </c>
      <c r="F72" s="112" t="s">
        <v>705</v>
      </c>
      <c r="H72"/>
      <c r="I72"/>
    </row>
    <row r="73" spans="2:9" x14ac:dyDescent="0.25">
      <c r="B73" s="76"/>
      <c r="C73" s="81"/>
      <c r="D73" s="82"/>
      <c r="E73" s="111" t="s">
        <v>713</v>
      </c>
      <c r="F73" s="112" t="s">
        <v>708</v>
      </c>
      <c r="H73"/>
      <c r="I73"/>
    </row>
    <row r="74" spans="2:9" x14ac:dyDescent="0.25">
      <c r="B74" s="76"/>
      <c r="C74" s="81"/>
      <c r="D74" s="82"/>
      <c r="E74" s="111" t="s">
        <v>714</v>
      </c>
      <c r="F74" s="112" t="s">
        <v>693</v>
      </c>
    </row>
    <row r="75" spans="2:9" x14ac:dyDescent="0.25">
      <c r="B75" s="76"/>
      <c r="C75" s="81"/>
      <c r="D75" s="82"/>
      <c r="E75" s="111" t="s">
        <v>715</v>
      </c>
      <c r="F75" s="112" t="s">
        <v>693</v>
      </c>
    </row>
    <row r="76" spans="2:9" x14ac:dyDescent="0.25">
      <c r="B76" s="76"/>
      <c r="C76" s="81"/>
      <c r="D76" s="82"/>
      <c r="E76" s="111" t="s">
        <v>716</v>
      </c>
      <c r="F76" s="112" t="s">
        <v>693</v>
      </c>
    </row>
    <row r="77" spans="2:9" x14ac:dyDescent="0.25">
      <c r="B77" s="76"/>
      <c r="C77" s="81"/>
      <c r="D77" s="82"/>
      <c r="E77" s="111" t="s">
        <v>717</v>
      </c>
      <c r="F77" s="112" t="s">
        <v>693</v>
      </c>
    </row>
    <row r="78" spans="2:9" x14ac:dyDescent="0.25">
      <c r="B78" s="76"/>
      <c r="C78" s="81"/>
      <c r="D78" s="82"/>
      <c r="E78" s="111" t="s">
        <v>718</v>
      </c>
      <c r="F78" s="112" t="s">
        <v>693</v>
      </c>
    </row>
    <row r="79" spans="2:9" x14ac:dyDescent="0.25">
      <c r="B79" s="76"/>
      <c r="C79" s="81"/>
      <c r="D79" s="82"/>
      <c r="E79" s="111" t="s">
        <v>719</v>
      </c>
      <c r="F79" s="112" t="s">
        <v>693</v>
      </c>
    </row>
    <row r="80" spans="2:9" x14ac:dyDescent="0.25">
      <c r="B80" s="76"/>
      <c r="C80" s="81"/>
      <c r="D80" s="82"/>
      <c r="E80" s="111" t="s">
        <v>720</v>
      </c>
      <c r="F80" s="112" t="s">
        <v>693</v>
      </c>
    </row>
    <row r="81" spans="2:7" x14ac:dyDescent="0.25">
      <c r="B81" s="76"/>
      <c r="C81" s="310" t="s">
        <v>1284</v>
      </c>
      <c r="D81" s="311"/>
      <c r="E81" s="111" t="s">
        <v>673</v>
      </c>
      <c r="F81" s="112" t="s">
        <v>672</v>
      </c>
    </row>
    <row r="82" spans="2:7" x14ac:dyDescent="0.25">
      <c r="B82" s="76"/>
      <c r="C82" s="81"/>
      <c r="D82" s="182"/>
      <c r="E82" s="111" t="s">
        <v>674</v>
      </c>
      <c r="F82" s="112" t="s">
        <v>672</v>
      </c>
    </row>
    <row r="83" spans="2:7" x14ac:dyDescent="0.25">
      <c r="B83" s="76"/>
      <c r="C83" s="81"/>
      <c r="D83" s="82"/>
      <c r="E83" s="111" t="s">
        <v>675</v>
      </c>
      <c r="F83" s="112" t="s">
        <v>672</v>
      </c>
    </row>
    <row r="84" spans="2:7" x14ac:dyDescent="0.25">
      <c r="B84" s="76"/>
      <c r="C84" s="81"/>
      <c r="D84" s="82"/>
      <c r="E84" s="111" t="s">
        <v>679</v>
      </c>
      <c r="F84" s="112" t="s">
        <v>672</v>
      </c>
    </row>
    <row r="85" spans="2:7" x14ac:dyDescent="0.25">
      <c r="B85" s="76"/>
      <c r="C85" s="81"/>
      <c r="D85" s="82"/>
      <c r="E85" s="111" t="s">
        <v>680</v>
      </c>
      <c r="F85" s="112" t="s">
        <v>672</v>
      </c>
    </row>
    <row r="86" spans="2:7" x14ac:dyDescent="0.25">
      <c r="B86" s="76"/>
      <c r="C86" s="88"/>
      <c r="D86" s="89"/>
      <c r="E86" s="111" t="s">
        <v>687</v>
      </c>
      <c r="F86" s="112" t="s">
        <v>672</v>
      </c>
    </row>
    <row r="87" spans="2:7" x14ac:dyDescent="0.25">
      <c r="B87" s="76"/>
      <c r="C87" s="97"/>
      <c r="D87" s="98"/>
      <c r="E87" s="97"/>
      <c r="F87" s="97"/>
    </row>
    <row r="88" spans="2:7" x14ac:dyDescent="0.25">
      <c r="B88" s="76"/>
      <c r="C88" s="113" t="s">
        <v>1285</v>
      </c>
      <c r="D88" s="114" t="s">
        <v>658</v>
      </c>
      <c r="E88" s="115" t="s">
        <v>658</v>
      </c>
      <c r="F88" s="116" t="s">
        <v>645</v>
      </c>
      <c r="G88" s="185" t="s">
        <v>1275</v>
      </c>
    </row>
    <row r="89" spans="2:7" x14ac:dyDescent="0.25">
      <c r="B89" s="76"/>
      <c r="C89" s="81"/>
      <c r="D89" s="82"/>
      <c r="E89" s="83" t="s">
        <v>1280</v>
      </c>
      <c r="F89" s="84"/>
    </row>
    <row r="90" spans="2:7" x14ac:dyDescent="0.25">
      <c r="B90" s="76"/>
      <c r="C90" s="81"/>
      <c r="D90" s="82"/>
      <c r="E90" s="117" t="s">
        <v>736</v>
      </c>
      <c r="F90" s="118" t="s">
        <v>609</v>
      </c>
    </row>
    <row r="91" spans="2:7" x14ac:dyDescent="0.25">
      <c r="B91" s="76"/>
      <c r="C91" s="81"/>
      <c r="D91" s="82"/>
      <c r="E91" s="117" t="s">
        <v>737</v>
      </c>
      <c r="F91" s="118" t="s">
        <v>705</v>
      </c>
    </row>
    <row r="92" spans="2:7" x14ac:dyDescent="0.25">
      <c r="B92" s="76"/>
      <c r="C92" s="81"/>
      <c r="D92" s="82"/>
      <c r="E92" s="117" t="s">
        <v>738</v>
      </c>
      <c r="F92" s="118" t="s">
        <v>734</v>
      </c>
    </row>
    <row r="93" spans="2:7" x14ac:dyDescent="0.25">
      <c r="B93" s="76"/>
      <c r="C93" s="81"/>
      <c r="D93" s="82"/>
      <c r="E93" s="117" t="s">
        <v>739</v>
      </c>
      <c r="F93" s="118" t="s">
        <v>734</v>
      </c>
    </row>
    <row r="94" spans="2:7" x14ac:dyDescent="0.25">
      <c r="B94" s="76"/>
      <c r="C94" s="81"/>
      <c r="D94" s="82"/>
      <c r="E94" s="117" t="s">
        <v>740</v>
      </c>
      <c r="F94" s="118" t="s">
        <v>734</v>
      </c>
    </row>
    <row r="95" spans="2:7" x14ac:dyDescent="0.25">
      <c r="B95" s="76"/>
      <c r="C95" s="81"/>
      <c r="D95" s="82"/>
      <c r="E95" s="117" t="s">
        <v>741</v>
      </c>
      <c r="F95" s="118" t="s">
        <v>734</v>
      </c>
    </row>
    <row r="96" spans="2:7" x14ac:dyDescent="0.25">
      <c r="B96" s="76"/>
      <c r="C96" s="81"/>
      <c r="D96" s="82"/>
      <c r="E96" s="117" t="s">
        <v>742</v>
      </c>
      <c r="F96" s="118" t="s">
        <v>734</v>
      </c>
    </row>
    <row r="97" spans="2:6" x14ac:dyDescent="0.25">
      <c r="B97" s="76"/>
      <c r="C97" s="81"/>
      <c r="D97" s="82"/>
      <c r="E97" s="117" t="s">
        <v>743</v>
      </c>
      <c r="F97" s="118" t="s">
        <v>705</v>
      </c>
    </row>
    <row r="98" spans="2:6" x14ac:dyDescent="0.25">
      <c r="B98" s="76"/>
      <c r="C98" s="81"/>
      <c r="D98" s="82"/>
      <c r="E98" s="117" t="s">
        <v>744</v>
      </c>
      <c r="F98" s="118" t="s">
        <v>705</v>
      </c>
    </row>
    <row r="99" spans="2:6" x14ac:dyDescent="0.25">
      <c r="B99" s="76"/>
      <c r="C99" s="81"/>
      <c r="D99" s="82"/>
      <c r="E99" s="117" t="s">
        <v>745</v>
      </c>
      <c r="F99" s="118" t="s">
        <v>705</v>
      </c>
    </row>
    <row r="100" spans="2:6" x14ac:dyDescent="0.25">
      <c r="B100" s="76"/>
      <c r="C100" s="81"/>
      <c r="D100" s="82"/>
      <c r="E100" s="117" t="s">
        <v>746</v>
      </c>
      <c r="F100" s="118" t="s">
        <v>609</v>
      </c>
    </row>
    <row r="101" spans="2:6" x14ac:dyDescent="0.25">
      <c r="B101" s="76"/>
      <c r="C101" s="81"/>
      <c r="D101" s="82"/>
      <c r="E101" s="117" t="s">
        <v>747</v>
      </c>
      <c r="F101" s="118" t="s">
        <v>734</v>
      </c>
    </row>
    <row r="102" spans="2:6" x14ac:dyDescent="0.25">
      <c r="B102" s="76"/>
      <c r="C102" s="81"/>
      <c r="D102" s="82"/>
      <c r="E102" s="117" t="s">
        <v>748</v>
      </c>
      <c r="F102" s="118" t="s">
        <v>734</v>
      </c>
    </row>
    <row r="103" spans="2:6" x14ac:dyDescent="0.25">
      <c r="B103" s="76"/>
      <c r="C103" s="81"/>
      <c r="D103" s="82"/>
      <c r="E103" s="117" t="s">
        <v>749</v>
      </c>
      <c r="F103" s="118" t="s">
        <v>734</v>
      </c>
    </row>
    <row r="104" spans="2:6" x14ac:dyDescent="0.25">
      <c r="B104" s="76"/>
      <c r="C104" s="81"/>
      <c r="D104" s="82"/>
      <c r="E104" s="117" t="s">
        <v>750</v>
      </c>
      <c r="F104" s="118" t="s">
        <v>734</v>
      </c>
    </row>
    <row r="105" spans="2:6" x14ac:dyDescent="0.25">
      <c r="B105" s="76"/>
      <c r="C105" s="81"/>
      <c r="D105" s="82"/>
      <c r="E105" s="117" t="s">
        <v>751</v>
      </c>
      <c r="F105" s="118" t="s">
        <v>734</v>
      </c>
    </row>
    <row r="106" spans="2:6" x14ac:dyDescent="0.25">
      <c r="B106" s="76"/>
      <c r="C106" s="81"/>
      <c r="D106" s="82"/>
      <c r="E106" s="117" t="s">
        <v>752</v>
      </c>
      <c r="F106" s="118" t="s">
        <v>734</v>
      </c>
    </row>
    <row r="107" spans="2:6" x14ac:dyDescent="0.25">
      <c r="B107" s="76"/>
      <c r="C107" s="81"/>
      <c r="D107" s="82"/>
      <c r="E107" s="117" t="s">
        <v>753</v>
      </c>
      <c r="F107" s="118" t="s">
        <v>734</v>
      </c>
    </row>
    <row r="108" spans="2:6" x14ac:dyDescent="0.25">
      <c r="B108" s="76"/>
      <c r="C108" s="81"/>
      <c r="D108" s="82"/>
      <c r="E108" s="117" t="s">
        <v>754</v>
      </c>
      <c r="F108" s="118" t="s">
        <v>734</v>
      </c>
    </row>
    <row r="109" spans="2:6" x14ac:dyDescent="0.25">
      <c r="B109" s="76"/>
      <c r="C109" s="81"/>
      <c r="D109" s="82"/>
      <c r="E109" s="117" t="s">
        <v>755</v>
      </c>
      <c r="F109" s="118" t="s">
        <v>734</v>
      </c>
    </row>
    <row r="110" spans="2:6" x14ac:dyDescent="0.25">
      <c r="B110" s="76"/>
      <c r="C110" s="81"/>
      <c r="D110" s="82"/>
      <c r="E110" s="117" t="s">
        <v>756</v>
      </c>
      <c r="F110" s="118" t="s">
        <v>734</v>
      </c>
    </row>
    <row r="111" spans="2:6" x14ac:dyDescent="0.25">
      <c r="B111" s="76"/>
      <c r="C111" s="81"/>
      <c r="D111" s="82"/>
      <c r="E111" s="117" t="s">
        <v>757</v>
      </c>
      <c r="F111" s="118" t="s">
        <v>734</v>
      </c>
    </row>
    <row r="112" spans="2:6" x14ac:dyDescent="0.25">
      <c r="B112" s="76"/>
      <c r="C112" s="81"/>
      <c r="D112" s="82"/>
      <c r="E112" s="117" t="s">
        <v>758</v>
      </c>
      <c r="F112" s="118" t="s">
        <v>734</v>
      </c>
    </row>
    <row r="113" spans="2:7" x14ac:dyDescent="0.25">
      <c r="B113" s="76"/>
      <c r="C113" s="88"/>
      <c r="D113" s="89"/>
      <c r="E113" s="117" t="s">
        <v>735</v>
      </c>
      <c r="F113" s="118" t="s">
        <v>734</v>
      </c>
    </row>
    <row r="114" spans="2:7" x14ac:dyDescent="0.25">
      <c r="B114" s="76"/>
      <c r="C114" s="97"/>
      <c r="D114" s="98"/>
      <c r="E114" s="97"/>
      <c r="F114" s="97"/>
    </row>
    <row r="115" spans="2:7" x14ac:dyDescent="0.25">
      <c r="B115" s="76"/>
      <c r="C115" s="119" t="s">
        <v>1283</v>
      </c>
      <c r="D115" s="120" t="s">
        <v>656</v>
      </c>
      <c r="E115" s="120" t="s">
        <v>656</v>
      </c>
      <c r="F115" s="121" t="s">
        <v>645</v>
      </c>
      <c r="G115" s="183" t="s">
        <v>1275</v>
      </c>
    </row>
    <row r="116" spans="2:7" x14ac:dyDescent="0.25">
      <c r="B116" s="76"/>
      <c r="C116" s="81"/>
      <c r="D116" s="82"/>
      <c r="E116" s="83" t="s">
        <v>1280</v>
      </c>
      <c r="F116" s="84"/>
    </row>
    <row r="117" spans="2:7" x14ac:dyDescent="0.25">
      <c r="B117" s="76"/>
      <c r="C117" s="81"/>
      <c r="D117" s="82"/>
      <c r="E117" s="122" t="s">
        <v>723</v>
      </c>
      <c r="F117" s="123" t="s">
        <v>722</v>
      </c>
    </row>
    <row r="118" spans="2:7" x14ac:dyDescent="0.25">
      <c r="B118" s="76"/>
      <c r="C118" s="81"/>
      <c r="D118" s="82"/>
      <c r="E118" s="122" t="s">
        <v>724</v>
      </c>
      <c r="F118" s="123" t="s">
        <v>722</v>
      </c>
    </row>
    <row r="119" spans="2:7" x14ac:dyDescent="0.25">
      <c r="B119" s="76"/>
      <c r="C119" s="81"/>
      <c r="D119" s="82"/>
      <c r="E119" s="122" t="s">
        <v>725</v>
      </c>
      <c r="F119" s="123" t="s">
        <v>693</v>
      </c>
    </row>
    <row r="120" spans="2:7" x14ac:dyDescent="0.25">
      <c r="B120" s="76"/>
      <c r="C120" s="81"/>
      <c r="D120" s="82"/>
      <c r="E120" s="122" t="s">
        <v>726</v>
      </c>
      <c r="F120" s="123" t="s">
        <v>693</v>
      </c>
    </row>
    <row r="121" spans="2:7" x14ac:dyDescent="0.25">
      <c r="B121" s="76"/>
      <c r="C121" s="81"/>
      <c r="D121" s="82"/>
      <c r="E121" s="122" t="s">
        <v>727</v>
      </c>
      <c r="F121" s="123" t="s">
        <v>693</v>
      </c>
    </row>
    <row r="122" spans="2:7" x14ac:dyDescent="0.25">
      <c r="B122" s="76"/>
      <c r="C122" s="81"/>
      <c r="D122" s="82"/>
      <c r="E122" s="122" t="s">
        <v>728</v>
      </c>
      <c r="F122" s="123" t="s">
        <v>693</v>
      </c>
    </row>
    <row r="123" spans="2:7" x14ac:dyDescent="0.25">
      <c r="B123" s="76"/>
      <c r="C123" s="81"/>
      <c r="D123" s="82"/>
      <c r="E123" s="122" t="s">
        <v>729</v>
      </c>
      <c r="F123" s="123" t="s">
        <v>693</v>
      </c>
    </row>
    <row r="124" spans="2:7" x14ac:dyDescent="0.25">
      <c r="B124" s="76"/>
      <c r="C124" s="81"/>
      <c r="D124" s="82"/>
      <c r="E124" s="122" t="s">
        <v>730</v>
      </c>
      <c r="F124" s="123" t="s">
        <v>693</v>
      </c>
    </row>
    <row r="125" spans="2:7" x14ac:dyDescent="0.25">
      <c r="B125" s="76"/>
      <c r="C125" s="81"/>
      <c r="D125" s="82"/>
      <c r="E125" s="122" t="s">
        <v>731</v>
      </c>
      <c r="F125" s="123" t="s">
        <v>705</v>
      </c>
    </row>
    <row r="126" spans="2:7" x14ac:dyDescent="0.25">
      <c r="B126" s="76"/>
      <c r="C126" s="81"/>
      <c r="D126" s="82"/>
      <c r="E126" s="122" t="s">
        <v>721</v>
      </c>
      <c r="F126" s="123" t="s">
        <v>705</v>
      </c>
    </row>
    <row r="127" spans="2:7" x14ac:dyDescent="0.25">
      <c r="B127" s="76"/>
      <c r="C127" s="81"/>
      <c r="D127" s="82"/>
      <c r="E127" s="122" t="s">
        <v>732</v>
      </c>
      <c r="F127" s="123" t="s">
        <v>693</v>
      </c>
    </row>
    <row r="128" spans="2:7" x14ac:dyDescent="0.25">
      <c r="B128" s="124"/>
      <c r="C128" s="88"/>
      <c r="D128" s="89"/>
      <c r="E128" s="122" t="s">
        <v>733</v>
      </c>
      <c r="F128" s="123" t="s">
        <v>693</v>
      </c>
    </row>
    <row r="129" spans="2:7" x14ac:dyDescent="0.25">
      <c r="B129" s="5"/>
      <c r="C129" s="5"/>
      <c r="D129" s="8"/>
      <c r="E129" s="73"/>
      <c r="F129" s="5"/>
    </row>
    <row r="130" spans="2:7" x14ac:dyDescent="0.25">
      <c r="B130" s="125" t="s">
        <v>299</v>
      </c>
      <c r="C130" s="126" t="s">
        <v>1286</v>
      </c>
      <c r="D130" s="127" t="s">
        <v>776</v>
      </c>
      <c r="E130" s="128" t="s">
        <v>776</v>
      </c>
      <c r="F130" s="129" t="s">
        <v>645</v>
      </c>
      <c r="G130" s="184" t="s">
        <v>1275</v>
      </c>
    </row>
    <row r="131" spans="2:7" x14ac:dyDescent="0.25">
      <c r="B131" s="80"/>
      <c r="C131" s="81"/>
      <c r="D131" s="82"/>
      <c r="E131" s="83" t="s">
        <v>1276</v>
      </c>
      <c r="F131" s="84"/>
    </row>
    <row r="132" spans="2:7" x14ac:dyDescent="0.25">
      <c r="B132" s="76"/>
      <c r="C132" s="81"/>
      <c r="D132" s="82"/>
      <c r="E132" s="130" t="s">
        <v>774</v>
      </c>
      <c r="F132" s="131" t="s">
        <v>640</v>
      </c>
      <c r="G132" s="184" t="s">
        <v>1287</v>
      </c>
    </row>
    <row r="133" spans="2:7" x14ac:dyDescent="0.25">
      <c r="B133" s="76"/>
      <c r="C133" s="81"/>
      <c r="D133" s="82"/>
      <c r="E133" s="83" t="s">
        <v>1280</v>
      </c>
      <c r="F133" s="84"/>
    </row>
    <row r="134" spans="2:7" x14ac:dyDescent="0.25">
      <c r="B134" s="76"/>
      <c r="C134" s="81"/>
      <c r="D134" s="82"/>
      <c r="E134" s="132" t="s">
        <v>334</v>
      </c>
      <c r="F134" s="133" t="s">
        <v>333</v>
      </c>
    </row>
    <row r="135" spans="2:7" x14ac:dyDescent="0.25">
      <c r="B135" s="76"/>
      <c r="C135" s="81"/>
      <c r="D135" s="82"/>
      <c r="E135" s="132" t="s">
        <v>336</v>
      </c>
      <c r="F135" s="133" t="s">
        <v>333</v>
      </c>
    </row>
    <row r="136" spans="2:7" x14ac:dyDescent="0.25">
      <c r="B136" s="76"/>
      <c r="C136" s="81"/>
      <c r="D136" s="82"/>
      <c r="E136" s="132" t="s">
        <v>338</v>
      </c>
      <c r="F136" s="133" t="s">
        <v>305</v>
      </c>
    </row>
    <row r="137" spans="2:7" x14ac:dyDescent="0.25">
      <c r="B137" s="76"/>
      <c r="C137" s="81"/>
      <c r="D137" s="82"/>
      <c r="E137" s="132" t="s">
        <v>342</v>
      </c>
      <c r="F137" s="133" t="s">
        <v>305</v>
      </c>
    </row>
    <row r="138" spans="2:7" x14ac:dyDescent="0.25">
      <c r="B138" s="76"/>
      <c r="C138" s="81"/>
      <c r="D138" s="82"/>
      <c r="E138" s="132" t="s">
        <v>345</v>
      </c>
      <c r="F138" s="133" t="s">
        <v>305</v>
      </c>
    </row>
    <row r="139" spans="2:7" x14ac:dyDescent="0.25">
      <c r="B139" s="76"/>
      <c r="C139" s="81"/>
      <c r="D139" s="82"/>
      <c r="E139" s="132" t="s">
        <v>348</v>
      </c>
      <c r="F139" s="133" t="s">
        <v>324</v>
      </c>
    </row>
    <row r="140" spans="2:7" x14ac:dyDescent="0.25">
      <c r="B140" s="76"/>
      <c r="C140" s="81"/>
      <c r="D140" s="82"/>
      <c r="E140" s="132" t="s">
        <v>350</v>
      </c>
      <c r="F140" s="133" t="s">
        <v>305</v>
      </c>
    </row>
    <row r="141" spans="2:7" x14ac:dyDescent="0.25">
      <c r="B141" s="76"/>
      <c r="C141" s="81"/>
      <c r="D141" s="82"/>
      <c r="E141" s="132" t="s">
        <v>353</v>
      </c>
      <c r="F141" s="133" t="s">
        <v>333</v>
      </c>
    </row>
    <row r="142" spans="2:7" x14ac:dyDescent="0.25">
      <c r="B142" s="76"/>
      <c r="C142" s="81"/>
      <c r="D142" s="82"/>
      <c r="E142" s="132" t="s">
        <v>355</v>
      </c>
      <c r="F142" s="133" t="s">
        <v>305</v>
      </c>
    </row>
    <row r="143" spans="2:7" x14ac:dyDescent="0.25">
      <c r="B143" s="76"/>
      <c r="C143" s="81"/>
      <c r="D143" s="82"/>
      <c r="E143" s="132" t="s">
        <v>358</v>
      </c>
      <c r="F143" s="133" t="s">
        <v>305</v>
      </c>
    </row>
    <row r="144" spans="2:7" x14ac:dyDescent="0.25">
      <c r="B144" s="76"/>
      <c r="C144" s="88"/>
      <c r="D144" s="89"/>
      <c r="E144" s="132" t="s">
        <v>361</v>
      </c>
      <c r="F144" s="133" t="s">
        <v>333</v>
      </c>
    </row>
    <row r="145" spans="2:7" x14ac:dyDescent="0.25">
      <c r="B145" s="76"/>
      <c r="C145" s="134"/>
      <c r="D145" s="135"/>
      <c r="E145" s="134"/>
      <c r="F145" s="134"/>
    </row>
    <row r="146" spans="2:7" x14ac:dyDescent="0.25">
      <c r="B146" s="76"/>
      <c r="C146" s="136" t="s">
        <v>1286</v>
      </c>
      <c r="D146" s="137" t="s">
        <v>771</v>
      </c>
      <c r="E146" s="138" t="s">
        <v>771</v>
      </c>
      <c r="F146" s="139" t="s">
        <v>645</v>
      </c>
      <c r="G146" s="186" t="s">
        <v>1275</v>
      </c>
    </row>
    <row r="147" spans="2:7" x14ac:dyDescent="0.25">
      <c r="B147" s="80"/>
      <c r="C147" s="81"/>
      <c r="D147" s="82"/>
      <c r="E147" s="83" t="s">
        <v>1276</v>
      </c>
      <c r="F147" s="84"/>
    </row>
    <row r="148" spans="2:7" x14ac:dyDescent="0.25">
      <c r="B148" s="76"/>
      <c r="C148" s="81"/>
      <c r="D148" s="82"/>
      <c r="E148" s="140" t="s">
        <v>770</v>
      </c>
      <c r="F148" s="141" t="s">
        <v>640</v>
      </c>
      <c r="G148" s="186" t="s">
        <v>1287</v>
      </c>
    </row>
    <row r="149" spans="2:7" x14ac:dyDescent="0.25">
      <c r="B149" s="76"/>
      <c r="C149" s="81"/>
      <c r="D149" s="82"/>
      <c r="E149" s="83" t="s">
        <v>1280</v>
      </c>
      <c r="F149" s="84"/>
    </row>
    <row r="150" spans="2:7" x14ac:dyDescent="0.25">
      <c r="B150" s="76"/>
      <c r="C150" s="81"/>
      <c r="D150" s="82"/>
      <c r="E150" s="142" t="s">
        <v>306</v>
      </c>
      <c r="F150" s="143" t="s">
        <v>305</v>
      </c>
    </row>
    <row r="151" spans="2:7" x14ac:dyDescent="0.25">
      <c r="B151" s="76"/>
      <c r="C151" s="81"/>
      <c r="D151" s="82"/>
      <c r="E151" s="142" t="s">
        <v>309</v>
      </c>
      <c r="F151" s="143" t="s">
        <v>305</v>
      </c>
    </row>
    <row r="152" spans="2:7" x14ac:dyDescent="0.25">
      <c r="B152" s="76"/>
      <c r="C152" s="81"/>
      <c r="D152" s="82"/>
      <c r="E152" s="142" t="s">
        <v>311</v>
      </c>
      <c r="F152" s="143" t="s">
        <v>305</v>
      </c>
    </row>
    <row r="153" spans="2:7" x14ac:dyDescent="0.25">
      <c r="B153" s="76"/>
      <c r="C153" s="81"/>
      <c r="D153" s="82"/>
      <c r="E153" s="142" t="s">
        <v>314</v>
      </c>
      <c r="F153" s="143" t="s">
        <v>313</v>
      </c>
    </row>
    <row r="154" spans="2:7" x14ac:dyDescent="0.25">
      <c r="B154" s="76"/>
      <c r="C154" s="81"/>
      <c r="D154" s="82"/>
      <c r="E154" s="142" t="s">
        <v>317</v>
      </c>
      <c r="F154" s="143" t="s">
        <v>313</v>
      </c>
    </row>
    <row r="155" spans="2:7" x14ac:dyDescent="0.25">
      <c r="B155" s="76"/>
      <c r="C155" s="81"/>
      <c r="D155" s="82"/>
      <c r="E155" s="142" t="s">
        <v>319</v>
      </c>
      <c r="F155" s="143" t="s">
        <v>313</v>
      </c>
    </row>
    <row r="156" spans="2:7" x14ac:dyDescent="0.25">
      <c r="B156" s="76"/>
      <c r="C156" s="81"/>
      <c r="D156" s="82"/>
      <c r="E156" s="142" t="s">
        <v>322</v>
      </c>
      <c r="F156" s="143" t="s">
        <v>313</v>
      </c>
    </row>
    <row r="157" spans="2:7" x14ac:dyDescent="0.25">
      <c r="B157" s="76"/>
      <c r="C157" s="81"/>
      <c r="D157" s="82"/>
      <c r="E157" s="142" t="s">
        <v>325</v>
      </c>
      <c r="F157" s="143" t="s">
        <v>324</v>
      </c>
    </row>
    <row r="158" spans="2:7" x14ac:dyDescent="0.25">
      <c r="B158" s="76"/>
      <c r="C158" s="81"/>
      <c r="D158" s="82"/>
      <c r="E158" s="142" t="s">
        <v>327</v>
      </c>
      <c r="F158" s="143" t="s">
        <v>305</v>
      </c>
    </row>
    <row r="159" spans="2:7" x14ac:dyDescent="0.25">
      <c r="B159" s="76"/>
      <c r="C159" s="81"/>
      <c r="D159" s="82"/>
      <c r="E159" s="142" t="s">
        <v>329</v>
      </c>
      <c r="F159" s="143" t="s">
        <v>305</v>
      </c>
    </row>
    <row r="160" spans="2:7" x14ac:dyDescent="0.25">
      <c r="B160" s="144"/>
      <c r="C160" s="88"/>
      <c r="D160" s="89"/>
      <c r="E160" s="142" t="s">
        <v>331</v>
      </c>
      <c r="F160" s="143" t="s">
        <v>305</v>
      </c>
    </row>
    <row r="161" spans="2:7" x14ac:dyDescent="0.25">
      <c r="B161" s="5"/>
      <c r="C161" s="5"/>
      <c r="D161" s="8"/>
      <c r="E161" s="73"/>
      <c r="F161" s="5"/>
    </row>
    <row r="162" spans="2:7" ht="15" customHeight="1" x14ac:dyDescent="0.25">
      <c r="B162" s="125" t="s">
        <v>35</v>
      </c>
      <c r="C162" s="145" t="s">
        <v>1288</v>
      </c>
      <c r="D162" s="146" t="s">
        <v>883</v>
      </c>
      <c r="E162" s="147" t="s">
        <v>883</v>
      </c>
      <c r="F162" s="148" t="s">
        <v>645</v>
      </c>
      <c r="G162" s="190" t="s">
        <v>1275</v>
      </c>
    </row>
    <row r="163" spans="2:7" x14ac:dyDescent="0.25">
      <c r="B163" s="76"/>
      <c r="C163" s="81"/>
      <c r="D163" s="82"/>
      <c r="E163" s="83" t="s">
        <v>1280</v>
      </c>
      <c r="F163" s="84"/>
    </row>
    <row r="164" spans="2:7" x14ac:dyDescent="0.25">
      <c r="B164" s="76"/>
      <c r="C164" s="81"/>
      <c r="D164" s="82"/>
      <c r="E164" s="150" t="s">
        <v>822</v>
      </c>
      <c r="F164" s="151" t="s">
        <v>820</v>
      </c>
    </row>
    <row r="165" spans="2:7" x14ac:dyDescent="0.25">
      <c r="B165" s="76"/>
      <c r="C165" s="81"/>
      <c r="D165" s="82"/>
      <c r="E165" s="150" t="s">
        <v>823</v>
      </c>
      <c r="F165" s="151" t="s">
        <v>820</v>
      </c>
    </row>
    <row r="166" spans="2:7" x14ac:dyDescent="0.25">
      <c r="B166" s="76"/>
      <c r="C166" s="81"/>
      <c r="D166" s="82"/>
      <c r="E166" s="150" t="s">
        <v>824</v>
      </c>
      <c r="F166" s="151" t="s">
        <v>820</v>
      </c>
    </row>
    <row r="167" spans="2:7" x14ac:dyDescent="0.25">
      <c r="B167" s="152"/>
      <c r="C167" s="153"/>
      <c r="D167" s="82"/>
      <c r="E167" s="150" t="s">
        <v>825</v>
      </c>
      <c r="F167" s="151" t="s">
        <v>820</v>
      </c>
    </row>
    <row r="168" spans="2:7" x14ac:dyDescent="0.25">
      <c r="B168" s="152"/>
      <c r="C168" s="153"/>
      <c r="D168" s="82"/>
      <c r="E168" s="150" t="s">
        <v>826</v>
      </c>
      <c r="F168" s="151" t="s">
        <v>820</v>
      </c>
    </row>
    <row r="169" spans="2:7" x14ac:dyDescent="0.25">
      <c r="B169" s="152"/>
      <c r="C169" s="153"/>
      <c r="D169" s="82"/>
      <c r="E169" s="150" t="s">
        <v>827</v>
      </c>
      <c r="F169" s="151" t="s">
        <v>820</v>
      </c>
    </row>
    <row r="170" spans="2:7" x14ac:dyDescent="0.25">
      <c r="B170" s="152"/>
      <c r="C170" s="153"/>
      <c r="D170" s="82"/>
      <c r="E170" s="150" t="s">
        <v>828</v>
      </c>
      <c r="F170" s="151" t="s">
        <v>820</v>
      </c>
    </row>
    <row r="171" spans="2:7" x14ac:dyDescent="0.25">
      <c r="B171" s="152"/>
      <c r="C171" s="153"/>
      <c r="D171" s="82"/>
      <c r="E171" s="150" t="s">
        <v>829</v>
      </c>
      <c r="F171" s="151" t="s">
        <v>820</v>
      </c>
    </row>
    <row r="172" spans="2:7" x14ac:dyDescent="0.25">
      <c r="B172" s="152"/>
      <c r="C172" s="153"/>
      <c r="D172" s="82"/>
      <c r="E172" s="150" t="s">
        <v>830</v>
      </c>
      <c r="F172" s="151" t="s">
        <v>820</v>
      </c>
    </row>
    <row r="173" spans="2:7" x14ac:dyDescent="0.25">
      <c r="B173" s="152"/>
      <c r="C173" s="153"/>
      <c r="D173" s="82"/>
      <c r="E173" s="150" t="s">
        <v>821</v>
      </c>
      <c r="F173" s="151" t="s">
        <v>820</v>
      </c>
    </row>
    <row r="174" spans="2:7" x14ac:dyDescent="0.25">
      <c r="B174" s="152"/>
      <c r="C174" s="153"/>
      <c r="D174" s="82"/>
      <c r="E174" s="150" t="s">
        <v>831</v>
      </c>
      <c r="F174" s="151" t="s">
        <v>820</v>
      </c>
    </row>
    <row r="175" spans="2:7" x14ac:dyDescent="0.25">
      <c r="B175" s="152"/>
      <c r="C175" s="153"/>
      <c r="D175" s="82"/>
      <c r="E175" s="150" t="s">
        <v>832</v>
      </c>
      <c r="F175" s="151" t="s">
        <v>820</v>
      </c>
    </row>
    <row r="176" spans="2:7" x14ac:dyDescent="0.25">
      <c r="B176" s="152"/>
      <c r="C176" s="153"/>
      <c r="D176" s="82"/>
      <c r="E176" s="150" t="s">
        <v>834</v>
      </c>
      <c r="F176" s="151" t="s">
        <v>833</v>
      </c>
    </row>
    <row r="177" spans="2:7" x14ac:dyDescent="0.25">
      <c r="B177" s="152"/>
      <c r="C177" s="153"/>
      <c r="D177" s="82"/>
      <c r="E177" s="150" t="s">
        <v>835</v>
      </c>
      <c r="F177" s="151" t="s">
        <v>820</v>
      </c>
    </row>
    <row r="178" spans="2:7" x14ac:dyDescent="0.25">
      <c r="B178" s="152"/>
      <c r="C178" s="153"/>
      <c r="D178" s="82"/>
      <c r="E178" s="150" t="s">
        <v>836</v>
      </c>
      <c r="F178" s="151" t="s">
        <v>700</v>
      </c>
    </row>
    <row r="179" spans="2:7" x14ac:dyDescent="0.25">
      <c r="B179" s="152"/>
      <c r="C179" s="153"/>
      <c r="D179" s="82"/>
      <c r="E179" s="150" t="s">
        <v>838</v>
      </c>
      <c r="F179" s="151" t="s">
        <v>820</v>
      </c>
    </row>
    <row r="180" spans="2:7" x14ac:dyDescent="0.25">
      <c r="B180" s="152"/>
      <c r="C180" s="153"/>
      <c r="D180" s="82"/>
      <c r="E180" s="150" t="s">
        <v>839</v>
      </c>
      <c r="F180" s="151" t="s">
        <v>820</v>
      </c>
    </row>
    <row r="181" spans="2:7" x14ac:dyDescent="0.25">
      <c r="B181" s="152"/>
      <c r="C181" s="153"/>
      <c r="D181" s="82"/>
      <c r="E181" s="150" t="s">
        <v>840</v>
      </c>
      <c r="F181" s="151" t="s">
        <v>820</v>
      </c>
    </row>
    <row r="182" spans="2:7" x14ac:dyDescent="0.25">
      <c r="B182" s="152"/>
      <c r="C182" s="153"/>
      <c r="D182" s="82"/>
      <c r="E182" s="150" t="s">
        <v>841</v>
      </c>
      <c r="F182" s="151" t="s">
        <v>820</v>
      </c>
    </row>
    <row r="183" spans="2:7" x14ac:dyDescent="0.25">
      <c r="B183" s="152"/>
      <c r="C183" s="153"/>
      <c r="D183" s="82"/>
      <c r="E183" s="150" t="s">
        <v>845</v>
      </c>
      <c r="F183" s="151" t="s">
        <v>844</v>
      </c>
    </row>
    <row r="184" spans="2:7" x14ac:dyDescent="0.25">
      <c r="B184" s="76"/>
      <c r="C184" s="81"/>
      <c r="D184" s="82"/>
      <c r="E184" s="150" t="s">
        <v>846</v>
      </c>
      <c r="F184" s="151" t="s">
        <v>820</v>
      </c>
    </row>
    <row r="185" spans="2:7" x14ac:dyDescent="0.25">
      <c r="B185" s="154"/>
      <c r="C185" s="81"/>
      <c r="D185" s="82"/>
      <c r="E185" s="150" t="s">
        <v>847</v>
      </c>
      <c r="F185" s="151" t="s">
        <v>820</v>
      </c>
    </row>
    <row r="186" spans="2:7" x14ac:dyDescent="0.25">
      <c r="B186" s="76"/>
      <c r="C186" s="81"/>
      <c r="D186" s="82"/>
      <c r="E186" s="150" t="s">
        <v>848</v>
      </c>
      <c r="F186" s="151" t="s">
        <v>844</v>
      </c>
    </row>
    <row r="187" spans="2:7" x14ac:dyDescent="0.25">
      <c r="B187" s="76"/>
      <c r="C187" s="81"/>
      <c r="D187" s="82"/>
      <c r="E187" s="150" t="s">
        <v>849</v>
      </c>
      <c r="F187" s="151" t="s">
        <v>820</v>
      </c>
    </row>
    <row r="188" spans="2:7" x14ac:dyDescent="0.25">
      <c r="B188" s="76"/>
      <c r="C188" s="81"/>
      <c r="D188" s="82"/>
      <c r="E188" s="150" t="s">
        <v>850</v>
      </c>
      <c r="F188" s="151" t="s">
        <v>820</v>
      </c>
    </row>
    <row r="189" spans="2:7" x14ac:dyDescent="0.25">
      <c r="B189" s="76"/>
      <c r="C189" s="88"/>
      <c r="D189" s="155"/>
      <c r="E189" s="150" t="s">
        <v>851</v>
      </c>
      <c r="F189" s="151" t="s">
        <v>700</v>
      </c>
    </row>
    <row r="190" spans="2:7" x14ac:dyDescent="0.25">
      <c r="B190" s="156"/>
      <c r="C190" s="97"/>
      <c r="D190" s="98"/>
      <c r="E190" s="99"/>
      <c r="F190" s="97"/>
    </row>
    <row r="191" spans="2:7" x14ac:dyDescent="0.25">
      <c r="B191" s="80"/>
      <c r="C191" s="157" t="s">
        <v>1289</v>
      </c>
      <c r="D191" s="158" t="s">
        <v>862</v>
      </c>
      <c r="E191" s="159" t="s">
        <v>862</v>
      </c>
      <c r="F191" s="160" t="s">
        <v>645</v>
      </c>
      <c r="G191" s="178" t="s">
        <v>1275</v>
      </c>
    </row>
    <row r="192" spans="2:7" x14ac:dyDescent="0.25">
      <c r="B192" s="80"/>
      <c r="C192" s="81"/>
      <c r="D192" s="82"/>
      <c r="E192" s="83" t="s">
        <v>1276</v>
      </c>
      <c r="F192" s="149"/>
    </row>
    <row r="193" spans="2:7" x14ac:dyDescent="0.25">
      <c r="B193" s="80"/>
      <c r="C193" s="161" t="s">
        <v>1290</v>
      </c>
      <c r="D193" s="162"/>
      <c r="E193" s="159" t="s">
        <v>842</v>
      </c>
      <c r="F193" s="160" t="s">
        <v>796</v>
      </c>
      <c r="G193" s="178" t="s">
        <v>1277</v>
      </c>
    </row>
    <row r="194" spans="2:7" x14ac:dyDescent="0.25">
      <c r="B194" s="76"/>
      <c r="C194" s="163"/>
      <c r="D194" s="162"/>
      <c r="E194" s="83" t="s">
        <v>1280</v>
      </c>
      <c r="F194" s="84"/>
    </row>
    <row r="195" spans="2:7" x14ac:dyDescent="0.25">
      <c r="B195" s="80"/>
      <c r="C195" s="163"/>
      <c r="D195" s="162"/>
      <c r="E195" s="188" t="s">
        <v>59</v>
      </c>
      <c r="F195" s="189" t="s">
        <v>58</v>
      </c>
    </row>
    <row r="196" spans="2:7" x14ac:dyDescent="0.25">
      <c r="B196" s="80"/>
      <c r="C196" s="163"/>
      <c r="D196" s="162"/>
      <c r="E196" s="188" t="s">
        <v>62</v>
      </c>
      <c r="F196" s="189" t="s">
        <v>58</v>
      </c>
    </row>
    <row r="197" spans="2:7" x14ac:dyDescent="0.25">
      <c r="B197" s="80"/>
      <c r="C197" s="163"/>
      <c r="D197" s="162"/>
      <c r="E197" s="188" t="s">
        <v>67</v>
      </c>
      <c r="F197" s="189" t="s">
        <v>58</v>
      </c>
    </row>
    <row r="198" spans="2:7" x14ac:dyDescent="0.25">
      <c r="B198" s="80"/>
      <c r="C198" s="163"/>
      <c r="D198" s="162"/>
      <c r="E198" s="188" t="s">
        <v>70</v>
      </c>
      <c r="F198" s="189" t="s">
        <v>58</v>
      </c>
    </row>
    <row r="199" spans="2:7" x14ac:dyDescent="0.25">
      <c r="B199" s="80"/>
      <c r="C199" s="163"/>
      <c r="D199" s="162"/>
      <c r="E199" s="188" t="s">
        <v>73</v>
      </c>
      <c r="F199" s="189" t="s">
        <v>58</v>
      </c>
    </row>
    <row r="200" spans="2:7" x14ac:dyDescent="0.25">
      <c r="B200" s="80"/>
      <c r="C200" s="163"/>
      <c r="D200" s="162"/>
      <c r="E200" s="188" t="s">
        <v>76</v>
      </c>
      <c r="F200" s="189" t="s">
        <v>58</v>
      </c>
    </row>
    <row r="201" spans="2:7" x14ac:dyDescent="0.25">
      <c r="B201" s="80"/>
      <c r="C201" s="163"/>
      <c r="D201" s="162"/>
      <c r="E201" s="188" t="s">
        <v>79</v>
      </c>
      <c r="F201" s="189" t="s">
        <v>58</v>
      </c>
    </row>
    <row r="202" spans="2:7" x14ac:dyDescent="0.25">
      <c r="B202" s="80"/>
      <c r="C202" s="163"/>
      <c r="D202" s="162"/>
      <c r="E202" s="188" t="s">
        <v>82</v>
      </c>
      <c r="F202" s="189" t="s">
        <v>58</v>
      </c>
    </row>
    <row r="203" spans="2:7" x14ac:dyDescent="0.25">
      <c r="B203" s="80"/>
      <c r="C203" s="163"/>
      <c r="D203" s="162"/>
      <c r="E203" s="188" t="s">
        <v>85</v>
      </c>
      <c r="F203" s="189" t="s">
        <v>58</v>
      </c>
    </row>
    <row r="204" spans="2:7" x14ac:dyDescent="0.25">
      <c r="B204" s="80"/>
      <c r="C204" s="163"/>
      <c r="D204" s="162"/>
      <c r="E204" s="188" t="s">
        <v>88</v>
      </c>
      <c r="F204" s="189" t="s">
        <v>58</v>
      </c>
    </row>
    <row r="205" spans="2:7" x14ac:dyDescent="0.25">
      <c r="B205" s="156"/>
      <c r="C205" s="163"/>
      <c r="D205" s="162"/>
      <c r="E205" s="188" t="s">
        <v>91</v>
      </c>
      <c r="F205" s="189" t="s">
        <v>58</v>
      </c>
    </row>
    <row r="206" spans="2:7" x14ac:dyDescent="0.25">
      <c r="B206" s="80"/>
      <c r="C206" s="163"/>
      <c r="D206" s="162"/>
      <c r="E206" s="188" t="s">
        <v>94</v>
      </c>
      <c r="F206" s="189" t="s">
        <v>58</v>
      </c>
    </row>
    <row r="207" spans="2:7" x14ac:dyDescent="0.25">
      <c r="B207" s="80"/>
      <c r="C207" s="163"/>
      <c r="D207" s="162"/>
      <c r="E207" s="188" t="s">
        <v>97</v>
      </c>
      <c r="F207" s="189" t="s">
        <v>58</v>
      </c>
    </row>
    <row r="208" spans="2:7" x14ac:dyDescent="0.25">
      <c r="B208" s="80"/>
      <c r="C208" s="163"/>
      <c r="D208" s="162"/>
      <c r="E208" s="188" t="s">
        <v>100</v>
      </c>
      <c r="F208" s="189" t="s">
        <v>58</v>
      </c>
    </row>
    <row r="209" spans="2:8" x14ac:dyDescent="0.25">
      <c r="B209" s="80"/>
      <c r="C209" s="163"/>
      <c r="D209" s="162"/>
      <c r="E209" s="188" t="s">
        <v>103</v>
      </c>
      <c r="F209" s="189" t="s">
        <v>58</v>
      </c>
    </row>
    <row r="210" spans="2:8" x14ac:dyDescent="0.25">
      <c r="B210" s="80"/>
      <c r="C210" s="163"/>
      <c r="D210" s="162"/>
      <c r="E210" s="188" t="s">
        <v>106</v>
      </c>
      <c r="F210" s="189" t="s">
        <v>58</v>
      </c>
    </row>
    <row r="211" spans="2:8" x14ac:dyDescent="0.25">
      <c r="B211" s="80"/>
      <c r="C211" s="163"/>
      <c r="D211" s="162"/>
      <c r="E211" s="188" t="s">
        <v>798</v>
      </c>
      <c r="F211" s="189" t="s">
        <v>609</v>
      </c>
    </row>
    <row r="212" spans="2:8" x14ac:dyDescent="0.25">
      <c r="B212" s="80"/>
      <c r="C212" s="163"/>
      <c r="D212" s="162"/>
      <c r="E212" s="188" t="s">
        <v>799</v>
      </c>
      <c r="F212" s="189" t="s">
        <v>609</v>
      </c>
    </row>
    <row r="213" spans="2:8" x14ac:dyDescent="0.25">
      <c r="B213" s="80"/>
      <c r="C213" s="163"/>
      <c r="D213" s="162"/>
      <c r="E213" s="188" t="s">
        <v>110</v>
      </c>
      <c r="F213" s="189" t="s">
        <v>58</v>
      </c>
    </row>
    <row r="214" spans="2:8" x14ac:dyDescent="0.25">
      <c r="B214" s="80"/>
      <c r="C214" s="163"/>
      <c r="D214" s="162"/>
      <c r="E214" s="188" t="s">
        <v>114</v>
      </c>
      <c r="F214" s="189" t="s">
        <v>58</v>
      </c>
    </row>
    <row r="215" spans="2:8" x14ac:dyDescent="0.25">
      <c r="B215" s="80"/>
      <c r="C215" s="163"/>
      <c r="D215" s="162"/>
      <c r="E215" s="188" t="s">
        <v>118</v>
      </c>
      <c r="F215" s="189" t="s">
        <v>58</v>
      </c>
    </row>
    <row r="216" spans="2:8" x14ac:dyDescent="0.25">
      <c r="B216" s="80"/>
      <c r="C216" s="163"/>
      <c r="D216" s="162"/>
      <c r="E216" s="188" t="s">
        <v>800</v>
      </c>
      <c r="F216" s="189" t="s">
        <v>58</v>
      </c>
    </row>
    <row r="217" spans="2:8" x14ac:dyDescent="0.25">
      <c r="B217" s="80"/>
      <c r="C217" s="164"/>
      <c r="D217" s="162"/>
      <c r="E217" s="188" t="s">
        <v>801</v>
      </c>
      <c r="F217" s="189" t="s">
        <v>58</v>
      </c>
    </row>
    <row r="218" spans="2:8" x14ac:dyDescent="0.25">
      <c r="B218" s="80"/>
      <c r="C218" s="165"/>
      <c r="D218" s="166"/>
      <c r="E218" s="188" t="s">
        <v>802</v>
      </c>
      <c r="F218" s="189" t="s">
        <v>58</v>
      </c>
    </row>
    <row r="219" spans="2:8" x14ac:dyDescent="0.25">
      <c r="B219" s="156"/>
      <c r="C219" s="97"/>
      <c r="D219" s="98"/>
      <c r="E219" s="99"/>
      <c r="F219" s="97"/>
    </row>
    <row r="220" spans="2:8" x14ac:dyDescent="0.25">
      <c r="B220" s="80"/>
      <c r="C220" s="167" t="s">
        <v>1291</v>
      </c>
      <c r="D220" s="168" t="s">
        <v>865</v>
      </c>
      <c r="E220" s="169" t="s">
        <v>797</v>
      </c>
      <c r="F220" s="170" t="s">
        <v>796</v>
      </c>
      <c r="G220" s="173" t="s">
        <v>1275</v>
      </c>
      <c r="H220" s="187" t="s">
        <v>1292</v>
      </c>
    </row>
    <row r="221" spans="2:8" x14ac:dyDescent="0.25">
      <c r="B221" s="80"/>
      <c r="C221" s="81"/>
      <c r="D221" s="82"/>
      <c r="E221" s="83" t="s">
        <v>1276</v>
      </c>
      <c r="F221" s="149"/>
    </row>
    <row r="222" spans="2:8" x14ac:dyDescent="0.25">
      <c r="B222" s="80"/>
      <c r="C222" s="163"/>
      <c r="D222" s="162"/>
      <c r="E222" s="169" t="s">
        <v>865</v>
      </c>
      <c r="F222" s="170" t="s">
        <v>864</v>
      </c>
      <c r="G222" s="173" t="s">
        <v>1293</v>
      </c>
    </row>
    <row r="223" spans="2:8" x14ac:dyDescent="0.25">
      <c r="B223" s="80"/>
      <c r="C223" s="163"/>
      <c r="D223" s="162"/>
      <c r="E223" s="169" t="s">
        <v>843</v>
      </c>
      <c r="F223" s="170" t="s">
        <v>796</v>
      </c>
      <c r="G223" s="173" t="s">
        <v>1293</v>
      </c>
    </row>
    <row r="224" spans="2:8" x14ac:dyDescent="0.25">
      <c r="B224" s="80"/>
      <c r="C224" s="163"/>
      <c r="D224" s="162"/>
      <c r="E224" s="83" t="s">
        <v>1280</v>
      </c>
      <c r="F224" s="84"/>
    </row>
    <row r="225" spans="2:7" x14ac:dyDescent="0.25">
      <c r="B225" s="80"/>
      <c r="C225" s="163" t="s">
        <v>1294</v>
      </c>
      <c r="D225" s="162"/>
      <c r="E225" s="171" t="s">
        <v>121</v>
      </c>
      <c r="F225" s="172" t="s">
        <v>120</v>
      </c>
    </row>
    <row r="226" spans="2:7" x14ac:dyDescent="0.25">
      <c r="B226" s="80"/>
      <c r="C226" s="163"/>
      <c r="D226" s="162"/>
      <c r="E226" s="171" t="s">
        <v>134</v>
      </c>
      <c r="F226" s="172" t="s">
        <v>120</v>
      </c>
    </row>
    <row r="227" spans="2:7" x14ac:dyDescent="0.25">
      <c r="B227" s="80"/>
      <c r="C227" s="163"/>
      <c r="D227" s="162"/>
      <c r="E227" s="171" t="s">
        <v>138</v>
      </c>
      <c r="F227" s="172" t="s">
        <v>120</v>
      </c>
    </row>
    <row r="228" spans="2:7" x14ac:dyDescent="0.25">
      <c r="B228" s="80"/>
      <c r="C228" s="163"/>
      <c r="D228" s="162"/>
      <c r="E228" s="171" t="s">
        <v>142</v>
      </c>
      <c r="F228" s="172" t="s">
        <v>141</v>
      </c>
    </row>
    <row r="229" spans="2:7" x14ac:dyDescent="0.25">
      <c r="B229" s="80"/>
      <c r="C229" s="163"/>
      <c r="D229" s="162"/>
      <c r="E229" s="171" t="s">
        <v>146</v>
      </c>
      <c r="F229" s="172" t="s">
        <v>145</v>
      </c>
      <c r="G229" s="68"/>
    </row>
    <row r="230" spans="2:7" x14ac:dyDescent="0.25">
      <c r="B230" s="80"/>
      <c r="C230" s="163"/>
      <c r="D230" s="162"/>
      <c r="E230" s="171" t="s">
        <v>150</v>
      </c>
      <c r="F230" s="172" t="s">
        <v>149</v>
      </c>
    </row>
    <row r="231" spans="2:7" x14ac:dyDescent="0.25">
      <c r="B231" s="80"/>
      <c r="C231" s="163"/>
      <c r="D231" s="162"/>
      <c r="E231" s="171" t="s">
        <v>154</v>
      </c>
      <c r="F231" s="172" t="s">
        <v>153</v>
      </c>
    </row>
    <row r="232" spans="2:7" x14ac:dyDescent="0.25">
      <c r="B232" s="80"/>
      <c r="C232" s="163"/>
      <c r="D232" s="162"/>
      <c r="E232" s="171" t="s">
        <v>158</v>
      </c>
      <c r="F232" s="172" t="s">
        <v>157</v>
      </c>
    </row>
    <row r="233" spans="2:7" x14ac:dyDescent="0.25">
      <c r="B233" s="80"/>
      <c r="C233" s="163"/>
      <c r="D233" s="162"/>
      <c r="E233" s="171" t="s">
        <v>867</v>
      </c>
      <c r="F233" s="172" t="s">
        <v>866</v>
      </c>
    </row>
    <row r="234" spans="2:7" x14ac:dyDescent="0.25">
      <c r="B234" s="80"/>
      <c r="C234" s="163"/>
      <c r="D234" s="162"/>
      <c r="E234" s="171" t="s">
        <v>869</v>
      </c>
      <c r="F234" s="172" t="s">
        <v>868</v>
      </c>
    </row>
    <row r="235" spans="2:7" x14ac:dyDescent="0.25">
      <c r="B235" s="80"/>
      <c r="C235" s="163"/>
      <c r="D235" s="162"/>
      <c r="E235" s="171" t="s">
        <v>873</v>
      </c>
      <c r="F235" s="172" t="s">
        <v>872</v>
      </c>
    </row>
    <row r="236" spans="2:7" x14ac:dyDescent="0.25">
      <c r="B236" s="80"/>
      <c r="C236" s="163"/>
      <c r="D236" s="162"/>
      <c r="E236" s="171" t="s">
        <v>874</v>
      </c>
      <c r="F236" s="172" t="s">
        <v>868</v>
      </c>
    </row>
    <row r="237" spans="2:7" x14ac:dyDescent="0.25">
      <c r="B237" s="80"/>
      <c r="C237" s="163"/>
      <c r="D237" s="162"/>
      <c r="E237" s="171" t="s">
        <v>878</v>
      </c>
      <c r="F237" s="172" t="s">
        <v>872</v>
      </c>
    </row>
    <row r="238" spans="2:7" x14ac:dyDescent="0.25">
      <c r="B238" s="80"/>
      <c r="C238" s="163"/>
      <c r="D238" s="162"/>
      <c r="E238" s="171" t="s">
        <v>879</v>
      </c>
      <c r="F238" s="172" t="s">
        <v>872</v>
      </c>
    </row>
    <row r="239" spans="2:7" x14ac:dyDescent="0.25">
      <c r="B239" s="80"/>
      <c r="C239" s="163"/>
      <c r="D239" s="162"/>
      <c r="E239" s="171" t="s">
        <v>880</v>
      </c>
      <c r="F239" s="172" t="s">
        <v>872</v>
      </c>
    </row>
    <row r="240" spans="2:7" x14ac:dyDescent="0.25">
      <c r="B240" s="80"/>
      <c r="C240" s="165"/>
      <c r="D240" s="166"/>
      <c r="E240" s="171" t="s">
        <v>886</v>
      </c>
      <c r="F240" s="172" t="s">
        <v>872</v>
      </c>
    </row>
  </sheetData>
  <mergeCells count="2">
    <mergeCell ref="B3:F3"/>
    <mergeCell ref="C81:D81"/>
  </mergeCells>
  <phoneticPr fontId="13" type="noConversion"/>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0F762-5C1B-4D37-820C-EAC0D6BC5A3D}">
  <sheetPr codeName="Sheet1"/>
  <dimension ref="B1:R349"/>
  <sheetViews>
    <sheetView zoomScale="85" zoomScaleNormal="85" workbookViewId="0">
      <selection activeCell="J206" sqref="J206:J238"/>
    </sheetView>
  </sheetViews>
  <sheetFormatPr defaultRowHeight="15" x14ac:dyDescent="0.25"/>
  <cols>
    <col min="1" max="1" width="2.7109375" style="47" customWidth="1"/>
    <col min="2" max="2" width="15.42578125" style="46" customWidth="1"/>
    <col min="3" max="3" width="15" style="46" customWidth="1"/>
    <col min="4" max="4" width="34.85546875" customWidth="1"/>
    <col min="5" max="5" width="38.85546875" style="48" customWidth="1"/>
    <col min="6" max="6" width="43.28515625" style="48" customWidth="1"/>
    <col min="7" max="7" width="59.42578125" customWidth="1"/>
    <col min="8" max="8" width="49.7109375" style="48" customWidth="1"/>
    <col min="9" max="9" width="52.7109375" style="48" customWidth="1"/>
    <col min="10" max="10" width="39.42578125" style="46" bestFit="1" customWidth="1"/>
    <col min="11" max="11" width="26.5703125" style="48" bestFit="1" customWidth="1"/>
    <col min="12" max="12" width="18.85546875" style="48" bestFit="1" customWidth="1"/>
    <col min="13" max="13" width="13.5703125" style="46" customWidth="1"/>
    <col min="14" max="14" width="15.5703125" style="46" bestFit="1" customWidth="1"/>
    <col min="15" max="15" width="20.7109375" style="46" bestFit="1" customWidth="1"/>
    <col min="16" max="17" width="21.7109375" style="46" customWidth="1"/>
    <col min="18" max="18" width="11.85546875" style="46" bestFit="1" customWidth="1"/>
    <col min="19" max="19" width="20.5703125" style="47" customWidth="1"/>
    <col min="20" max="20" width="24.7109375" style="47" customWidth="1"/>
    <col min="21" max="21" width="17.7109375" style="47" customWidth="1"/>
    <col min="22" max="22" width="15.140625" style="47" customWidth="1"/>
    <col min="23" max="23" width="12.7109375" style="47" customWidth="1"/>
    <col min="24" max="24" width="13.7109375" style="47" customWidth="1"/>
    <col min="25" max="25" width="10.42578125" style="47" customWidth="1"/>
    <col min="26" max="26" width="12" style="47" customWidth="1"/>
    <col min="27" max="16384" width="9.140625" style="47"/>
  </cols>
  <sheetData>
    <row r="1" spans="2:18" ht="10.5" customHeight="1" x14ac:dyDescent="0.25">
      <c r="D1" s="48"/>
      <c r="G1" s="48"/>
      <c r="H1" s="46"/>
      <c r="J1" s="48"/>
      <c r="K1" s="46"/>
      <c r="L1" s="46"/>
      <c r="Q1" s="47"/>
      <c r="R1" s="47"/>
    </row>
    <row r="2" spans="2:18" ht="34.5" customHeight="1" x14ac:dyDescent="0.25">
      <c r="B2" s="50" t="s">
        <v>1295</v>
      </c>
      <c r="C2" s="51" t="s">
        <v>1296</v>
      </c>
      <c r="D2" s="59" t="s">
        <v>1297</v>
      </c>
      <c r="E2" s="59" t="s">
        <v>12</v>
      </c>
      <c r="F2" s="59" t="s">
        <v>1298</v>
      </c>
      <c r="G2" s="59" t="s">
        <v>1299</v>
      </c>
      <c r="H2" s="59" t="s">
        <v>1300</v>
      </c>
      <c r="I2" s="52" t="s">
        <v>1301</v>
      </c>
      <c r="J2" s="52" t="s">
        <v>1302</v>
      </c>
      <c r="K2" s="53" t="s">
        <v>1303</v>
      </c>
      <c r="L2" s="54" t="s">
        <v>1304</v>
      </c>
      <c r="M2" s="53" t="s">
        <v>1305</v>
      </c>
      <c r="N2" s="53" t="s">
        <v>1306</v>
      </c>
      <c r="O2" s="54" t="s">
        <v>1307</v>
      </c>
      <c r="P2" s="53" t="s">
        <v>1308</v>
      </c>
      <c r="Q2" s="60" t="s">
        <v>1309</v>
      </c>
      <c r="R2" s="47"/>
    </row>
    <row r="3" spans="2:18" x14ac:dyDescent="0.25">
      <c r="B3" s="55" t="s">
        <v>1109</v>
      </c>
      <c r="C3" s="55" t="s">
        <v>1310</v>
      </c>
      <c r="D3" s="56" t="s">
        <v>1311</v>
      </c>
      <c r="E3" s="56" t="s">
        <v>1312</v>
      </c>
      <c r="F3" s="56" t="s">
        <v>1313</v>
      </c>
      <c r="G3" s="56" t="s">
        <v>1108</v>
      </c>
      <c r="H3" s="55" t="s">
        <v>1314</v>
      </c>
      <c r="I3" s="56" t="s">
        <v>299</v>
      </c>
      <c r="J3" s="56"/>
      <c r="K3" s="57">
        <v>44718</v>
      </c>
      <c r="L3" s="55">
        <v>12</v>
      </c>
      <c r="M3" s="55" t="s">
        <v>1315</v>
      </c>
      <c r="N3" s="57"/>
      <c r="O3" s="55">
        <v>10</v>
      </c>
      <c r="P3" s="57">
        <v>45280.551712962966</v>
      </c>
      <c r="Q3" s="58" t="b">
        <f>ISERROR(VLOOKUP($B3,'ILR MonitorDistrubution BAFO_V2'!J:J,1,FALSE))</f>
        <v>0</v>
      </c>
      <c r="R3" s="47"/>
    </row>
    <row r="4" spans="2:18" x14ac:dyDescent="0.25">
      <c r="B4" s="55" t="s">
        <v>1110</v>
      </c>
      <c r="C4" s="55" t="s">
        <v>1316</v>
      </c>
      <c r="D4" s="56" t="s">
        <v>1311</v>
      </c>
      <c r="E4" s="56" t="s">
        <v>1312</v>
      </c>
      <c r="F4" s="56" t="s">
        <v>1313</v>
      </c>
      <c r="G4" s="56" t="s">
        <v>1108</v>
      </c>
      <c r="H4" s="55" t="s">
        <v>1317</v>
      </c>
      <c r="I4" s="56" t="s">
        <v>299</v>
      </c>
      <c r="J4" s="56"/>
      <c r="K4" s="57">
        <v>44718</v>
      </c>
      <c r="L4" s="55">
        <v>12</v>
      </c>
      <c r="M4" s="55" t="s">
        <v>1315</v>
      </c>
      <c r="N4" s="57"/>
      <c r="O4" s="55">
        <v>10</v>
      </c>
      <c r="P4" s="57">
        <v>45280.551701388889</v>
      </c>
      <c r="Q4" s="58" t="b">
        <f>ISERROR(VLOOKUP($B4,'ILR MonitorDistrubution BAFO_V2'!J:J,1,FALSE))</f>
        <v>0</v>
      </c>
      <c r="R4" s="47"/>
    </row>
    <row r="5" spans="2:18" x14ac:dyDescent="0.25">
      <c r="B5" s="55" t="s">
        <v>1111</v>
      </c>
      <c r="C5" s="55" t="s">
        <v>1318</v>
      </c>
      <c r="D5" s="56" t="s">
        <v>1311</v>
      </c>
      <c r="E5" s="56" t="s">
        <v>1312</v>
      </c>
      <c r="F5" s="56" t="s">
        <v>1313</v>
      </c>
      <c r="G5" s="56" t="s">
        <v>1108</v>
      </c>
      <c r="H5" s="55" t="s">
        <v>1319</v>
      </c>
      <c r="I5" s="56" t="s">
        <v>299</v>
      </c>
      <c r="J5" s="56"/>
      <c r="K5" s="57">
        <v>44718</v>
      </c>
      <c r="L5" s="55">
        <v>12</v>
      </c>
      <c r="M5" s="55" t="s">
        <v>1315</v>
      </c>
      <c r="N5" s="57"/>
      <c r="O5" s="55">
        <v>10</v>
      </c>
      <c r="P5" s="57">
        <v>45280.551712962966</v>
      </c>
      <c r="Q5" s="58" t="b">
        <f>ISERROR(VLOOKUP($B5,'ILR MonitorDistrubution BAFO_V2'!J:J,1,FALSE))</f>
        <v>0</v>
      </c>
      <c r="R5" s="47"/>
    </row>
    <row r="6" spans="2:18" x14ac:dyDescent="0.25">
      <c r="B6" s="55" t="s">
        <v>1112</v>
      </c>
      <c r="C6" s="55" t="s">
        <v>1320</v>
      </c>
      <c r="D6" s="56" t="s">
        <v>1311</v>
      </c>
      <c r="E6" s="56" t="s">
        <v>1312</v>
      </c>
      <c r="F6" s="56" t="s">
        <v>1313</v>
      </c>
      <c r="G6" s="56" t="s">
        <v>1108</v>
      </c>
      <c r="H6" s="55" t="s">
        <v>1321</v>
      </c>
      <c r="I6" s="56" t="s">
        <v>299</v>
      </c>
      <c r="J6" s="56"/>
      <c r="K6" s="57">
        <v>44718</v>
      </c>
      <c r="L6" s="55">
        <v>12</v>
      </c>
      <c r="M6" s="55" t="s">
        <v>1315</v>
      </c>
      <c r="N6" s="57"/>
      <c r="O6" s="55">
        <v>10</v>
      </c>
      <c r="P6" s="57">
        <v>45280.551736111112</v>
      </c>
      <c r="Q6" s="58" t="b">
        <f>ISERROR(VLOOKUP($B6,'ILR MonitorDistrubution BAFO_V2'!J:J,1,FALSE))</f>
        <v>0</v>
      </c>
      <c r="R6" s="47"/>
    </row>
    <row r="7" spans="2:18" x14ac:dyDescent="0.25">
      <c r="B7" s="55" t="s">
        <v>1113</v>
      </c>
      <c r="C7" s="55" t="s">
        <v>1322</v>
      </c>
      <c r="D7" s="56" t="s">
        <v>1311</v>
      </c>
      <c r="E7" s="56" t="s">
        <v>1312</v>
      </c>
      <c r="F7" s="56" t="s">
        <v>1313</v>
      </c>
      <c r="G7" s="56" t="s">
        <v>1108</v>
      </c>
      <c r="H7" s="55" t="s">
        <v>1323</v>
      </c>
      <c r="I7" s="56" t="s">
        <v>299</v>
      </c>
      <c r="J7" s="56"/>
      <c r="K7" s="57">
        <v>44718</v>
      </c>
      <c r="L7" s="55">
        <v>12</v>
      </c>
      <c r="M7" s="55" t="s">
        <v>1315</v>
      </c>
      <c r="N7" s="57"/>
      <c r="O7" s="55">
        <v>10</v>
      </c>
      <c r="P7" s="57">
        <v>45280.551712962966</v>
      </c>
      <c r="Q7" s="58" t="b">
        <f>ISERROR(VLOOKUP($B7,'ILR MonitorDistrubution BAFO_V2'!J:J,1,FALSE))</f>
        <v>0</v>
      </c>
      <c r="R7" s="47"/>
    </row>
    <row r="8" spans="2:18" x14ac:dyDescent="0.25">
      <c r="B8" s="55" t="s">
        <v>1114</v>
      </c>
      <c r="C8" s="55" t="s">
        <v>1324</v>
      </c>
      <c r="D8" s="56" t="s">
        <v>1311</v>
      </c>
      <c r="E8" s="56" t="s">
        <v>1312</v>
      </c>
      <c r="F8" s="56" t="s">
        <v>1313</v>
      </c>
      <c r="G8" s="56" t="s">
        <v>1108</v>
      </c>
      <c r="H8" s="55" t="s">
        <v>1325</v>
      </c>
      <c r="I8" s="56" t="s">
        <v>299</v>
      </c>
      <c r="J8" s="56"/>
      <c r="K8" s="57">
        <v>44718</v>
      </c>
      <c r="L8" s="55">
        <v>12</v>
      </c>
      <c r="M8" s="55" t="s">
        <v>1315</v>
      </c>
      <c r="N8" s="57"/>
      <c r="O8" s="55">
        <v>10</v>
      </c>
      <c r="P8" s="57">
        <v>45280.551747685182</v>
      </c>
      <c r="Q8" s="58" t="b">
        <f>ISERROR(VLOOKUP($B8,'ILR MonitorDistrubution BAFO_V2'!J:J,1,FALSE))</f>
        <v>0</v>
      </c>
      <c r="R8" s="47"/>
    </row>
    <row r="9" spans="2:18" x14ac:dyDescent="0.25">
      <c r="B9" s="55" t="s">
        <v>1115</v>
      </c>
      <c r="C9" s="55" t="s">
        <v>1326</v>
      </c>
      <c r="D9" s="56" t="s">
        <v>1311</v>
      </c>
      <c r="E9" s="56" t="s">
        <v>1312</v>
      </c>
      <c r="F9" s="56" t="s">
        <v>1313</v>
      </c>
      <c r="G9" s="56" t="s">
        <v>1108</v>
      </c>
      <c r="H9" s="55" t="s">
        <v>1327</v>
      </c>
      <c r="I9" s="56" t="s">
        <v>299</v>
      </c>
      <c r="J9" s="56"/>
      <c r="K9" s="57">
        <v>44718</v>
      </c>
      <c r="L9" s="55">
        <v>12</v>
      </c>
      <c r="M9" s="55" t="s">
        <v>1315</v>
      </c>
      <c r="N9" s="57"/>
      <c r="O9" s="55">
        <v>10</v>
      </c>
      <c r="P9" s="57">
        <v>45280.551712962966</v>
      </c>
      <c r="Q9" s="58" t="b">
        <f>ISERROR(VLOOKUP($B9,'ILR MonitorDistrubution BAFO_V2'!J:J,1,FALSE))</f>
        <v>0</v>
      </c>
      <c r="R9" s="47"/>
    </row>
    <row r="10" spans="2:18" x14ac:dyDescent="0.25">
      <c r="B10" s="55" t="s">
        <v>1116</v>
      </c>
      <c r="C10" s="55" t="s">
        <v>1328</v>
      </c>
      <c r="D10" s="56" t="s">
        <v>1311</v>
      </c>
      <c r="E10" s="56" t="s">
        <v>1312</v>
      </c>
      <c r="F10" s="56" t="s">
        <v>1313</v>
      </c>
      <c r="G10" s="56" t="s">
        <v>1108</v>
      </c>
      <c r="H10" s="55" t="s">
        <v>1329</v>
      </c>
      <c r="I10" s="56" t="s">
        <v>299</v>
      </c>
      <c r="J10" s="56"/>
      <c r="K10" s="57">
        <v>44718</v>
      </c>
      <c r="L10" s="55">
        <v>12</v>
      </c>
      <c r="M10" s="55" t="s">
        <v>1315</v>
      </c>
      <c r="N10" s="57"/>
      <c r="O10" s="55">
        <v>10</v>
      </c>
      <c r="P10" s="57">
        <v>45280.551701388889</v>
      </c>
      <c r="Q10" s="58" t="b">
        <f>ISERROR(VLOOKUP($B10,'ILR MonitorDistrubution BAFO_V2'!J:J,1,FALSE))</f>
        <v>0</v>
      </c>
      <c r="R10" s="47"/>
    </row>
    <row r="11" spans="2:18" x14ac:dyDescent="0.25">
      <c r="B11" s="55" t="s">
        <v>1117</v>
      </c>
      <c r="C11" s="55" t="s">
        <v>1330</v>
      </c>
      <c r="D11" s="56" t="s">
        <v>1311</v>
      </c>
      <c r="E11" s="56" t="s">
        <v>1312</v>
      </c>
      <c r="F11" s="56" t="s">
        <v>1313</v>
      </c>
      <c r="G11" s="56" t="s">
        <v>1108</v>
      </c>
      <c r="H11" s="55" t="s">
        <v>1331</v>
      </c>
      <c r="I11" s="56" t="s">
        <v>299</v>
      </c>
      <c r="J11" s="56"/>
      <c r="K11" s="57">
        <v>44718</v>
      </c>
      <c r="L11" s="55">
        <v>12</v>
      </c>
      <c r="M11" s="55" t="s">
        <v>1315</v>
      </c>
      <c r="N11" s="57"/>
      <c r="O11" s="55">
        <v>10</v>
      </c>
      <c r="P11" s="57">
        <v>45280.551736111112</v>
      </c>
      <c r="Q11" s="58" t="b">
        <f>ISERROR(VLOOKUP($B11,'ILR MonitorDistrubution BAFO_V2'!J:J,1,FALSE))</f>
        <v>0</v>
      </c>
      <c r="R11" s="47"/>
    </row>
    <row r="12" spans="2:18" x14ac:dyDescent="0.25">
      <c r="B12" s="55" t="s">
        <v>1118</v>
      </c>
      <c r="C12" s="55" t="s">
        <v>1332</v>
      </c>
      <c r="D12" s="56" t="s">
        <v>1311</v>
      </c>
      <c r="E12" s="56" t="s">
        <v>1312</v>
      </c>
      <c r="F12" s="56" t="s">
        <v>1313</v>
      </c>
      <c r="G12" s="56" t="s">
        <v>1108</v>
      </c>
      <c r="H12" s="55" t="s">
        <v>1333</v>
      </c>
      <c r="I12" s="56" t="s">
        <v>299</v>
      </c>
      <c r="J12" s="56"/>
      <c r="K12" s="57">
        <v>44718</v>
      </c>
      <c r="L12" s="55">
        <v>12</v>
      </c>
      <c r="M12" s="55" t="s">
        <v>1315</v>
      </c>
      <c r="N12" s="57"/>
      <c r="O12" s="55">
        <v>10</v>
      </c>
      <c r="P12" s="57">
        <v>45280.551701388889</v>
      </c>
      <c r="Q12" s="58" t="b">
        <f>ISERROR(VLOOKUP($B12,'ILR MonitorDistrubution BAFO_V2'!J:J,1,FALSE))</f>
        <v>0</v>
      </c>
      <c r="R12" s="47"/>
    </row>
    <row r="13" spans="2:18" x14ac:dyDescent="0.25">
      <c r="B13" s="55" t="s">
        <v>1119</v>
      </c>
      <c r="C13" s="55" t="s">
        <v>1334</v>
      </c>
      <c r="D13" s="56" t="s">
        <v>1311</v>
      </c>
      <c r="E13" s="56" t="s">
        <v>1312</v>
      </c>
      <c r="F13" s="56" t="s">
        <v>1313</v>
      </c>
      <c r="G13" s="56" t="s">
        <v>1108</v>
      </c>
      <c r="H13" s="55" t="s">
        <v>1335</v>
      </c>
      <c r="I13" s="56" t="s">
        <v>299</v>
      </c>
      <c r="J13" s="56"/>
      <c r="K13" s="57">
        <v>44718</v>
      </c>
      <c r="L13" s="55">
        <v>12</v>
      </c>
      <c r="M13" s="55" t="s">
        <v>1315</v>
      </c>
      <c r="N13" s="57"/>
      <c r="O13" s="55">
        <v>10</v>
      </c>
      <c r="P13" s="57">
        <v>45280.551712962966</v>
      </c>
      <c r="Q13" s="58" t="b">
        <f>ISERROR(VLOOKUP($B13,'ILR MonitorDistrubution BAFO_V2'!J:J,1,FALSE))</f>
        <v>0</v>
      </c>
      <c r="R13" s="47"/>
    </row>
    <row r="14" spans="2:18" x14ac:dyDescent="0.25">
      <c r="B14" s="55" t="s">
        <v>1120</v>
      </c>
      <c r="C14" s="55" t="s">
        <v>1336</v>
      </c>
      <c r="D14" s="56" t="s">
        <v>1311</v>
      </c>
      <c r="E14" s="56" t="s">
        <v>1312</v>
      </c>
      <c r="F14" s="56" t="s">
        <v>1313</v>
      </c>
      <c r="G14" s="56" t="s">
        <v>1108</v>
      </c>
      <c r="H14" s="55" t="s">
        <v>1337</v>
      </c>
      <c r="I14" s="56" t="s">
        <v>299</v>
      </c>
      <c r="J14" s="56"/>
      <c r="K14" s="57">
        <v>44718</v>
      </c>
      <c r="L14" s="55">
        <v>12</v>
      </c>
      <c r="M14" s="55" t="s">
        <v>1315</v>
      </c>
      <c r="N14" s="57"/>
      <c r="O14" s="55">
        <v>0</v>
      </c>
      <c r="P14" s="57">
        <v>45280.551724537036</v>
      </c>
      <c r="Q14" s="58" t="b">
        <f>ISERROR(VLOOKUP($B14,'ILR MonitorDistrubution BAFO_V2'!J:J,1,FALSE))</f>
        <v>0</v>
      </c>
      <c r="R14" s="47"/>
    </row>
    <row r="15" spans="2:18" x14ac:dyDescent="0.25">
      <c r="B15" s="55" t="s">
        <v>1121</v>
      </c>
      <c r="C15" s="55" t="s">
        <v>1338</v>
      </c>
      <c r="D15" s="56" t="s">
        <v>1311</v>
      </c>
      <c r="E15" s="56" t="s">
        <v>1312</v>
      </c>
      <c r="F15" s="56" t="s">
        <v>1313</v>
      </c>
      <c r="G15" s="56" t="s">
        <v>1108</v>
      </c>
      <c r="H15" s="55" t="s">
        <v>1339</v>
      </c>
      <c r="I15" s="56" t="s">
        <v>299</v>
      </c>
      <c r="J15" s="56"/>
      <c r="K15" s="57">
        <v>44718</v>
      </c>
      <c r="L15" s="55">
        <v>12</v>
      </c>
      <c r="M15" s="55" t="s">
        <v>1315</v>
      </c>
      <c r="N15" s="57"/>
      <c r="O15" s="55">
        <v>10</v>
      </c>
      <c r="P15" s="57">
        <v>45280.551712962966</v>
      </c>
      <c r="Q15" s="58" t="b">
        <f>ISERROR(VLOOKUP($B15,'ILR MonitorDistrubution BAFO_V2'!J:J,1,FALSE))</f>
        <v>0</v>
      </c>
      <c r="R15" s="47"/>
    </row>
    <row r="16" spans="2:18" x14ac:dyDescent="0.25">
      <c r="B16" s="55" t="s">
        <v>1251</v>
      </c>
      <c r="C16" s="55" t="s">
        <v>1340</v>
      </c>
      <c r="D16" s="56" t="s">
        <v>1311</v>
      </c>
      <c r="E16" s="56" t="s">
        <v>1341</v>
      </c>
      <c r="F16" s="56" t="s">
        <v>1342</v>
      </c>
      <c r="G16" s="56" t="s">
        <v>1343</v>
      </c>
      <c r="H16" s="55" t="s">
        <v>1344</v>
      </c>
      <c r="I16" s="56" t="s">
        <v>1345</v>
      </c>
      <c r="J16" s="56" t="s">
        <v>1346</v>
      </c>
      <c r="K16" s="57">
        <v>43640</v>
      </c>
      <c r="L16" s="55">
        <v>12</v>
      </c>
      <c r="M16" s="55" t="s">
        <v>1347</v>
      </c>
      <c r="N16" s="57">
        <v>43640</v>
      </c>
      <c r="O16" s="55">
        <v>10</v>
      </c>
      <c r="P16" s="57">
        <v>45135.510289351849</v>
      </c>
      <c r="Q16" s="58" t="b">
        <f>ISERROR(VLOOKUP($B16,'ILR MonitorDistrubution BAFO_V2'!J:J,1,FALSE))</f>
        <v>0</v>
      </c>
      <c r="R16" s="47"/>
    </row>
    <row r="17" spans="2:18" x14ac:dyDescent="0.25">
      <c r="B17" s="55" t="s">
        <v>1252</v>
      </c>
      <c r="C17" s="55" t="s">
        <v>1348</v>
      </c>
      <c r="D17" s="56" t="s">
        <v>1311</v>
      </c>
      <c r="E17" s="56" t="s">
        <v>1341</v>
      </c>
      <c r="F17" s="56" t="s">
        <v>1342</v>
      </c>
      <c r="G17" s="56" t="s">
        <v>1343</v>
      </c>
      <c r="H17" s="55" t="s">
        <v>1349</v>
      </c>
      <c r="I17" s="56" t="s">
        <v>1345</v>
      </c>
      <c r="J17" s="56" t="s">
        <v>1346</v>
      </c>
      <c r="K17" s="57">
        <v>43640</v>
      </c>
      <c r="L17" s="55">
        <v>12</v>
      </c>
      <c r="M17" s="55" t="s">
        <v>1347</v>
      </c>
      <c r="N17" s="57">
        <v>43640</v>
      </c>
      <c r="O17" s="55">
        <v>10</v>
      </c>
      <c r="P17" s="57">
        <v>45135.510289351849</v>
      </c>
      <c r="Q17" s="58" t="b">
        <f>ISERROR(VLOOKUP($B17,'ILR MonitorDistrubution BAFO_V2'!J:J,1,FALSE))</f>
        <v>0</v>
      </c>
      <c r="R17" s="47"/>
    </row>
    <row r="18" spans="2:18" x14ac:dyDescent="0.25">
      <c r="B18" s="55" t="s">
        <v>1253</v>
      </c>
      <c r="C18" s="55" t="s">
        <v>1350</v>
      </c>
      <c r="D18" s="56" t="s">
        <v>1311</v>
      </c>
      <c r="E18" s="56" t="s">
        <v>1341</v>
      </c>
      <c r="F18" s="56" t="s">
        <v>1342</v>
      </c>
      <c r="G18" s="56" t="s">
        <v>1343</v>
      </c>
      <c r="H18" s="55" t="s">
        <v>1351</v>
      </c>
      <c r="I18" s="56" t="s">
        <v>1345</v>
      </c>
      <c r="J18" s="56" t="s">
        <v>1346</v>
      </c>
      <c r="K18" s="57">
        <v>43640</v>
      </c>
      <c r="L18" s="55">
        <v>12</v>
      </c>
      <c r="M18" s="55" t="s">
        <v>1347</v>
      </c>
      <c r="N18" s="57">
        <v>43640</v>
      </c>
      <c r="O18" s="55">
        <v>10</v>
      </c>
      <c r="P18" s="57">
        <v>45135.510289351849</v>
      </c>
      <c r="Q18" s="58" t="b">
        <f>ISERROR(VLOOKUP($B18,'ILR MonitorDistrubution BAFO_V2'!J:J,1,FALSE))</f>
        <v>0</v>
      </c>
      <c r="R18" s="47"/>
    </row>
    <row r="19" spans="2:18" x14ac:dyDescent="0.25">
      <c r="B19" s="55" t="s">
        <v>1254</v>
      </c>
      <c r="C19" s="55" t="s">
        <v>1352</v>
      </c>
      <c r="D19" s="56" t="s">
        <v>1311</v>
      </c>
      <c r="E19" s="56" t="s">
        <v>1341</v>
      </c>
      <c r="F19" s="56" t="s">
        <v>1342</v>
      </c>
      <c r="G19" s="56" t="s">
        <v>1343</v>
      </c>
      <c r="H19" s="55" t="s">
        <v>1353</v>
      </c>
      <c r="I19" s="56" t="s">
        <v>1345</v>
      </c>
      <c r="J19" s="56" t="s">
        <v>1346</v>
      </c>
      <c r="K19" s="57">
        <v>43640</v>
      </c>
      <c r="L19" s="55">
        <v>12</v>
      </c>
      <c r="M19" s="55" t="s">
        <v>1347</v>
      </c>
      <c r="N19" s="57">
        <v>43640</v>
      </c>
      <c r="O19" s="55">
        <v>10</v>
      </c>
      <c r="P19" s="57">
        <v>45135.510289351849</v>
      </c>
      <c r="Q19" s="58" t="b">
        <f>ISERROR(VLOOKUP($B19,'ILR MonitorDistrubution BAFO_V2'!J:J,1,FALSE))</f>
        <v>0</v>
      </c>
      <c r="R19" s="47"/>
    </row>
    <row r="20" spans="2:18" x14ac:dyDescent="0.25">
      <c r="B20" s="55" t="s">
        <v>286</v>
      </c>
      <c r="C20" s="55" t="s">
        <v>1354</v>
      </c>
      <c r="D20" s="56" t="s">
        <v>1311</v>
      </c>
      <c r="E20" s="56" t="s">
        <v>1355</v>
      </c>
      <c r="F20" s="56" t="s">
        <v>1356</v>
      </c>
      <c r="G20" s="56" t="s">
        <v>1357</v>
      </c>
      <c r="H20" s="55" t="s">
        <v>287</v>
      </c>
      <c r="I20" s="56" t="s">
        <v>1358</v>
      </c>
      <c r="J20" s="56"/>
      <c r="K20" s="57">
        <v>42599</v>
      </c>
      <c r="L20" s="55">
        <v>12</v>
      </c>
      <c r="M20" s="55" t="s">
        <v>1359</v>
      </c>
      <c r="N20" s="57">
        <v>42599</v>
      </c>
      <c r="O20" s="55">
        <v>10</v>
      </c>
      <c r="P20" s="57">
        <v>45189.382534722223</v>
      </c>
      <c r="Q20" s="58" t="b">
        <f>ISERROR(VLOOKUP($B20,'ILR MonitorDistrubution BAFO_V2'!J:J,1,FALSE))</f>
        <v>0</v>
      </c>
      <c r="R20" s="47"/>
    </row>
    <row r="21" spans="2:18" x14ac:dyDescent="0.25">
      <c r="B21" s="55" t="s">
        <v>279</v>
      </c>
      <c r="C21" s="55" t="s">
        <v>1360</v>
      </c>
      <c r="D21" s="56" t="s">
        <v>1311</v>
      </c>
      <c r="E21" s="56" t="s">
        <v>1355</v>
      </c>
      <c r="F21" s="56" t="s">
        <v>1356</v>
      </c>
      <c r="G21" s="56" t="s">
        <v>1357</v>
      </c>
      <c r="H21" s="55" t="s">
        <v>281</v>
      </c>
      <c r="I21" s="56" t="s">
        <v>1358</v>
      </c>
      <c r="J21" s="56"/>
      <c r="K21" s="57">
        <v>42599</v>
      </c>
      <c r="L21" s="55">
        <v>12</v>
      </c>
      <c r="M21" s="55" t="s">
        <v>1359</v>
      </c>
      <c r="N21" s="57">
        <v>42599</v>
      </c>
      <c r="O21" s="55">
        <v>10</v>
      </c>
      <c r="P21" s="57">
        <v>45135.513738425929</v>
      </c>
      <c r="Q21" s="58" t="b">
        <f>ISERROR(VLOOKUP($B21,'ILR MonitorDistrubution BAFO_V2'!J:J,1,FALSE))</f>
        <v>0</v>
      </c>
      <c r="R21" s="47"/>
    </row>
    <row r="22" spans="2:18" x14ac:dyDescent="0.25">
      <c r="B22" s="55" t="s">
        <v>283</v>
      </c>
      <c r="C22" s="55" t="s">
        <v>1361</v>
      </c>
      <c r="D22" s="56" t="s">
        <v>1311</v>
      </c>
      <c r="E22" s="56" t="s">
        <v>1355</v>
      </c>
      <c r="F22" s="56" t="s">
        <v>1356</v>
      </c>
      <c r="G22" s="56" t="s">
        <v>1357</v>
      </c>
      <c r="H22" s="55" t="s">
        <v>284</v>
      </c>
      <c r="I22" s="56" t="s">
        <v>1358</v>
      </c>
      <c r="J22" s="56"/>
      <c r="K22" s="57">
        <v>42599</v>
      </c>
      <c r="L22" s="55">
        <v>12</v>
      </c>
      <c r="M22" s="55" t="s">
        <v>1359</v>
      </c>
      <c r="N22" s="57">
        <v>42599</v>
      </c>
      <c r="O22" s="55">
        <v>10</v>
      </c>
      <c r="P22" s="57">
        <v>45135.513738425929</v>
      </c>
      <c r="Q22" s="58" t="b">
        <f>ISERROR(VLOOKUP($B22,'ILR MonitorDistrubution BAFO_V2'!J:J,1,FALSE))</f>
        <v>0</v>
      </c>
      <c r="R22" s="47"/>
    </row>
    <row r="23" spans="2:18" x14ac:dyDescent="0.25">
      <c r="B23" s="55"/>
      <c r="C23" s="55" t="s">
        <v>1362</v>
      </c>
      <c r="D23" s="56" t="s">
        <v>1311</v>
      </c>
      <c r="E23" s="56" t="s">
        <v>1363</v>
      </c>
      <c r="F23" s="56" t="s">
        <v>1364</v>
      </c>
      <c r="G23" s="56" t="s">
        <v>1365</v>
      </c>
      <c r="H23" s="55" t="s">
        <v>1366</v>
      </c>
      <c r="I23" s="56" t="s">
        <v>1345</v>
      </c>
      <c r="J23" s="56" t="s">
        <v>1367</v>
      </c>
      <c r="K23" s="57">
        <v>43640</v>
      </c>
      <c r="L23" s="55">
        <v>0</v>
      </c>
      <c r="M23" s="55" t="s">
        <v>1347</v>
      </c>
      <c r="N23" s="57">
        <v>43640</v>
      </c>
      <c r="O23" s="55">
        <v>10</v>
      </c>
      <c r="P23" s="57">
        <v>45135.510300925926</v>
      </c>
      <c r="Q23" s="58" t="b">
        <f>ISERROR(VLOOKUP($B23,'ILR MonitorDistrubution BAFO_V2'!J:J,1,FALSE))</f>
        <v>1</v>
      </c>
      <c r="R23" s="47"/>
    </row>
    <row r="24" spans="2:18" x14ac:dyDescent="0.25">
      <c r="B24" s="55" t="s">
        <v>273</v>
      </c>
      <c r="C24" s="55" t="s">
        <v>1368</v>
      </c>
      <c r="D24" s="56" t="s">
        <v>1311</v>
      </c>
      <c r="E24" s="56" t="s">
        <v>1369</v>
      </c>
      <c r="F24" s="56" t="s">
        <v>1370</v>
      </c>
      <c r="G24" s="56" t="s">
        <v>1357</v>
      </c>
      <c r="H24" s="55" t="s">
        <v>274</v>
      </c>
      <c r="I24" s="56" t="s">
        <v>275</v>
      </c>
      <c r="J24" s="56"/>
      <c r="K24" s="57">
        <v>42124</v>
      </c>
      <c r="L24" s="55">
        <v>12</v>
      </c>
      <c r="M24" s="55" t="s">
        <v>1359</v>
      </c>
      <c r="N24" s="57">
        <v>42124</v>
      </c>
      <c r="O24" s="55">
        <v>10</v>
      </c>
      <c r="P24" s="57">
        <v>45135.513773148145</v>
      </c>
      <c r="Q24" s="58" t="b">
        <f>ISERROR(VLOOKUP($B24,'ILR MonitorDistrubution BAFO_V2'!J:J,1,FALSE))</f>
        <v>0</v>
      </c>
      <c r="R24" s="47"/>
    </row>
    <row r="25" spans="2:18" x14ac:dyDescent="0.25">
      <c r="B25" s="55" t="s">
        <v>253</v>
      </c>
      <c r="C25" s="55" t="s">
        <v>1371</v>
      </c>
      <c r="D25" s="56" t="s">
        <v>1311</v>
      </c>
      <c r="E25" s="56" t="s">
        <v>1369</v>
      </c>
      <c r="F25" s="56" t="s">
        <v>1370</v>
      </c>
      <c r="G25" s="56" t="s">
        <v>1357</v>
      </c>
      <c r="H25" s="55" t="s">
        <v>254</v>
      </c>
      <c r="I25" s="56" t="s">
        <v>275</v>
      </c>
      <c r="J25" s="56" t="s">
        <v>1372</v>
      </c>
      <c r="K25" s="57">
        <v>42599</v>
      </c>
      <c r="L25" s="55">
        <v>12</v>
      </c>
      <c r="M25" s="55" t="s">
        <v>1359</v>
      </c>
      <c r="N25" s="57">
        <v>42599</v>
      </c>
      <c r="O25" s="55">
        <v>10</v>
      </c>
      <c r="P25" s="57">
        <v>45135.513738425929</v>
      </c>
      <c r="Q25" s="58" t="b">
        <f>ISERROR(VLOOKUP($B25,'ILR MonitorDistrubution BAFO_V2'!J:J,1,FALSE))</f>
        <v>0</v>
      </c>
      <c r="R25" s="47"/>
    </row>
    <row r="26" spans="2:18" x14ac:dyDescent="0.25">
      <c r="B26" s="55" t="s">
        <v>249</v>
      </c>
      <c r="C26" s="55" t="s">
        <v>1373</v>
      </c>
      <c r="D26" s="56" t="s">
        <v>1311</v>
      </c>
      <c r="E26" s="56" t="s">
        <v>1369</v>
      </c>
      <c r="F26" s="56" t="s">
        <v>1370</v>
      </c>
      <c r="G26" s="56" t="s">
        <v>1357</v>
      </c>
      <c r="H26" s="55" t="s">
        <v>250</v>
      </c>
      <c r="I26" s="56" t="s">
        <v>275</v>
      </c>
      <c r="J26" s="56" t="s">
        <v>1372</v>
      </c>
      <c r="K26" s="57">
        <v>42599</v>
      </c>
      <c r="L26" s="55">
        <v>12</v>
      </c>
      <c r="M26" s="55" t="s">
        <v>1359</v>
      </c>
      <c r="N26" s="57">
        <v>42599</v>
      </c>
      <c r="O26" s="55">
        <v>10</v>
      </c>
      <c r="P26" s="57">
        <v>45135.513738425929</v>
      </c>
      <c r="Q26" s="58" t="b">
        <f>ISERROR(VLOOKUP($B26,'ILR MonitorDistrubution BAFO_V2'!J:J,1,FALSE))</f>
        <v>0</v>
      </c>
      <c r="R26" s="47"/>
    </row>
    <row r="27" spans="2:18" x14ac:dyDescent="0.25">
      <c r="B27" s="55" t="s">
        <v>1048</v>
      </c>
      <c r="C27" s="55" t="s">
        <v>1374</v>
      </c>
      <c r="D27" s="56" t="s">
        <v>1311</v>
      </c>
      <c r="E27" s="56" t="s">
        <v>1369</v>
      </c>
      <c r="F27" s="56" t="s">
        <v>1370</v>
      </c>
      <c r="G27" s="56" t="s">
        <v>1357</v>
      </c>
      <c r="H27" s="55" t="s">
        <v>1375</v>
      </c>
      <c r="I27" s="56" t="s">
        <v>113</v>
      </c>
      <c r="J27" s="56" t="s">
        <v>1372</v>
      </c>
      <c r="K27" s="57">
        <v>42599</v>
      </c>
      <c r="L27" s="55">
        <v>12</v>
      </c>
      <c r="M27" s="55" t="s">
        <v>1315</v>
      </c>
      <c r="N27" s="57">
        <v>42599</v>
      </c>
      <c r="O27" s="55">
        <v>10</v>
      </c>
      <c r="P27" s="57">
        <v>45135.513749999998</v>
      </c>
      <c r="Q27" s="58" t="b">
        <f>ISERROR(VLOOKUP($B27,'ILR MonitorDistrubution BAFO_V2'!J:J,1,FALSE))</f>
        <v>0</v>
      </c>
      <c r="R27" s="47"/>
    </row>
    <row r="28" spans="2:18" x14ac:dyDescent="0.25">
      <c r="B28" s="55" t="s">
        <v>256</v>
      </c>
      <c r="C28" s="55" t="s">
        <v>1376</v>
      </c>
      <c r="D28" s="56" t="s">
        <v>1311</v>
      </c>
      <c r="E28" s="56" t="s">
        <v>1369</v>
      </c>
      <c r="F28" s="56" t="s">
        <v>1370</v>
      </c>
      <c r="G28" s="56" t="s">
        <v>1357</v>
      </c>
      <c r="H28" s="55" t="s">
        <v>257</v>
      </c>
      <c r="I28" s="56" t="s">
        <v>275</v>
      </c>
      <c r="J28" s="56" t="s">
        <v>1372</v>
      </c>
      <c r="K28" s="57">
        <v>42599</v>
      </c>
      <c r="L28" s="55">
        <v>12</v>
      </c>
      <c r="M28" s="55" t="s">
        <v>1359</v>
      </c>
      <c r="N28" s="57">
        <v>42599</v>
      </c>
      <c r="O28" s="55">
        <v>10</v>
      </c>
      <c r="P28" s="57">
        <v>45135.513749999998</v>
      </c>
      <c r="Q28" s="58" t="b">
        <f>ISERROR(VLOOKUP($B28,'ILR MonitorDistrubution BAFO_V2'!J:J,1,FALSE))</f>
        <v>0</v>
      </c>
      <c r="R28" s="47"/>
    </row>
    <row r="29" spans="2:18" x14ac:dyDescent="0.25">
      <c r="B29" s="55" t="s">
        <v>271</v>
      </c>
      <c r="C29" s="55" t="s">
        <v>1377</v>
      </c>
      <c r="D29" s="56" t="s">
        <v>1311</v>
      </c>
      <c r="E29" s="56" t="s">
        <v>1369</v>
      </c>
      <c r="F29" s="56" t="s">
        <v>1370</v>
      </c>
      <c r="G29" s="56" t="s">
        <v>1357</v>
      </c>
      <c r="H29" s="55" t="s">
        <v>272</v>
      </c>
      <c r="I29" s="56" t="s">
        <v>275</v>
      </c>
      <c r="J29" s="56" t="s">
        <v>1372</v>
      </c>
      <c r="K29" s="57">
        <v>42599</v>
      </c>
      <c r="L29" s="55">
        <v>12</v>
      </c>
      <c r="M29" s="55" t="s">
        <v>1359</v>
      </c>
      <c r="N29" s="57">
        <v>42599</v>
      </c>
      <c r="O29" s="55">
        <v>10</v>
      </c>
      <c r="P29" s="57">
        <v>45135.513749999998</v>
      </c>
      <c r="Q29" s="58" t="b">
        <f>ISERROR(VLOOKUP($B29,'ILR MonitorDistrubution BAFO_V2'!J:J,1,FALSE))</f>
        <v>0</v>
      </c>
      <c r="R29" s="47"/>
    </row>
    <row r="30" spans="2:18" x14ac:dyDescent="0.25">
      <c r="B30" s="55" t="s">
        <v>259</v>
      </c>
      <c r="C30" s="55" t="s">
        <v>1378</v>
      </c>
      <c r="D30" s="56" t="s">
        <v>1311</v>
      </c>
      <c r="E30" s="56" t="s">
        <v>1369</v>
      </c>
      <c r="F30" s="56" t="s">
        <v>1370</v>
      </c>
      <c r="G30" s="56" t="s">
        <v>1357</v>
      </c>
      <c r="H30" s="55" t="s">
        <v>260</v>
      </c>
      <c r="I30" s="56" t="s">
        <v>275</v>
      </c>
      <c r="J30" s="56" t="s">
        <v>1372</v>
      </c>
      <c r="K30" s="57">
        <v>42599</v>
      </c>
      <c r="L30" s="55">
        <v>12</v>
      </c>
      <c r="M30" s="55" t="s">
        <v>1359</v>
      </c>
      <c r="N30" s="57">
        <v>42599</v>
      </c>
      <c r="O30" s="55">
        <v>10</v>
      </c>
      <c r="P30" s="57">
        <v>45135.513749999998</v>
      </c>
      <c r="Q30" s="58" t="b">
        <f>ISERROR(VLOOKUP($B30,'ILR MonitorDistrubution BAFO_V2'!J:J,1,FALSE))</f>
        <v>0</v>
      </c>
      <c r="R30" s="47"/>
    </row>
    <row r="31" spans="2:18" x14ac:dyDescent="0.25">
      <c r="B31" s="55" t="s">
        <v>1049</v>
      </c>
      <c r="C31" s="55" t="s">
        <v>1379</v>
      </c>
      <c r="D31" s="56" t="s">
        <v>1311</v>
      </c>
      <c r="E31" s="56" t="s">
        <v>1369</v>
      </c>
      <c r="F31" s="56" t="s">
        <v>1370</v>
      </c>
      <c r="G31" s="56" t="s">
        <v>1357</v>
      </c>
      <c r="H31" s="55" t="s">
        <v>1380</v>
      </c>
      <c r="I31" s="56" t="s">
        <v>1381</v>
      </c>
      <c r="J31" s="56" t="s">
        <v>1382</v>
      </c>
      <c r="K31" s="57">
        <v>44006</v>
      </c>
      <c r="L31" s="55">
        <v>12</v>
      </c>
      <c r="M31" s="55" t="s">
        <v>1315</v>
      </c>
      <c r="N31" s="57">
        <v>44007</v>
      </c>
      <c r="O31" s="55">
        <v>10</v>
      </c>
      <c r="P31" s="57">
        <v>45135.513287037036</v>
      </c>
      <c r="Q31" s="58" t="b">
        <f>ISERROR(VLOOKUP($B31,'ILR MonitorDistrubution BAFO_V2'!J:J,1,FALSE))</f>
        <v>0</v>
      </c>
      <c r="R31" s="47"/>
    </row>
    <row r="32" spans="2:18" x14ac:dyDescent="0.25">
      <c r="B32" s="55" t="s">
        <v>1050</v>
      </c>
      <c r="C32" s="55" t="s">
        <v>1383</v>
      </c>
      <c r="D32" s="56" t="s">
        <v>1311</v>
      </c>
      <c r="E32" s="56" t="s">
        <v>1369</v>
      </c>
      <c r="F32" s="56" t="s">
        <v>1370</v>
      </c>
      <c r="G32" s="56" t="s">
        <v>1357</v>
      </c>
      <c r="H32" s="55" t="s">
        <v>1384</v>
      </c>
      <c r="I32" s="56" t="s">
        <v>1385</v>
      </c>
      <c r="J32" s="56" t="s">
        <v>1382</v>
      </c>
      <c r="K32" s="57">
        <v>44006</v>
      </c>
      <c r="L32" s="55">
        <v>12</v>
      </c>
      <c r="M32" s="55" t="s">
        <v>1315</v>
      </c>
      <c r="N32" s="57">
        <v>44007</v>
      </c>
      <c r="O32" s="55">
        <v>10</v>
      </c>
      <c r="P32" s="57">
        <v>45135.513287037036</v>
      </c>
      <c r="Q32" s="58" t="b">
        <f>ISERROR(VLOOKUP($B32,'ILR MonitorDistrubution BAFO_V2'!J:J,1,FALSE))</f>
        <v>0</v>
      </c>
      <c r="R32" s="47"/>
    </row>
    <row r="33" spans="2:18" x14ac:dyDescent="0.25">
      <c r="B33" s="55" t="s">
        <v>1051</v>
      </c>
      <c r="C33" s="55" t="s">
        <v>1386</v>
      </c>
      <c r="D33" s="56" t="s">
        <v>1311</v>
      </c>
      <c r="E33" s="56" t="s">
        <v>1369</v>
      </c>
      <c r="F33" s="56" t="s">
        <v>1370</v>
      </c>
      <c r="G33" s="56" t="s">
        <v>1357</v>
      </c>
      <c r="H33" s="55" t="s">
        <v>1387</v>
      </c>
      <c r="I33" s="56" t="s">
        <v>1388</v>
      </c>
      <c r="J33" s="56" t="s">
        <v>1382</v>
      </c>
      <c r="K33" s="57">
        <v>44006</v>
      </c>
      <c r="L33" s="55">
        <v>12</v>
      </c>
      <c r="M33" s="55" t="s">
        <v>1315</v>
      </c>
      <c r="N33" s="57">
        <v>44007</v>
      </c>
      <c r="O33" s="55">
        <v>10</v>
      </c>
      <c r="P33" s="57">
        <v>45205.614247685182</v>
      </c>
      <c r="Q33" s="58" t="b">
        <f>ISERROR(VLOOKUP($B33,'ILR MonitorDistrubution BAFO_V2'!J:J,1,FALSE))</f>
        <v>0</v>
      </c>
      <c r="R33" s="47"/>
    </row>
    <row r="34" spans="2:18" x14ac:dyDescent="0.25">
      <c r="B34" s="55" t="s">
        <v>1052</v>
      </c>
      <c r="C34" s="55" t="s">
        <v>1389</v>
      </c>
      <c r="D34" s="56" t="s">
        <v>1311</v>
      </c>
      <c r="E34" s="56" t="s">
        <v>1369</v>
      </c>
      <c r="F34" s="56" t="s">
        <v>1370</v>
      </c>
      <c r="G34" s="56" t="s">
        <v>1357</v>
      </c>
      <c r="H34" s="55" t="s">
        <v>1390</v>
      </c>
      <c r="I34" s="56" t="s">
        <v>1385</v>
      </c>
      <c r="J34" s="56" t="s">
        <v>1382</v>
      </c>
      <c r="K34" s="57">
        <v>44006</v>
      </c>
      <c r="L34" s="55">
        <v>12</v>
      </c>
      <c r="M34" s="55" t="s">
        <v>1315</v>
      </c>
      <c r="N34" s="57">
        <v>44007</v>
      </c>
      <c r="O34" s="55">
        <v>10</v>
      </c>
      <c r="P34" s="57">
        <v>45135.513287037036</v>
      </c>
      <c r="Q34" s="58" t="b">
        <f>ISERROR(VLOOKUP($B34,'ILR MonitorDistrubution BAFO_V2'!J:J,1,FALSE))</f>
        <v>0</v>
      </c>
      <c r="R34" s="47"/>
    </row>
    <row r="35" spans="2:18" x14ac:dyDescent="0.25">
      <c r="B35" s="55" t="s">
        <v>1053</v>
      </c>
      <c r="C35" s="55" t="s">
        <v>1391</v>
      </c>
      <c r="D35" s="56" t="s">
        <v>1311</v>
      </c>
      <c r="E35" s="56" t="s">
        <v>1369</v>
      </c>
      <c r="F35" s="56" t="s">
        <v>1370</v>
      </c>
      <c r="G35" s="56" t="s">
        <v>1357</v>
      </c>
      <c r="H35" s="55" t="s">
        <v>1392</v>
      </c>
      <c r="I35" s="56" t="s">
        <v>1385</v>
      </c>
      <c r="J35" s="56" t="s">
        <v>1382</v>
      </c>
      <c r="K35" s="57">
        <v>44006</v>
      </c>
      <c r="L35" s="55">
        <v>12</v>
      </c>
      <c r="M35" s="55" t="s">
        <v>1315</v>
      </c>
      <c r="N35" s="57">
        <v>44007</v>
      </c>
      <c r="O35" s="55">
        <v>10</v>
      </c>
      <c r="P35" s="57">
        <v>45135.513287037036</v>
      </c>
      <c r="Q35" s="58" t="b">
        <f>ISERROR(VLOOKUP($B35,'ILR MonitorDistrubution BAFO_V2'!J:J,1,FALSE))</f>
        <v>0</v>
      </c>
      <c r="R35" s="47"/>
    </row>
    <row r="36" spans="2:18" x14ac:dyDescent="0.25">
      <c r="B36" s="55" t="s">
        <v>1054</v>
      </c>
      <c r="C36" s="55" t="s">
        <v>1393</v>
      </c>
      <c r="D36" s="56" t="s">
        <v>1311</v>
      </c>
      <c r="E36" s="56" t="s">
        <v>1369</v>
      </c>
      <c r="F36" s="56" t="s">
        <v>1370</v>
      </c>
      <c r="G36" s="56" t="s">
        <v>1357</v>
      </c>
      <c r="H36" s="55" t="s">
        <v>1394</v>
      </c>
      <c r="I36" s="56" t="s">
        <v>1395</v>
      </c>
      <c r="J36" s="56" t="s">
        <v>1382</v>
      </c>
      <c r="K36" s="57">
        <v>44006</v>
      </c>
      <c r="L36" s="55">
        <v>12</v>
      </c>
      <c r="M36" s="55" t="s">
        <v>1315</v>
      </c>
      <c r="N36" s="57">
        <v>44007</v>
      </c>
      <c r="O36" s="55">
        <v>10</v>
      </c>
      <c r="P36" s="57">
        <v>45205.615335648145</v>
      </c>
      <c r="Q36" s="58" t="b">
        <f>ISERROR(VLOOKUP($B36,'ILR MonitorDistrubution BAFO_V2'!J:J,1,FALSE))</f>
        <v>0</v>
      </c>
      <c r="R36" s="47"/>
    </row>
    <row r="37" spans="2:18" x14ac:dyDescent="0.25">
      <c r="B37" s="55" t="s">
        <v>193</v>
      </c>
      <c r="C37" s="55" t="s">
        <v>1396</v>
      </c>
      <c r="D37" s="56" t="s">
        <v>1311</v>
      </c>
      <c r="E37" s="56" t="s">
        <v>1369</v>
      </c>
      <c r="F37" s="56" t="s">
        <v>1370</v>
      </c>
      <c r="G37" s="56" t="s">
        <v>1357</v>
      </c>
      <c r="H37" s="55" t="s">
        <v>195</v>
      </c>
      <c r="I37" s="56" t="s">
        <v>1345</v>
      </c>
      <c r="J37" s="56" t="s">
        <v>1372</v>
      </c>
      <c r="K37" s="57">
        <v>43640</v>
      </c>
      <c r="L37" s="55">
        <v>12</v>
      </c>
      <c r="M37" s="55" t="s">
        <v>1347</v>
      </c>
      <c r="N37" s="57">
        <v>43640</v>
      </c>
      <c r="O37" s="55">
        <v>10</v>
      </c>
      <c r="P37" s="57">
        <v>45135.51326388889</v>
      </c>
      <c r="Q37" s="58" t="b">
        <f>ISERROR(VLOOKUP($B37,'ILR MonitorDistrubution BAFO_V2'!J:J,1,FALSE))</f>
        <v>0</v>
      </c>
      <c r="R37" s="47"/>
    </row>
    <row r="38" spans="2:18" x14ac:dyDescent="0.25">
      <c r="B38" s="55" t="s">
        <v>1032</v>
      </c>
      <c r="C38" s="55" t="s">
        <v>1397</v>
      </c>
      <c r="D38" s="56" t="s">
        <v>1311</v>
      </c>
      <c r="E38" s="56" t="s">
        <v>1369</v>
      </c>
      <c r="F38" s="56" t="s">
        <v>1370</v>
      </c>
      <c r="G38" s="56" t="s">
        <v>1357</v>
      </c>
      <c r="H38" s="55" t="s">
        <v>1398</v>
      </c>
      <c r="I38" s="56" t="s">
        <v>1399</v>
      </c>
      <c r="J38" s="56" t="s">
        <v>1382</v>
      </c>
      <c r="K38" s="57">
        <v>44006</v>
      </c>
      <c r="L38" s="55">
        <v>12</v>
      </c>
      <c r="M38" s="55" t="s">
        <v>1315</v>
      </c>
      <c r="N38" s="57">
        <v>44006</v>
      </c>
      <c r="O38" s="55">
        <v>10</v>
      </c>
      <c r="P38" s="57">
        <v>45243.432037037041</v>
      </c>
      <c r="Q38" s="58" t="b">
        <f>ISERROR(VLOOKUP($B38,'ILR MonitorDistrubution BAFO_V2'!J:J,1,FALSE))</f>
        <v>0</v>
      </c>
      <c r="R38" s="47"/>
    </row>
    <row r="39" spans="2:18" x14ac:dyDescent="0.25">
      <c r="B39" s="55" t="s">
        <v>1055</v>
      </c>
      <c r="C39" s="55" t="s">
        <v>1400</v>
      </c>
      <c r="D39" s="56" t="s">
        <v>1311</v>
      </c>
      <c r="E39" s="56" t="s">
        <v>1369</v>
      </c>
      <c r="F39" s="56" t="s">
        <v>1370</v>
      </c>
      <c r="G39" s="56" t="s">
        <v>1357</v>
      </c>
      <c r="H39" s="55" t="s">
        <v>1401</v>
      </c>
      <c r="I39" s="56" t="s">
        <v>1385</v>
      </c>
      <c r="J39" s="56" t="s">
        <v>1382</v>
      </c>
      <c r="K39" s="57">
        <v>44006</v>
      </c>
      <c r="L39" s="55">
        <v>12</v>
      </c>
      <c r="M39" s="55" t="s">
        <v>1315</v>
      </c>
      <c r="N39" s="57">
        <v>44006</v>
      </c>
      <c r="O39" s="55">
        <v>10</v>
      </c>
      <c r="P39" s="57">
        <v>45135.513472222221</v>
      </c>
      <c r="Q39" s="58" t="b">
        <f>ISERROR(VLOOKUP($B39,'ILR MonitorDistrubution BAFO_V2'!J:J,1,FALSE))</f>
        <v>0</v>
      </c>
      <c r="R39" s="47"/>
    </row>
    <row r="40" spans="2:18" x14ac:dyDescent="0.25">
      <c r="B40" s="55" t="s">
        <v>1056</v>
      </c>
      <c r="C40" s="55" t="s">
        <v>1402</v>
      </c>
      <c r="D40" s="56" t="s">
        <v>1311</v>
      </c>
      <c r="E40" s="56" t="s">
        <v>1369</v>
      </c>
      <c r="F40" s="56" t="s">
        <v>1370</v>
      </c>
      <c r="G40" s="56" t="s">
        <v>1357</v>
      </c>
      <c r="H40" s="55" t="s">
        <v>1403</v>
      </c>
      <c r="I40" s="56" t="s">
        <v>1404</v>
      </c>
      <c r="J40" s="56" t="s">
        <v>1382</v>
      </c>
      <c r="K40" s="57">
        <v>44006</v>
      </c>
      <c r="L40" s="55">
        <v>12</v>
      </c>
      <c r="M40" s="55" t="s">
        <v>1359</v>
      </c>
      <c r="N40" s="57">
        <v>44006</v>
      </c>
      <c r="O40" s="55">
        <v>10</v>
      </c>
      <c r="P40" s="57">
        <v>45135.513483796298</v>
      </c>
      <c r="Q40" s="58" t="b">
        <f>ISERROR(VLOOKUP($B40,'ILR MonitorDistrubution BAFO_V2'!J:J,1,FALSE))</f>
        <v>0</v>
      </c>
      <c r="R40" s="47"/>
    </row>
    <row r="41" spans="2:18" x14ac:dyDescent="0.25">
      <c r="B41" s="55" t="s">
        <v>1057</v>
      </c>
      <c r="C41" s="55" t="s">
        <v>1405</v>
      </c>
      <c r="D41" s="56" t="s">
        <v>1311</v>
      </c>
      <c r="E41" s="56" t="s">
        <v>1369</v>
      </c>
      <c r="F41" s="56" t="s">
        <v>1370</v>
      </c>
      <c r="G41" s="56" t="s">
        <v>1357</v>
      </c>
      <c r="H41" s="55" t="s">
        <v>1406</v>
      </c>
      <c r="I41" s="56" t="s">
        <v>1385</v>
      </c>
      <c r="J41" s="56" t="s">
        <v>1382</v>
      </c>
      <c r="K41" s="57">
        <v>44006</v>
      </c>
      <c r="L41" s="55">
        <v>12</v>
      </c>
      <c r="M41" s="55" t="s">
        <v>1315</v>
      </c>
      <c r="N41" s="57">
        <v>44006</v>
      </c>
      <c r="O41" s="55">
        <v>10</v>
      </c>
      <c r="P41" s="57">
        <v>45135.513483796298</v>
      </c>
      <c r="Q41" s="58" t="b">
        <f>ISERROR(VLOOKUP($B41,'ILR MonitorDistrubution BAFO_V2'!J:J,1,FALSE))</f>
        <v>0</v>
      </c>
      <c r="R41" s="47"/>
    </row>
    <row r="42" spans="2:18" x14ac:dyDescent="0.25">
      <c r="B42" s="55" t="s">
        <v>376</v>
      </c>
      <c r="C42" s="55" t="s">
        <v>1407</v>
      </c>
      <c r="D42" s="56" t="s">
        <v>1311</v>
      </c>
      <c r="E42" s="56" t="s">
        <v>1369</v>
      </c>
      <c r="F42" s="56" t="s">
        <v>1370</v>
      </c>
      <c r="G42" s="56" t="s">
        <v>1357</v>
      </c>
      <c r="H42" s="55" t="s">
        <v>1408</v>
      </c>
      <c r="I42" s="56" t="s">
        <v>1381</v>
      </c>
      <c r="J42" s="56"/>
      <c r="K42" s="57">
        <v>44327</v>
      </c>
      <c r="L42" s="55">
        <v>12</v>
      </c>
      <c r="M42" s="55" t="s">
        <v>1315</v>
      </c>
      <c r="N42" s="57">
        <v>44327</v>
      </c>
      <c r="O42" s="55">
        <v>10</v>
      </c>
      <c r="P42" s="57">
        <v>45135.513518518521</v>
      </c>
      <c r="Q42" s="58" t="b">
        <f>ISERROR(VLOOKUP($B42,'ILR MonitorDistrubution BAFO_V2'!J:J,1,FALSE))</f>
        <v>0</v>
      </c>
      <c r="R42" s="47"/>
    </row>
    <row r="43" spans="2:18" x14ac:dyDescent="0.25">
      <c r="B43" s="55" t="s">
        <v>304</v>
      </c>
      <c r="C43" s="55" t="s">
        <v>1409</v>
      </c>
      <c r="D43" s="56" t="s">
        <v>1311</v>
      </c>
      <c r="E43" s="56" t="s">
        <v>1369</v>
      </c>
      <c r="F43" s="56" t="s">
        <v>1370</v>
      </c>
      <c r="G43" s="56" t="s">
        <v>1357</v>
      </c>
      <c r="H43" s="55" t="s">
        <v>1410</v>
      </c>
      <c r="I43" s="56" t="s">
        <v>1381</v>
      </c>
      <c r="J43" s="56"/>
      <c r="K43" s="57">
        <v>44327</v>
      </c>
      <c r="L43" s="55">
        <v>12</v>
      </c>
      <c r="M43" s="55" t="s">
        <v>1315</v>
      </c>
      <c r="N43" s="57">
        <v>44327</v>
      </c>
      <c r="O43" s="55">
        <v>10</v>
      </c>
      <c r="P43" s="57">
        <v>45135.513518518521</v>
      </c>
      <c r="Q43" s="58" t="b">
        <f>ISERROR(VLOOKUP($B43,'ILR MonitorDistrubution BAFO_V2'!J:J,1,FALSE))</f>
        <v>0</v>
      </c>
      <c r="R43" s="47"/>
    </row>
    <row r="44" spans="2:18" x14ac:dyDescent="0.25">
      <c r="B44" s="55" t="s">
        <v>302</v>
      </c>
      <c r="C44" s="55" t="s">
        <v>1411</v>
      </c>
      <c r="D44" s="56" t="s">
        <v>1311</v>
      </c>
      <c r="E44" s="56" t="s">
        <v>1369</v>
      </c>
      <c r="F44" s="56" t="s">
        <v>1370</v>
      </c>
      <c r="G44" s="56" t="s">
        <v>1357</v>
      </c>
      <c r="H44" s="55" t="s">
        <v>1412</v>
      </c>
      <c r="I44" s="56" t="s">
        <v>1381</v>
      </c>
      <c r="J44" s="56"/>
      <c r="K44" s="57">
        <v>44327</v>
      </c>
      <c r="L44" s="55">
        <v>12</v>
      </c>
      <c r="M44" s="55" t="s">
        <v>1315</v>
      </c>
      <c r="N44" s="57">
        <v>44327</v>
      </c>
      <c r="O44" s="55">
        <v>10</v>
      </c>
      <c r="P44" s="57">
        <v>45135.513541666667</v>
      </c>
      <c r="Q44" s="58" t="b">
        <f>ISERROR(VLOOKUP($B44,'ILR MonitorDistrubution BAFO_V2'!J:J,1,FALSE))</f>
        <v>0</v>
      </c>
      <c r="R44" s="47"/>
    </row>
    <row r="45" spans="2:18" x14ac:dyDescent="0.25">
      <c r="B45" s="55" t="s">
        <v>392</v>
      </c>
      <c r="C45" s="55" t="s">
        <v>1413</v>
      </c>
      <c r="D45" s="56" t="s">
        <v>1311</v>
      </c>
      <c r="E45" s="56" t="s">
        <v>1369</v>
      </c>
      <c r="F45" s="56" t="s">
        <v>1370</v>
      </c>
      <c r="G45" s="56" t="s">
        <v>1357</v>
      </c>
      <c r="H45" s="55" t="s">
        <v>1414</v>
      </c>
      <c r="I45" s="56" t="s">
        <v>1415</v>
      </c>
      <c r="J45" s="56" t="s">
        <v>1382</v>
      </c>
      <c r="K45" s="57">
        <v>44033</v>
      </c>
      <c r="L45" s="55">
        <v>12</v>
      </c>
      <c r="M45" s="55" t="s">
        <v>1315</v>
      </c>
      <c r="N45" s="57">
        <v>44033</v>
      </c>
      <c r="O45" s="55">
        <v>10</v>
      </c>
      <c r="P45" s="57">
        <v>45135.513460648152</v>
      </c>
      <c r="Q45" s="58" t="b">
        <f>ISERROR(VLOOKUP($B45,'ILR MonitorDistrubution BAFO_V2'!J:J,1,FALSE))</f>
        <v>0</v>
      </c>
      <c r="R45" s="47"/>
    </row>
    <row r="46" spans="2:18" x14ac:dyDescent="0.25">
      <c r="B46" s="55" t="s">
        <v>381</v>
      </c>
      <c r="C46" s="55" t="s">
        <v>1416</v>
      </c>
      <c r="D46" s="56" t="s">
        <v>1311</v>
      </c>
      <c r="E46" s="56" t="s">
        <v>1369</v>
      </c>
      <c r="F46" s="56" t="s">
        <v>1370</v>
      </c>
      <c r="G46" s="56" t="s">
        <v>1357</v>
      </c>
      <c r="H46" s="55" t="s">
        <v>1417</v>
      </c>
      <c r="I46" s="56" t="s">
        <v>1415</v>
      </c>
      <c r="J46" s="56" t="s">
        <v>1382</v>
      </c>
      <c r="K46" s="57">
        <v>44033</v>
      </c>
      <c r="L46" s="55">
        <v>12</v>
      </c>
      <c r="M46" s="55" t="s">
        <v>1315</v>
      </c>
      <c r="N46" s="57">
        <v>44033</v>
      </c>
      <c r="O46" s="55">
        <v>10</v>
      </c>
      <c r="P46" s="57">
        <v>45135.513460648152</v>
      </c>
      <c r="Q46" s="58" t="b">
        <f>ISERROR(VLOOKUP($B46,'ILR MonitorDistrubution BAFO_V2'!J:J,1,FALSE))</f>
        <v>0</v>
      </c>
      <c r="R46" s="47"/>
    </row>
    <row r="47" spans="2:18" x14ac:dyDescent="0.25">
      <c r="B47" s="55" t="s">
        <v>386</v>
      </c>
      <c r="C47" s="55" t="s">
        <v>1418</v>
      </c>
      <c r="D47" s="56" t="s">
        <v>1311</v>
      </c>
      <c r="E47" s="56" t="s">
        <v>1369</v>
      </c>
      <c r="F47" s="56" t="s">
        <v>1370</v>
      </c>
      <c r="G47" s="56" t="s">
        <v>1357</v>
      </c>
      <c r="H47" s="55" t="s">
        <v>1419</v>
      </c>
      <c r="I47" s="56" t="s">
        <v>1420</v>
      </c>
      <c r="J47" s="56" t="s">
        <v>1382</v>
      </c>
      <c r="K47" s="57">
        <v>44033</v>
      </c>
      <c r="L47" s="55">
        <v>12</v>
      </c>
      <c r="M47" s="55" t="s">
        <v>1359</v>
      </c>
      <c r="N47" s="57">
        <v>44033</v>
      </c>
      <c r="O47" s="55">
        <v>10</v>
      </c>
      <c r="P47" s="57">
        <v>45155.529131944444</v>
      </c>
      <c r="Q47" s="58" t="b">
        <f>ISERROR(VLOOKUP($B47,'ILR MonitorDistrubution BAFO_V2'!J:J,1,FALSE))</f>
        <v>0</v>
      </c>
      <c r="R47" s="47"/>
    </row>
    <row r="48" spans="2:18" x14ac:dyDescent="0.25">
      <c r="B48" s="55" t="s">
        <v>389</v>
      </c>
      <c r="C48" s="55" t="s">
        <v>1421</v>
      </c>
      <c r="D48" s="56" t="s">
        <v>1311</v>
      </c>
      <c r="E48" s="56" t="s">
        <v>1369</v>
      </c>
      <c r="F48" s="56" t="s">
        <v>1370</v>
      </c>
      <c r="G48" s="56" t="s">
        <v>1357</v>
      </c>
      <c r="H48" s="55" t="s">
        <v>1422</v>
      </c>
      <c r="I48" s="56" t="s">
        <v>1423</v>
      </c>
      <c r="J48" s="56" t="s">
        <v>1382</v>
      </c>
      <c r="K48" s="57">
        <v>44033</v>
      </c>
      <c r="L48" s="55">
        <v>12</v>
      </c>
      <c r="M48" s="55" t="s">
        <v>1359</v>
      </c>
      <c r="N48" s="57">
        <v>44033</v>
      </c>
      <c r="O48" s="55">
        <v>10</v>
      </c>
      <c r="P48" s="57">
        <v>45135.513460648152</v>
      </c>
      <c r="Q48" s="58" t="b">
        <f>ISERROR(VLOOKUP($B48,'ILR MonitorDistrubution BAFO_V2'!J:J,1,FALSE))</f>
        <v>0</v>
      </c>
      <c r="R48" s="47"/>
    </row>
    <row r="49" spans="2:18" x14ac:dyDescent="0.25">
      <c r="B49" s="55" t="s">
        <v>384</v>
      </c>
      <c r="C49" s="55" t="s">
        <v>1424</v>
      </c>
      <c r="D49" s="56" t="s">
        <v>1311</v>
      </c>
      <c r="E49" s="56" t="s">
        <v>1369</v>
      </c>
      <c r="F49" s="56" t="s">
        <v>1370</v>
      </c>
      <c r="G49" s="56" t="s">
        <v>1357</v>
      </c>
      <c r="H49" s="55" t="s">
        <v>1425</v>
      </c>
      <c r="I49" s="56" t="s">
        <v>1415</v>
      </c>
      <c r="J49" s="56" t="s">
        <v>1382</v>
      </c>
      <c r="K49" s="57">
        <v>44033</v>
      </c>
      <c r="L49" s="55">
        <v>12</v>
      </c>
      <c r="M49" s="55" t="s">
        <v>1315</v>
      </c>
      <c r="N49" s="57">
        <v>44033</v>
      </c>
      <c r="O49" s="55">
        <v>10</v>
      </c>
      <c r="P49" s="57">
        <v>45135.513460648152</v>
      </c>
      <c r="Q49" s="58" t="b">
        <f>ISERROR(VLOOKUP($B49,'ILR MonitorDistrubution BAFO_V2'!J:J,1,FALSE))</f>
        <v>0</v>
      </c>
      <c r="R49" s="47"/>
    </row>
    <row r="50" spans="2:18" x14ac:dyDescent="0.25">
      <c r="B50" s="55" t="s">
        <v>378</v>
      </c>
      <c r="C50" s="55" t="s">
        <v>1426</v>
      </c>
      <c r="D50" s="56" t="s">
        <v>1311</v>
      </c>
      <c r="E50" s="56" t="s">
        <v>1369</v>
      </c>
      <c r="F50" s="56" t="s">
        <v>1370</v>
      </c>
      <c r="G50" s="56" t="s">
        <v>1357</v>
      </c>
      <c r="H50" s="55" t="s">
        <v>1427</v>
      </c>
      <c r="I50" s="56" t="s">
        <v>1428</v>
      </c>
      <c r="J50" s="56" t="s">
        <v>1382</v>
      </c>
      <c r="K50" s="57">
        <v>44033</v>
      </c>
      <c r="L50" s="55">
        <v>12</v>
      </c>
      <c r="M50" s="55" t="s">
        <v>1315</v>
      </c>
      <c r="N50" s="57">
        <v>44033</v>
      </c>
      <c r="O50" s="55">
        <v>10</v>
      </c>
      <c r="P50" s="57">
        <v>45135.513460648152</v>
      </c>
      <c r="Q50" s="58" t="b">
        <f>ISERROR(VLOOKUP($B50,'ILR MonitorDistrubution BAFO_V2'!J:J,1,FALSE))</f>
        <v>0</v>
      </c>
      <c r="R50" s="47"/>
    </row>
    <row r="51" spans="2:18" x14ac:dyDescent="0.25">
      <c r="B51" s="55" t="s">
        <v>370</v>
      </c>
      <c r="C51" s="55" t="s">
        <v>1429</v>
      </c>
      <c r="D51" s="56" t="s">
        <v>1311</v>
      </c>
      <c r="E51" s="56" t="s">
        <v>1369</v>
      </c>
      <c r="F51" s="56" t="s">
        <v>1370</v>
      </c>
      <c r="G51" s="56" t="s">
        <v>1357</v>
      </c>
      <c r="H51" s="55" t="s">
        <v>1430</v>
      </c>
      <c r="I51" s="56" t="s">
        <v>1345</v>
      </c>
      <c r="J51" s="56" t="s">
        <v>1382</v>
      </c>
      <c r="K51" s="57">
        <v>44033</v>
      </c>
      <c r="L51" s="55">
        <v>12</v>
      </c>
      <c r="M51" s="55" t="s">
        <v>1315</v>
      </c>
      <c r="N51" s="57">
        <v>44033</v>
      </c>
      <c r="O51" s="55">
        <v>10</v>
      </c>
      <c r="P51" s="57">
        <v>45135.513460648152</v>
      </c>
      <c r="Q51" s="58" t="b">
        <f>ISERROR(VLOOKUP($B51,'ILR MonitorDistrubution BAFO_V2'!J:J,1,FALSE))</f>
        <v>0</v>
      </c>
      <c r="R51" s="47"/>
    </row>
    <row r="52" spans="2:18" x14ac:dyDescent="0.25">
      <c r="B52" s="55" t="s">
        <v>373</v>
      </c>
      <c r="C52" s="55" t="s">
        <v>1431</v>
      </c>
      <c r="D52" s="56" t="s">
        <v>1311</v>
      </c>
      <c r="E52" s="56" t="s">
        <v>1369</v>
      </c>
      <c r="F52" s="56" t="s">
        <v>1370</v>
      </c>
      <c r="G52" s="56" t="s">
        <v>1357</v>
      </c>
      <c r="H52" s="55" t="s">
        <v>1432</v>
      </c>
      <c r="I52" s="56" t="s">
        <v>1433</v>
      </c>
      <c r="J52" s="56" t="s">
        <v>1382</v>
      </c>
      <c r="K52" s="57">
        <v>44033</v>
      </c>
      <c r="L52" s="55">
        <v>12</v>
      </c>
      <c r="M52" s="55" t="s">
        <v>1315</v>
      </c>
      <c r="N52" s="57">
        <v>44033</v>
      </c>
      <c r="O52" s="55">
        <v>10</v>
      </c>
      <c r="P52" s="57">
        <v>45135.513460648152</v>
      </c>
      <c r="Q52" s="58" t="b">
        <f>ISERROR(VLOOKUP($B52,'ILR MonitorDistrubution BAFO_V2'!J:J,1,FALSE))</f>
        <v>0</v>
      </c>
      <c r="R52" s="47"/>
    </row>
    <row r="53" spans="2:18" x14ac:dyDescent="0.25">
      <c r="B53" s="55" t="s">
        <v>181</v>
      </c>
      <c r="C53" s="55" t="s">
        <v>1434</v>
      </c>
      <c r="D53" s="56" t="s">
        <v>1311</v>
      </c>
      <c r="E53" s="56" t="s">
        <v>1369</v>
      </c>
      <c r="F53" s="56" t="s">
        <v>1370</v>
      </c>
      <c r="G53" s="56" t="s">
        <v>1357</v>
      </c>
      <c r="H53" s="55" t="s">
        <v>1435</v>
      </c>
      <c r="I53" s="56" t="s">
        <v>1345</v>
      </c>
      <c r="J53" s="56" t="s">
        <v>1382</v>
      </c>
      <c r="K53" s="57">
        <v>44033</v>
      </c>
      <c r="L53" s="55">
        <v>12</v>
      </c>
      <c r="M53" s="55" t="s">
        <v>1315</v>
      </c>
      <c r="N53" s="57">
        <v>44033</v>
      </c>
      <c r="O53" s="55">
        <v>10</v>
      </c>
      <c r="P53" s="57">
        <v>45135.513460648152</v>
      </c>
      <c r="Q53" s="58" t="b">
        <f>ISERROR(VLOOKUP($B53,'ILR MonitorDistrubution BAFO_V2'!J:J,1,FALSE))</f>
        <v>0</v>
      </c>
      <c r="R53" s="47"/>
    </row>
    <row r="54" spans="2:18" x14ac:dyDescent="0.25">
      <c r="B54" s="55" t="s">
        <v>178</v>
      </c>
      <c r="C54" s="55" t="s">
        <v>1436</v>
      </c>
      <c r="D54" s="56" t="s">
        <v>1311</v>
      </c>
      <c r="E54" s="56" t="s">
        <v>1369</v>
      </c>
      <c r="F54" s="56" t="s">
        <v>1370</v>
      </c>
      <c r="G54" s="56" t="s">
        <v>1357</v>
      </c>
      <c r="H54" s="55" t="s">
        <v>1437</v>
      </c>
      <c r="I54" s="56" t="s">
        <v>1428</v>
      </c>
      <c r="J54" s="56" t="s">
        <v>1382</v>
      </c>
      <c r="K54" s="57">
        <v>44033</v>
      </c>
      <c r="L54" s="55">
        <v>12</v>
      </c>
      <c r="M54" s="55" t="s">
        <v>1315</v>
      </c>
      <c r="N54" s="57">
        <v>44033</v>
      </c>
      <c r="O54" s="55">
        <v>10</v>
      </c>
      <c r="P54" s="57">
        <v>45135.513472222221</v>
      </c>
      <c r="Q54" s="58" t="b">
        <f>ISERROR(VLOOKUP($B54,'ILR MonitorDistrubution BAFO_V2'!J:J,1,FALSE))</f>
        <v>0</v>
      </c>
      <c r="R54" s="47"/>
    </row>
    <row r="55" spans="2:18" x14ac:dyDescent="0.25">
      <c r="B55" s="55" t="s">
        <v>262</v>
      </c>
      <c r="C55" s="55" t="s">
        <v>1438</v>
      </c>
      <c r="D55" s="56" t="s">
        <v>1311</v>
      </c>
      <c r="E55" s="56" t="s">
        <v>1369</v>
      </c>
      <c r="F55" s="56" t="s">
        <v>1370</v>
      </c>
      <c r="G55" s="56" t="s">
        <v>1357</v>
      </c>
      <c r="H55" s="55" t="s">
        <v>1439</v>
      </c>
      <c r="I55" s="56" t="s">
        <v>1399</v>
      </c>
      <c r="J55" s="56" t="s">
        <v>1382</v>
      </c>
      <c r="K55" s="57">
        <v>44644</v>
      </c>
      <c r="L55" s="55">
        <v>12</v>
      </c>
      <c r="M55" s="55" t="s">
        <v>1359</v>
      </c>
      <c r="N55" s="57">
        <v>44644</v>
      </c>
      <c r="O55" s="55">
        <v>10</v>
      </c>
      <c r="P55" s="57">
        <v>45141.527824074074</v>
      </c>
      <c r="Q55" s="58" t="b">
        <f>ISERROR(VLOOKUP($B55,'ILR MonitorDistrubution BAFO_V2'!J:J,1,FALSE))</f>
        <v>0</v>
      </c>
      <c r="R55" s="47"/>
    </row>
    <row r="56" spans="2:18" x14ac:dyDescent="0.25">
      <c r="B56" s="55" t="s">
        <v>1033</v>
      </c>
      <c r="C56" s="55" t="s">
        <v>1440</v>
      </c>
      <c r="D56" s="56" t="s">
        <v>1311</v>
      </c>
      <c r="E56" s="56" t="s">
        <v>1369</v>
      </c>
      <c r="F56" s="56" t="s">
        <v>1370</v>
      </c>
      <c r="G56" s="56" t="s">
        <v>1357</v>
      </c>
      <c r="H56" s="55" t="s">
        <v>1441</v>
      </c>
      <c r="I56" s="56" t="s">
        <v>1399</v>
      </c>
      <c r="J56" s="56" t="s">
        <v>1372</v>
      </c>
      <c r="K56" s="57">
        <v>45082</v>
      </c>
      <c r="L56" s="55">
        <v>12</v>
      </c>
      <c r="M56" s="55" t="s">
        <v>1359</v>
      </c>
      <c r="N56" s="57">
        <v>45082</v>
      </c>
      <c r="O56" s="55">
        <v>10</v>
      </c>
      <c r="P56" s="57">
        <v>45138.55332175926</v>
      </c>
      <c r="Q56" s="58" t="b">
        <f>ISERROR(VLOOKUP($B56,'ILR MonitorDistrubution BAFO_V2'!J:J,1,FALSE))</f>
        <v>0</v>
      </c>
      <c r="R56" s="47"/>
    </row>
    <row r="57" spans="2:18" x14ac:dyDescent="0.25">
      <c r="B57" s="55" t="s">
        <v>1034</v>
      </c>
      <c r="C57" s="55" t="s">
        <v>1442</v>
      </c>
      <c r="D57" s="56" t="s">
        <v>1311</v>
      </c>
      <c r="E57" s="56" t="s">
        <v>1369</v>
      </c>
      <c r="F57" s="56" t="s">
        <v>1370</v>
      </c>
      <c r="G57" s="56" t="s">
        <v>1357</v>
      </c>
      <c r="H57" s="55" t="s">
        <v>1443</v>
      </c>
      <c r="I57" s="56" t="s">
        <v>1399</v>
      </c>
      <c r="J57" s="56" t="s">
        <v>1372</v>
      </c>
      <c r="K57" s="57">
        <v>45082</v>
      </c>
      <c r="L57" s="55">
        <v>12</v>
      </c>
      <c r="M57" s="55" t="s">
        <v>1359</v>
      </c>
      <c r="N57" s="57">
        <v>45082</v>
      </c>
      <c r="O57" s="55">
        <v>10</v>
      </c>
      <c r="P57" s="57">
        <v>45138.549097222225</v>
      </c>
      <c r="Q57" s="58" t="b">
        <f>ISERROR(VLOOKUP($B57,'ILR MonitorDistrubution BAFO_V2'!J:J,1,FALSE))</f>
        <v>0</v>
      </c>
      <c r="R57" s="47"/>
    </row>
    <row r="58" spans="2:18" x14ac:dyDescent="0.25">
      <c r="B58" s="55" t="s">
        <v>1035</v>
      </c>
      <c r="C58" s="55" t="s">
        <v>1444</v>
      </c>
      <c r="D58" s="56" t="s">
        <v>1311</v>
      </c>
      <c r="E58" s="56" t="s">
        <v>1369</v>
      </c>
      <c r="F58" s="56" t="s">
        <v>1370</v>
      </c>
      <c r="G58" s="56" t="s">
        <v>1357</v>
      </c>
      <c r="H58" s="55" t="s">
        <v>1445</v>
      </c>
      <c r="I58" s="56" t="s">
        <v>1399</v>
      </c>
      <c r="J58" s="56" t="s">
        <v>1372</v>
      </c>
      <c r="K58" s="57">
        <v>45082</v>
      </c>
      <c r="L58" s="55">
        <v>12</v>
      </c>
      <c r="M58" s="55" t="s">
        <v>1359</v>
      </c>
      <c r="N58" s="57">
        <v>45082</v>
      </c>
      <c r="O58" s="55">
        <v>10</v>
      </c>
      <c r="P58" s="57">
        <v>45138.554479166669</v>
      </c>
      <c r="Q58" s="58" t="b">
        <f>ISERROR(VLOOKUP($B58,'ILR MonitorDistrubution BAFO_V2'!J:J,1,FALSE))</f>
        <v>0</v>
      </c>
      <c r="R58" s="47"/>
    </row>
    <row r="59" spans="2:18" x14ac:dyDescent="0.25">
      <c r="B59" s="55" t="s">
        <v>1036</v>
      </c>
      <c r="C59" s="55" t="s">
        <v>1446</v>
      </c>
      <c r="D59" s="56" t="s">
        <v>1311</v>
      </c>
      <c r="E59" s="56" t="s">
        <v>1369</v>
      </c>
      <c r="F59" s="56" t="s">
        <v>1370</v>
      </c>
      <c r="G59" s="56" t="s">
        <v>1357</v>
      </c>
      <c r="H59" s="55" t="s">
        <v>1447</v>
      </c>
      <c r="I59" s="56" t="s">
        <v>1399</v>
      </c>
      <c r="J59" s="56" t="s">
        <v>1372</v>
      </c>
      <c r="K59" s="57">
        <v>45082</v>
      </c>
      <c r="L59" s="55">
        <v>12</v>
      </c>
      <c r="M59" s="55" t="s">
        <v>1359</v>
      </c>
      <c r="N59" s="57">
        <v>45082</v>
      </c>
      <c r="O59" s="55">
        <v>10</v>
      </c>
      <c r="P59" s="57">
        <v>45138.552152777775</v>
      </c>
      <c r="Q59" s="58" t="b">
        <f>ISERROR(VLOOKUP($B59,'ILR MonitorDistrubution BAFO_V2'!J:J,1,FALSE))</f>
        <v>0</v>
      </c>
      <c r="R59" s="47"/>
    </row>
    <row r="60" spans="2:18" x14ac:dyDescent="0.25">
      <c r="B60" s="55" t="s">
        <v>1037</v>
      </c>
      <c r="C60" s="55" t="s">
        <v>1448</v>
      </c>
      <c r="D60" s="56" t="s">
        <v>1311</v>
      </c>
      <c r="E60" s="56" t="s">
        <v>1369</v>
      </c>
      <c r="F60" s="56" t="s">
        <v>1370</v>
      </c>
      <c r="G60" s="56" t="s">
        <v>1357</v>
      </c>
      <c r="H60" s="55" t="s">
        <v>1449</v>
      </c>
      <c r="I60" s="56" t="s">
        <v>1399</v>
      </c>
      <c r="J60" s="56" t="s">
        <v>1372</v>
      </c>
      <c r="K60" s="57">
        <v>45082</v>
      </c>
      <c r="L60" s="55">
        <v>12</v>
      </c>
      <c r="M60" s="55" t="s">
        <v>1359</v>
      </c>
      <c r="N60" s="57">
        <v>45082</v>
      </c>
      <c r="O60" s="55">
        <v>10</v>
      </c>
      <c r="P60" s="57">
        <v>45138.554108796299</v>
      </c>
      <c r="Q60" s="58" t="b">
        <f>ISERROR(VLOOKUP($B60,'ILR MonitorDistrubution BAFO_V2'!J:J,1,FALSE))</f>
        <v>0</v>
      </c>
      <c r="R60" s="47"/>
    </row>
    <row r="61" spans="2:18" x14ac:dyDescent="0.25">
      <c r="B61" s="55" t="s">
        <v>1038</v>
      </c>
      <c r="C61" s="55" t="s">
        <v>1450</v>
      </c>
      <c r="D61" s="56" t="s">
        <v>1311</v>
      </c>
      <c r="E61" s="56" t="s">
        <v>1369</v>
      </c>
      <c r="F61" s="56" t="s">
        <v>1370</v>
      </c>
      <c r="G61" s="56" t="s">
        <v>1357</v>
      </c>
      <c r="H61" s="55" t="s">
        <v>1451</v>
      </c>
      <c r="I61" s="56" t="s">
        <v>1399</v>
      </c>
      <c r="J61" s="56" t="s">
        <v>1372</v>
      </c>
      <c r="K61" s="57">
        <v>45082</v>
      </c>
      <c r="L61" s="55">
        <v>12</v>
      </c>
      <c r="M61" s="55" t="s">
        <v>1359</v>
      </c>
      <c r="N61" s="57">
        <v>45082</v>
      </c>
      <c r="O61" s="55">
        <v>10</v>
      </c>
      <c r="P61" s="57">
        <v>45138.549849537034</v>
      </c>
      <c r="Q61" s="58" t="b">
        <f>ISERROR(VLOOKUP($B61,'ILR MonitorDistrubution BAFO_V2'!J:J,1,FALSE))</f>
        <v>0</v>
      </c>
      <c r="R61" s="47"/>
    </row>
    <row r="62" spans="2:18" x14ac:dyDescent="0.25">
      <c r="B62" s="55" t="s">
        <v>1039</v>
      </c>
      <c r="C62" s="55" t="s">
        <v>1452</v>
      </c>
      <c r="D62" s="56" t="s">
        <v>1311</v>
      </c>
      <c r="E62" s="56" t="s">
        <v>1369</v>
      </c>
      <c r="F62" s="56" t="s">
        <v>1370</v>
      </c>
      <c r="G62" s="56" t="s">
        <v>1357</v>
      </c>
      <c r="H62" s="55" t="s">
        <v>1453</v>
      </c>
      <c r="I62" s="56" t="s">
        <v>1399</v>
      </c>
      <c r="J62" s="56" t="s">
        <v>1372</v>
      </c>
      <c r="K62" s="57">
        <v>45082</v>
      </c>
      <c r="L62" s="55">
        <v>12</v>
      </c>
      <c r="M62" s="55" t="s">
        <v>1359</v>
      </c>
      <c r="N62" s="57">
        <v>45082</v>
      </c>
      <c r="O62" s="55">
        <v>10</v>
      </c>
      <c r="P62" s="57">
        <v>45138.550300925926</v>
      </c>
      <c r="Q62" s="58" t="b">
        <f>ISERROR(VLOOKUP($B62,'ILR MonitorDistrubution BAFO_V2'!J:J,1,FALSE))</f>
        <v>0</v>
      </c>
      <c r="R62" s="47"/>
    </row>
    <row r="63" spans="2:18" x14ac:dyDescent="0.25">
      <c r="B63" s="55" t="s">
        <v>1040</v>
      </c>
      <c r="C63" s="55" t="s">
        <v>1454</v>
      </c>
      <c r="D63" s="56" t="s">
        <v>1311</v>
      </c>
      <c r="E63" s="56" t="s">
        <v>1369</v>
      </c>
      <c r="F63" s="56" t="s">
        <v>1370</v>
      </c>
      <c r="G63" s="56" t="s">
        <v>1357</v>
      </c>
      <c r="H63" s="55" t="s">
        <v>1455</v>
      </c>
      <c r="I63" s="56" t="s">
        <v>1399</v>
      </c>
      <c r="J63" s="56" t="s">
        <v>1372</v>
      </c>
      <c r="K63" s="57">
        <v>45082</v>
      </c>
      <c r="L63" s="55">
        <v>12</v>
      </c>
      <c r="M63" s="55" t="s">
        <v>1359</v>
      </c>
      <c r="N63" s="57">
        <v>45082</v>
      </c>
      <c r="O63" s="55">
        <v>10</v>
      </c>
      <c r="P63" s="57">
        <v>45138.551805555559</v>
      </c>
      <c r="Q63" s="58" t="b">
        <f>ISERROR(VLOOKUP($B63,'ILR MonitorDistrubution BAFO_V2'!J:J,1,FALSE))</f>
        <v>0</v>
      </c>
      <c r="R63" s="47"/>
    </row>
    <row r="64" spans="2:18" x14ac:dyDescent="0.25">
      <c r="B64" s="55" t="s">
        <v>1041</v>
      </c>
      <c r="C64" s="55" t="s">
        <v>1456</v>
      </c>
      <c r="D64" s="56" t="s">
        <v>1311</v>
      </c>
      <c r="E64" s="56" t="s">
        <v>1369</v>
      </c>
      <c r="F64" s="56" t="s">
        <v>1370</v>
      </c>
      <c r="G64" s="56" t="s">
        <v>1357</v>
      </c>
      <c r="H64" s="55" t="s">
        <v>1457</v>
      </c>
      <c r="I64" s="56" t="s">
        <v>1399</v>
      </c>
      <c r="J64" s="56" t="s">
        <v>1372</v>
      </c>
      <c r="K64" s="57">
        <v>45082</v>
      </c>
      <c r="L64" s="55">
        <v>12</v>
      </c>
      <c r="M64" s="55" t="s">
        <v>1359</v>
      </c>
      <c r="N64" s="57">
        <v>45082</v>
      </c>
      <c r="O64" s="55">
        <v>10</v>
      </c>
      <c r="P64" s="57">
        <v>45138.551041666666</v>
      </c>
      <c r="Q64" s="58" t="b">
        <f>ISERROR(VLOOKUP($B64,'ILR MonitorDistrubution BAFO_V2'!J:J,1,FALSE))</f>
        <v>0</v>
      </c>
      <c r="R64" s="47"/>
    </row>
    <row r="65" spans="2:18" x14ac:dyDescent="0.25">
      <c r="B65" s="55" t="s">
        <v>1042</v>
      </c>
      <c r="C65" s="55" t="s">
        <v>1458</v>
      </c>
      <c r="D65" s="56" t="s">
        <v>1311</v>
      </c>
      <c r="E65" s="56" t="s">
        <v>1369</v>
      </c>
      <c r="F65" s="56" t="s">
        <v>1370</v>
      </c>
      <c r="G65" s="56" t="s">
        <v>1357</v>
      </c>
      <c r="H65" s="55" t="s">
        <v>1459</v>
      </c>
      <c r="I65" s="56" t="s">
        <v>1399</v>
      </c>
      <c r="J65" s="56" t="s">
        <v>1372</v>
      </c>
      <c r="K65" s="57">
        <v>45082</v>
      </c>
      <c r="L65" s="55">
        <v>12</v>
      </c>
      <c r="M65" s="55" t="s">
        <v>1359</v>
      </c>
      <c r="N65" s="57">
        <v>45082</v>
      </c>
      <c r="O65" s="55">
        <v>10</v>
      </c>
      <c r="P65" s="57">
        <v>45138.549456018518</v>
      </c>
      <c r="Q65" s="58" t="b">
        <f>ISERROR(VLOOKUP($B65,'ILR MonitorDistrubution BAFO_V2'!J:J,1,FALSE))</f>
        <v>0</v>
      </c>
      <c r="R65" s="47"/>
    </row>
    <row r="66" spans="2:18" x14ac:dyDescent="0.25">
      <c r="B66" s="55" t="s">
        <v>1043</v>
      </c>
      <c r="C66" s="55" t="s">
        <v>1460</v>
      </c>
      <c r="D66" s="56" t="s">
        <v>1311</v>
      </c>
      <c r="E66" s="56" t="s">
        <v>1369</v>
      </c>
      <c r="F66" s="56" t="s">
        <v>1370</v>
      </c>
      <c r="G66" s="56" t="s">
        <v>1357</v>
      </c>
      <c r="H66" s="55" t="s">
        <v>1461</v>
      </c>
      <c r="I66" s="56" t="s">
        <v>1399</v>
      </c>
      <c r="J66" s="56" t="s">
        <v>1372</v>
      </c>
      <c r="K66" s="57">
        <v>45082</v>
      </c>
      <c r="L66" s="55">
        <v>12</v>
      </c>
      <c r="M66" s="55" t="s">
        <v>1359</v>
      </c>
      <c r="N66" s="57">
        <v>45082</v>
      </c>
      <c r="O66" s="55">
        <v>10</v>
      </c>
      <c r="P66" s="57">
        <v>45138.550682870373</v>
      </c>
      <c r="Q66" s="58" t="b">
        <f>ISERROR(VLOOKUP($B66,'ILR MonitorDistrubution BAFO_V2'!J:J,1,FALSE))</f>
        <v>0</v>
      </c>
      <c r="R66" s="47"/>
    </row>
    <row r="67" spans="2:18" x14ac:dyDescent="0.25">
      <c r="B67" s="55" t="s">
        <v>1044</v>
      </c>
      <c r="C67" s="55" t="s">
        <v>1462</v>
      </c>
      <c r="D67" s="56" t="s">
        <v>1311</v>
      </c>
      <c r="E67" s="56" t="s">
        <v>1369</v>
      </c>
      <c r="F67" s="56" t="s">
        <v>1370</v>
      </c>
      <c r="G67" s="56" t="s">
        <v>1357</v>
      </c>
      <c r="H67" s="55" t="s">
        <v>1463</v>
      </c>
      <c r="I67" s="56" t="s">
        <v>1399</v>
      </c>
      <c r="J67" s="56" t="s">
        <v>1372</v>
      </c>
      <c r="K67" s="57">
        <v>45082</v>
      </c>
      <c r="L67" s="55">
        <v>12</v>
      </c>
      <c r="M67" s="55" t="s">
        <v>1359</v>
      </c>
      <c r="N67" s="57">
        <v>45082</v>
      </c>
      <c r="O67" s="55">
        <v>10</v>
      </c>
      <c r="P67" s="57">
        <v>45138.552476851852</v>
      </c>
      <c r="Q67" s="58" t="b">
        <f>ISERROR(VLOOKUP($B67,'ILR MonitorDistrubution BAFO_V2'!J:J,1,FALSE))</f>
        <v>0</v>
      </c>
      <c r="R67" s="47"/>
    </row>
    <row r="68" spans="2:18" x14ac:dyDescent="0.25">
      <c r="B68" s="55" t="s">
        <v>1045</v>
      </c>
      <c r="C68" s="55" t="s">
        <v>1464</v>
      </c>
      <c r="D68" s="56" t="s">
        <v>1311</v>
      </c>
      <c r="E68" s="56" t="s">
        <v>1369</v>
      </c>
      <c r="F68" s="56" t="s">
        <v>1370</v>
      </c>
      <c r="G68" s="56" t="s">
        <v>1357</v>
      </c>
      <c r="H68" s="55" t="s">
        <v>1465</v>
      </c>
      <c r="I68" s="56" t="s">
        <v>1399</v>
      </c>
      <c r="J68" s="56" t="s">
        <v>1372</v>
      </c>
      <c r="K68" s="57">
        <v>45082</v>
      </c>
      <c r="L68" s="55">
        <v>12</v>
      </c>
      <c r="M68" s="55" t="s">
        <v>1359</v>
      </c>
      <c r="N68" s="57">
        <v>45082</v>
      </c>
      <c r="O68" s="55">
        <v>10</v>
      </c>
      <c r="P68" s="57">
        <v>45138.552893518521</v>
      </c>
      <c r="Q68" s="58" t="b">
        <f>ISERROR(VLOOKUP($B68,'ILR MonitorDistrubution BAFO_V2'!J:J,1,FALSE))</f>
        <v>0</v>
      </c>
      <c r="R68" s="47"/>
    </row>
    <row r="69" spans="2:18" x14ac:dyDescent="0.25">
      <c r="B69" s="55" t="s">
        <v>1046</v>
      </c>
      <c r="C69" s="55" t="s">
        <v>1466</v>
      </c>
      <c r="D69" s="56" t="s">
        <v>1311</v>
      </c>
      <c r="E69" s="56" t="s">
        <v>1369</v>
      </c>
      <c r="F69" s="56" t="s">
        <v>1370</v>
      </c>
      <c r="G69" s="56" t="s">
        <v>1357</v>
      </c>
      <c r="H69" s="55" t="s">
        <v>1467</v>
      </c>
      <c r="I69" s="56" t="s">
        <v>1399</v>
      </c>
      <c r="J69" s="56" t="s">
        <v>1372</v>
      </c>
      <c r="K69" s="57">
        <v>45082</v>
      </c>
      <c r="L69" s="55">
        <v>12</v>
      </c>
      <c r="M69" s="55" t="s">
        <v>1359</v>
      </c>
      <c r="N69" s="57">
        <v>45082</v>
      </c>
      <c r="O69" s="55">
        <v>10</v>
      </c>
      <c r="P69" s="57">
        <v>45138.551388888889</v>
      </c>
      <c r="Q69" s="58" t="b">
        <f>ISERROR(VLOOKUP($B69,'ILR MonitorDistrubution BAFO_V2'!J:J,1,FALSE))</f>
        <v>0</v>
      </c>
      <c r="R69" s="47"/>
    </row>
    <row r="70" spans="2:18" x14ac:dyDescent="0.25">
      <c r="B70" s="55" t="s">
        <v>1047</v>
      </c>
      <c r="C70" s="55" t="s">
        <v>1468</v>
      </c>
      <c r="D70" s="56" t="s">
        <v>1311</v>
      </c>
      <c r="E70" s="56" t="s">
        <v>1369</v>
      </c>
      <c r="F70" s="56" t="s">
        <v>1370</v>
      </c>
      <c r="G70" s="56" t="s">
        <v>1357</v>
      </c>
      <c r="H70" s="55" t="s">
        <v>1469</v>
      </c>
      <c r="I70" s="56" t="s">
        <v>1399</v>
      </c>
      <c r="J70" s="56" t="s">
        <v>1372</v>
      </c>
      <c r="K70" s="57">
        <v>45082</v>
      </c>
      <c r="L70" s="55">
        <v>12</v>
      </c>
      <c r="M70" s="55" t="s">
        <v>1359</v>
      </c>
      <c r="N70" s="57">
        <v>45082</v>
      </c>
      <c r="O70" s="55">
        <v>10</v>
      </c>
      <c r="P70" s="57">
        <v>45138.553680555553</v>
      </c>
      <c r="Q70" s="58" t="b">
        <f>ISERROR(VLOOKUP($B70,'ILR MonitorDistrubution BAFO_V2'!J:J,1,FALSE))</f>
        <v>0</v>
      </c>
      <c r="R70" s="47"/>
    </row>
    <row r="71" spans="2:18" x14ac:dyDescent="0.25">
      <c r="B71" s="55" t="s">
        <v>215</v>
      </c>
      <c r="C71" s="55" t="s">
        <v>1470</v>
      </c>
      <c r="D71" s="56" t="s">
        <v>1311</v>
      </c>
      <c r="E71" s="56" t="s">
        <v>1471</v>
      </c>
      <c r="F71" s="56" t="s">
        <v>1472</v>
      </c>
      <c r="G71" s="56" t="s">
        <v>1357</v>
      </c>
      <c r="H71" s="55" t="s">
        <v>217</v>
      </c>
      <c r="I71" s="56" t="s">
        <v>1345</v>
      </c>
      <c r="J71" s="56" t="s">
        <v>1372</v>
      </c>
      <c r="K71" s="57">
        <v>43640</v>
      </c>
      <c r="L71" s="55">
        <v>12</v>
      </c>
      <c r="M71" s="55" t="s">
        <v>1347</v>
      </c>
      <c r="N71" s="57">
        <v>43640</v>
      </c>
      <c r="O71" s="55">
        <v>10</v>
      </c>
      <c r="P71" s="57">
        <v>45135.51326388889</v>
      </c>
      <c r="Q71" s="58" t="b">
        <f>ISERROR(VLOOKUP($B71,'ILR MonitorDistrubution BAFO_V2'!J:J,1,FALSE))</f>
        <v>0</v>
      </c>
      <c r="R71" s="47"/>
    </row>
    <row r="72" spans="2:18" x14ac:dyDescent="0.25">
      <c r="B72" s="55" t="s">
        <v>208</v>
      </c>
      <c r="C72" s="55" t="s">
        <v>1473</v>
      </c>
      <c r="D72" s="56" t="s">
        <v>1311</v>
      </c>
      <c r="E72" s="56" t="s">
        <v>1471</v>
      </c>
      <c r="F72" s="56" t="s">
        <v>1472</v>
      </c>
      <c r="G72" s="56" t="s">
        <v>1357</v>
      </c>
      <c r="H72" s="55" t="s">
        <v>209</v>
      </c>
      <c r="I72" s="56" t="s">
        <v>1345</v>
      </c>
      <c r="J72" s="56" t="s">
        <v>1372</v>
      </c>
      <c r="K72" s="57">
        <v>43640</v>
      </c>
      <c r="L72" s="55">
        <v>12</v>
      </c>
      <c r="M72" s="55" t="s">
        <v>1347</v>
      </c>
      <c r="N72" s="57">
        <v>43640</v>
      </c>
      <c r="O72" s="55">
        <v>10</v>
      </c>
      <c r="P72" s="57">
        <v>45135.51326388889</v>
      </c>
      <c r="Q72" s="58" t="b">
        <f>ISERROR(VLOOKUP($B72,'ILR MonitorDistrubution BAFO_V2'!J:J,1,FALSE))</f>
        <v>0</v>
      </c>
      <c r="R72" s="47"/>
    </row>
    <row r="73" spans="2:18" x14ac:dyDescent="0.25">
      <c r="B73" s="55" t="s">
        <v>1029</v>
      </c>
      <c r="C73" s="55" t="s">
        <v>1474</v>
      </c>
      <c r="D73" s="56" t="s">
        <v>1311</v>
      </c>
      <c r="E73" s="56" t="s">
        <v>1471</v>
      </c>
      <c r="F73" s="56" t="s">
        <v>1472</v>
      </c>
      <c r="G73" s="56" t="s">
        <v>1357</v>
      </c>
      <c r="H73" s="55" t="s">
        <v>1475</v>
      </c>
      <c r="I73" s="56" t="s">
        <v>1345</v>
      </c>
      <c r="J73" s="56" t="s">
        <v>1372</v>
      </c>
      <c r="K73" s="57">
        <v>43640</v>
      </c>
      <c r="L73" s="55">
        <v>12</v>
      </c>
      <c r="M73" s="55" t="s">
        <v>1347</v>
      </c>
      <c r="N73" s="57">
        <v>43640</v>
      </c>
      <c r="O73" s="55">
        <v>10</v>
      </c>
      <c r="P73" s="57">
        <v>45135.51326388889</v>
      </c>
      <c r="Q73" s="58" t="b">
        <f>ISERROR(VLOOKUP($B73,'ILR MonitorDistrubution BAFO_V2'!J:J,1,FALSE))</f>
        <v>0</v>
      </c>
      <c r="R73" s="47"/>
    </row>
    <row r="74" spans="2:18" x14ac:dyDescent="0.25">
      <c r="B74" s="55" t="s">
        <v>1170</v>
      </c>
      <c r="C74" s="55" t="s">
        <v>1476</v>
      </c>
      <c r="D74" s="56" t="s">
        <v>1311</v>
      </c>
      <c r="E74" s="56" t="s">
        <v>1471</v>
      </c>
      <c r="F74" s="56" t="s">
        <v>1472</v>
      </c>
      <c r="G74" s="56" t="s">
        <v>1357</v>
      </c>
      <c r="H74" s="55" t="s">
        <v>230</v>
      </c>
      <c r="I74" s="56" t="s">
        <v>1345</v>
      </c>
      <c r="J74" s="56" t="s">
        <v>1372</v>
      </c>
      <c r="K74" s="57">
        <v>43640</v>
      </c>
      <c r="L74" s="55">
        <v>12</v>
      </c>
      <c r="M74" s="55" t="s">
        <v>1347</v>
      </c>
      <c r="N74" s="57">
        <v>43640</v>
      </c>
      <c r="O74" s="55">
        <v>10</v>
      </c>
      <c r="P74" s="57">
        <v>45135.51326388889</v>
      </c>
      <c r="Q74" s="58" t="b">
        <f>ISERROR(VLOOKUP($B74,'ILR MonitorDistrubution BAFO_V2'!J:J,1,FALSE))</f>
        <v>0</v>
      </c>
      <c r="R74" s="47"/>
    </row>
    <row r="75" spans="2:18" x14ac:dyDescent="0.25">
      <c r="B75" s="55" t="s">
        <v>202</v>
      </c>
      <c r="C75" s="55" t="s">
        <v>1477</v>
      </c>
      <c r="D75" s="56" t="s">
        <v>1311</v>
      </c>
      <c r="E75" s="56" t="s">
        <v>1471</v>
      </c>
      <c r="F75" s="56" t="s">
        <v>1472</v>
      </c>
      <c r="G75" s="56" t="s">
        <v>1357</v>
      </c>
      <c r="H75" s="55" t="s">
        <v>204</v>
      </c>
      <c r="I75" s="56" t="s">
        <v>1345</v>
      </c>
      <c r="J75" s="56" t="s">
        <v>1372</v>
      </c>
      <c r="K75" s="57">
        <v>43640</v>
      </c>
      <c r="L75" s="55">
        <v>12</v>
      </c>
      <c r="M75" s="55" t="s">
        <v>1347</v>
      </c>
      <c r="N75" s="57">
        <v>43640</v>
      </c>
      <c r="O75" s="55">
        <v>10</v>
      </c>
      <c r="P75" s="57">
        <v>45135.51326388889</v>
      </c>
      <c r="Q75" s="58" t="b">
        <f>ISERROR(VLOOKUP($B75,'ILR MonitorDistrubution BAFO_V2'!J:J,1,FALSE))</f>
        <v>0</v>
      </c>
      <c r="R75" s="47"/>
    </row>
    <row r="76" spans="2:18" x14ac:dyDescent="0.25">
      <c r="B76" s="55" t="s">
        <v>1171</v>
      </c>
      <c r="C76" s="55" t="s">
        <v>1478</v>
      </c>
      <c r="D76" s="56" t="s">
        <v>1311</v>
      </c>
      <c r="E76" s="56" t="s">
        <v>1471</v>
      </c>
      <c r="F76" s="56" t="s">
        <v>1472</v>
      </c>
      <c r="G76" s="56" t="s">
        <v>1357</v>
      </c>
      <c r="H76" s="55" t="s">
        <v>234</v>
      </c>
      <c r="I76" s="56" t="s">
        <v>1345</v>
      </c>
      <c r="J76" s="56" t="s">
        <v>1372</v>
      </c>
      <c r="K76" s="57">
        <v>43640</v>
      </c>
      <c r="L76" s="55">
        <v>12</v>
      </c>
      <c r="M76" s="55" t="s">
        <v>1347</v>
      </c>
      <c r="N76" s="57">
        <v>43640</v>
      </c>
      <c r="O76" s="55">
        <v>10</v>
      </c>
      <c r="P76" s="57">
        <v>45135.51326388889</v>
      </c>
      <c r="Q76" s="58" t="b">
        <f>ISERROR(VLOOKUP($B76,'ILR MonitorDistrubution BAFO_V2'!J:J,1,FALSE))</f>
        <v>0</v>
      </c>
      <c r="R76" s="47"/>
    </row>
    <row r="77" spans="2:18" x14ac:dyDescent="0.25">
      <c r="B77" s="55" t="s">
        <v>1479</v>
      </c>
      <c r="C77" s="55" t="s">
        <v>1480</v>
      </c>
      <c r="D77" s="56" t="s">
        <v>1311</v>
      </c>
      <c r="E77" s="56" t="s">
        <v>1481</v>
      </c>
      <c r="F77" t="s">
        <v>903</v>
      </c>
      <c r="G77" s="56" t="s">
        <v>1482</v>
      </c>
      <c r="H77" s="55" t="s">
        <v>1483</v>
      </c>
      <c r="I77" s="56" t="s">
        <v>1345</v>
      </c>
      <c r="J77" s="56" t="s">
        <v>1372</v>
      </c>
      <c r="K77" s="57">
        <v>43640</v>
      </c>
      <c r="L77" s="55">
        <v>12</v>
      </c>
      <c r="M77" s="55" t="s">
        <v>1347</v>
      </c>
      <c r="N77" s="57">
        <v>43640</v>
      </c>
      <c r="O77" s="55">
        <v>10</v>
      </c>
      <c r="P77" s="57">
        <v>45135.513275462959</v>
      </c>
      <c r="Q77" s="58" t="b">
        <f>ISERROR(VLOOKUP($B77,'ILR MonitorDistrubution BAFO_V2'!J:J,1,FALSE))</f>
        <v>1</v>
      </c>
      <c r="R77" s="47"/>
    </row>
    <row r="78" spans="2:18" x14ac:dyDescent="0.25">
      <c r="B78" s="55" t="s">
        <v>1484</v>
      </c>
      <c r="C78" s="55" t="s">
        <v>1485</v>
      </c>
      <c r="D78" s="56" t="s">
        <v>1311</v>
      </c>
      <c r="E78" s="56" t="s">
        <v>1481</v>
      </c>
      <c r="F78" t="s">
        <v>903</v>
      </c>
      <c r="G78" s="56" t="s">
        <v>1482</v>
      </c>
      <c r="H78" s="55" t="s">
        <v>1486</v>
      </c>
      <c r="I78" s="56" t="s">
        <v>1345</v>
      </c>
      <c r="J78" s="56" t="s">
        <v>1372</v>
      </c>
      <c r="K78" s="57">
        <v>43640</v>
      </c>
      <c r="L78" s="55">
        <v>12</v>
      </c>
      <c r="M78" s="55" t="s">
        <v>1347</v>
      </c>
      <c r="N78" s="57">
        <v>43640</v>
      </c>
      <c r="O78" s="55">
        <v>10</v>
      </c>
      <c r="P78" s="57">
        <v>45135.513275462959</v>
      </c>
      <c r="Q78" s="58" t="b">
        <f>ISERROR(VLOOKUP($B78,'ILR MonitorDistrubution BAFO_V2'!J:J,1,FALSE))</f>
        <v>1</v>
      </c>
      <c r="R78" s="47"/>
    </row>
    <row r="79" spans="2:18" x14ac:dyDescent="0.25">
      <c r="B79" s="55" t="s">
        <v>1094</v>
      </c>
      <c r="C79" s="55" t="s">
        <v>1487</v>
      </c>
      <c r="D79" s="56" t="s">
        <v>1311</v>
      </c>
      <c r="E79" s="56" t="s">
        <v>1488</v>
      </c>
      <c r="F79" s="56" t="s">
        <v>1489</v>
      </c>
      <c r="G79" s="56" t="s">
        <v>1092</v>
      </c>
      <c r="H79" s="55" t="s">
        <v>1490</v>
      </c>
      <c r="I79" s="56" t="s">
        <v>299</v>
      </c>
      <c r="J79" s="56"/>
      <c r="K79" s="57">
        <v>44718</v>
      </c>
      <c r="L79" s="55">
        <v>12</v>
      </c>
      <c r="M79" s="55" t="s">
        <v>1315</v>
      </c>
      <c r="N79" s="57"/>
      <c r="O79" s="55">
        <v>0</v>
      </c>
      <c r="P79" s="57">
        <v>45280.551793981482</v>
      </c>
      <c r="Q79" s="58" t="b">
        <f>ISERROR(VLOOKUP($B79,'ILR MonitorDistrubution BAFO_V2'!J:J,1,FALSE))</f>
        <v>0</v>
      </c>
      <c r="R79" s="47"/>
    </row>
    <row r="80" spans="2:18" x14ac:dyDescent="0.25">
      <c r="B80" s="55" t="s">
        <v>1095</v>
      </c>
      <c r="C80" s="55" t="s">
        <v>1491</v>
      </c>
      <c r="D80" s="56" t="s">
        <v>1311</v>
      </c>
      <c r="E80" s="56" t="s">
        <v>1488</v>
      </c>
      <c r="F80" s="56" t="s">
        <v>1489</v>
      </c>
      <c r="G80" s="56" t="s">
        <v>1092</v>
      </c>
      <c r="H80" s="55" t="s">
        <v>1492</v>
      </c>
      <c r="I80" s="56" t="s">
        <v>299</v>
      </c>
      <c r="J80" s="56"/>
      <c r="K80" s="57">
        <v>44718</v>
      </c>
      <c r="L80" s="55">
        <v>12</v>
      </c>
      <c r="M80" s="55" t="s">
        <v>1315</v>
      </c>
      <c r="N80" s="57"/>
      <c r="O80" s="55">
        <v>0</v>
      </c>
      <c r="P80" s="57">
        <v>45280.551793981482</v>
      </c>
      <c r="Q80" s="58" t="b">
        <f>ISERROR(VLOOKUP($B80,'ILR MonitorDistrubution BAFO_V2'!J:J,1,FALSE))</f>
        <v>0</v>
      </c>
      <c r="R80" s="47"/>
    </row>
    <row r="81" spans="2:18" x14ac:dyDescent="0.25">
      <c r="B81" s="55" t="s">
        <v>1096</v>
      </c>
      <c r="C81" s="55" t="s">
        <v>1493</v>
      </c>
      <c r="D81" s="56" t="s">
        <v>1311</v>
      </c>
      <c r="E81" s="56" t="s">
        <v>1488</v>
      </c>
      <c r="F81" s="56" t="s">
        <v>1489</v>
      </c>
      <c r="G81" s="56" t="s">
        <v>1092</v>
      </c>
      <c r="H81" s="55" t="s">
        <v>1494</v>
      </c>
      <c r="I81" s="56" t="s">
        <v>299</v>
      </c>
      <c r="J81" s="56"/>
      <c r="K81" s="57">
        <v>44718</v>
      </c>
      <c r="L81" s="55">
        <v>12</v>
      </c>
      <c r="M81" s="55" t="s">
        <v>1315</v>
      </c>
      <c r="N81" s="57"/>
      <c r="O81" s="55">
        <v>0</v>
      </c>
      <c r="P81" s="57">
        <v>45280.551782407405</v>
      </c>
      <c r="Q81" s="58" t="b">
        <f>ISERROR(VLOOKUP($B81,'ILR MonitorDistrubution BAFO_V2'!J:J,1,FALSE))</f>
        <v>0</v>
      </c>
      <c r="R81" s="47"/>
    </row>
    <row r="82" spans="2:18" x14ac:dyDescent="0.25">
      <c r="B82" s="55" t="s">
        <v>1097</v>
      </c>
      <c r="C82" s="55" t="s">
        <v>1495</v>
      </c>
      <c r="D82" s="56" t="s">
        <v>1311</v>
      </c>
      <c r="E82" s="56" t="s">
        <v>1488</v>
      </c>
      <c r="F82" s="56" t="s">
        <v>1489</v>
      </c>
      <c r="G82" s="56" t="s">
        <v>1092</v>
      </c>
      <c r="H82" s="55" t="s">
        <v>1496</v>
      </c>
      <c r="I82" s="56" t="s">
        <v>299</v>
      </c>
      <c r="J82" s="56"/>
      <c r="K82" s="57">
        <v>44718</v>
      </c>
      <c r="L82" s="55">
        <v>12</v>
      </c>
      <c r="M82" s="55" t="s">
        <v>1315</v>
      </c>
      <c r="N82" s="57"/>
      <c r="O82" s="55">
        <v>0</v>
      </c>
      <c r="P82" s="57">
        <v>45280.551759259259</v>
      </c>
      <c r="Q82" s="58" t="b">
        <f>ISERROR(VLOOKUP($B82,'ILR MonitorDistrubution BAFO_V2'!J:J,1,FALSE))</f>
        <v>0</v>
      </c>
      <c r="R82" s="47"/>
    </row>
    <row r="83" spans="2:18" x14ac:dyDescent="0.25">
      <c r="B83" s="55" t="s">
        <v>1098</v>
      </c>
      <c r="C83" s="55" t="s">
        <v>1497</v>
      </c>
      <c r="D83" s="56" t="s">
        <v>1311</v>
      </c>
      <c r="E83" s="56" t="s">
        <v>1488</v>
      </c>
      <c r="F83" s="56" t="s">
        <v>1489</v>
      </c>
      <c r="G83" s="56" t="s">
        <v>1092</v>
      </c>
      <c r="H83" s="55" t="s">
        <v>1498</v>
      </c>
      <c r="I83" s="56" t="s">
        <v>299</v>
      </c>
      <c r="J83" s="56"/>
      <c r="K83" s="57">
        <v>44718</v>
      </c>
      <c r="L83" s="55">
        <v>12</v>
      </c>
      <c r="M83" s="55" t="s">
        <v>1315</v>
      </c>
      <c r="N83" s="57"/>
      <c r="O83" s="55">
        <v>0</v>
      </c>
      <c r="P83" s="57">
        <v>45280.551793981482</v>
      </c>
      <c r="Q83" s="58" t="b">
        <f>ISERROR(VLOOKUP($B83,'ILR MonitorDistrubution BAFO_V2'!J:J,1,FALSE))</f>
        <v>0</v>
      </c>
      <c r="R83" s="47"/>
    </row>
    <row r="84" spans="2:18" x14ac:dyDescent="0.25">
      <c r="B84" s="55" t="s">
        <v>1099</v>
      </c>
      <c r="C84" s="55" t="s">
        <v>1499</v>
      </c>
      <c r="D84" s="56" t="s">
        <v>1311</v>
      </c>
      <c r="E84" s="56" t="s">
        <v>1488</v>
      </c>
      <c r="F84" s="56" t="s">
        <v>1489</v>
      </c>
      <c r="G84" s="56" t="s">
        <v>1092</v>
      </c>
      <c r="H84" s="55" t="s">
        <v>1500</v>
      </c>
      <c r="I84" s="56" t="s">
        <v>299</v>
      </c>
      <c r="J84" s="56"/>
      <c r="K84" s="57">
        <v>44718</v>
      </c>
      <c r="L84" s="55">
        <v>12</v>
      </c>
      <c r="M84" s="55" t="s">
        <v>1315</v>
      </c>
      <c r="N84" s="57"/>
      <c r="O84" s="55">
        <v>0</v>
      </c>
      <c r="P84" s="57">
        <v>45280.551782407405</v>
      </c>
      <c r="Q84" s="58" t="b">
        <f>ISERROR(VLOOKUP($B84,'ILR MonitorDistrubution BAFO_V2'!J:J,1,FALSE))</f>
        <v>0</v>
      </c>
      <c r="R84" s="47"/>
    </row>
    <row r="85" spans="2:18" x14ac:dyDescent="0.25">
      <c r="B85" s="55" t="s">
        <v>1100</v>
      </c>
      <c r="C85" s="55" t="s">
        <v>1501</v>
      </c>
      <c r="D85" s="56" t="s">
        <v>1311</v>
      </c>
      <c r="E85" s="56" t="s">
        <v>1488</v>
      </c>
      <c r="F85" s="56" t="s">
        <v>1489</v>
      </c>
      <c r="G85" s="56" t="s">
        <v>1092</v>
      </c>
      <c r="H85" s="55" t="s">
        <v>1502</v>
      </c>
      <c r="I85" s="56" t="s">
        <v>299</v>
      </c>
      <c r="J85" s="56"/>
      <c r="K85" s="57">
        <v>44718</v>
      </c>
      <c r="L85" s="55">
        <v>12</v>
      </c>
      <c r="M85" s="55" t="s">
        <v>1315</v>
      </c>
      <c r="N85" s="57"/>
      <c r="O85" s="55">
        <v>0</v>
      </c>
      <c r="P85" s="57">
        <v>45280.551770833335</v>
      </c>
      <c r="Q85" s="58" t="b">
        <f>ISERROR(VLOOKUP($B85,'ILR MonitorDistrubution BAFO_V2'!J:J,1,FALSE))</f>
        <v>0</v>
      </c>
      <c r="R85" s="47"/>
    </row>
    <row r="86" spans="2:18" x14ac:dyDescent="0.25">
      <c r="B86" s="55" t="s">
        <v>1101</v>
      </c>
      <c r="C86" s="55" t="s">
        <v>1503</v>
      </c>
      <c r="D86" s="56" t="s">
        <v>1311</v>
      </c>
      <c r="E86" s="56" t="s">
        <v>1488</v>
      </c>
      <c r="F86" s="56" t="s">
        <v>1489</v>
      </c>
      <c r="G86" s="56" t="s">
        <v>1092</v>
      </c>
      <c r="H86" s="55" t="s">
        <v>1504</v>
      </c>
      <c r="I86" s="56" t="s">
        <v>299</v>
      </c>
      <c r="J86" s="56"/>
      <c r="K86" s="57">
        <v>44718</v>
      </c>
      <c r="L86" s="55">
        <v>12</v>
      </c>
      <c r="M86" s="55" t="s">
        <v>1315</v>
      </c>
      <c r="N86" s="57"/>
      <c r="O86" s="55">
        <v>0</v>
      </c>
      <c r="P86" s="57">
        <v>45280.551782407405</v>
      </c>
      <c r="Q86" s="58" t="b">
        <f>ISERROR(VLOOKUP($B86,'ILR MonitorDistrubution BAFO_V2'!J:J,1,FALSE))</f>
        <v>0</v>
      </c>
      <c r="R86" s="47"/>
    </row>
    <row r="87" spans="2:18" x14ac:dyDescent="0.25">
      <c r="B87" s="55" t="s">
        <v>1102</v>
      </c>
      <c r="C87" s="55" t="s">
        <v>1505</v>
      </c>
      <c r="D87" s="56" t="s">
        <v>1311</v>
      </c>
      <c r="E87" s="56" t="s">
        <v>1488</v>
      </c>
      <c r="F87" s="56" t="s">
        <v>1489</v>
      </c>
      <c r="G87" s="56" t="s">
        <v>1092</v>
      </c>
      <c r="H87" s="55" t="s">
        <v>1506</v>
      </c>
      <c r="I87" s="56" t="s">
        <v>299</v>
      </c>
      <c r="J87" s="56"/>
      <c r="K87" s="57">
        <v>44718</v>
      </c>
      <c r="L87" s="55">
        <v>12</v>
      </c>
      <c r="M87" s="55" t="s">
        <v>1315</v>
      </c>
      <c r="N87" s="57"/>
      <c r="O87" s="55">
        <v>0</v>
      </c>
      <c r="P87" s="57">
        <v>45280.551759259259</v>
      </c>
      <c r="Q87" s="58" t="b">
        <f>ISERROR(VLOOKUP($B87,'ILR MonitorDistrubution BAFO_V2'!J:J,1,FALSE))</f>
        <v>0</v>
      </c>
      <c r="R87" s="47"/>
    </row>
    <row r="88" spans="2:18" x14ac:dyDescent="0.25">
      <c r="B88" s="55" t="s">
        <v>1103</v>
      </c>
      <c r="C88" s="55" t="s">
        <v>1507</v>
      </c>
      <c r="D88" s="56" t="s">
        <v>1311</v>
      </c>
      <c r="E88" s="56" t="s">
        <v>1488</v>
      </c>
      <c r="F88" s="56" t="s">
        <v>1489</v>
      </c>
      <c r="G88" s="56" t="s">
        <v>1092</v>
      </c>
      <c r="H88" s="55" t="s">
        <v>1508</v>
      </c>
      <c r="I88" s="56" t="s">
        <v>299</v>
      </c>
      <c r="J88" s="56"/>
      <c r="K88" s="57">
        <v>44718</v>
      </c>
      <c r="L88" s="55">
        <v>12</v>
      </c>
      <c r="M88" s="55" t="s">
        <v>1315</v>
      </c>
      <c r="N88" s="57"/>
      <c r="O88" s="55">
        <v>0</v>
      </c>
      <c r="P88" s="57">
        <v>45280.551770833335</v>
      </c>
      <c r="Q88" s="58" t="b">
        <f>ISERROR(VLOOKUP($B88,'ILR MonitorDistrubution BAFO_V2'!J:J,1,FALSE))</f>
        <v>0</v>
      </c>
      <c r="R88" s="47"/>
    </row>
    <row r="89" spans="2:18" x14ac:dyDescent="0.25">
      <c r="B89" s="55" t="s">
        <v>1104</v>
      </c>
      <c r="C89" s="55" t="s">
        <v>1509</v>
      </c>
      <c r="D89" s="56" t="s">
        <v>1311</v>
      </c>
      <c r="E89" s="56" t="s">
        <v>1488</v>
      </c>
      <c r="F89" s="56" t="s">
        <v>1489</v>
      </c>
      <c r="G89" s="56" t="s">
        <v>1092</v>
      </c>
      <c r="H89" s="55" t="s">
        <v>1510</v>
      </c>
      <c r="I89" s="56" t="s">
        <v>299</v>
      </c>
      <c r="J89" s="56"/>
      <c r="K89" s="57">
        <v>44718</v>
      </c>
      <c r="L89" s="55">
        <v>12</v>
      </c>
      <c r="M89" s="55" t="s">
        <v>1315</v>
      </c>
      <c r="N89" s="57"/>
      <c r="O89" s="55">
        <v>0</v>
      </c>
      <c r="P89" s="57">
        <v>45280.551759259259</v>
      </c>
      <c r="Q89" s="58" t="b">
        <f>ISERROR(VLOOKUP($B89,'ILR MonitorDistrubution BAFO_V2'!J:J,1,FALSE))</f>
        <v>0</v>
      </c>
      <c r="R89" s="47"/>
    </row>
    <row r="90" spans="2:18" x14ac:dyDescent="0.25">
      <c r="B90" s="55" t="s">
        <v>1105</v>
      </c>
      <c r="C90" s="55" t="s">
        <v>1511</v>
      </c>
      <c r="D90" s="56" t="s">
        <v>1311</v>
      </c>
      <c r="E90" s="56" t="s">
        <v>1488</v>
      </c>
      <c r="F90" s="56" t="s">
        <v>1489</v>
      </c>
      <c r="G90" s="56" t="s">
        <v>1092</v>
      </c>
      <c r="H90" s="55" t="s">
        <v>1512</v>
      </c>
      <c r="I90" s="56" t="s">
        <v>299</v>
      </c>
      <c r="J90" s="56"/>
      <c r="K90" s="57">
        <v>44718</v>
      </c>
      <c r="L90" s="55">
        <v>12</v>
      </c>
      <c r="M90" s="55" t="s">
        <v>1315</v>
      </c>
      <c r="N90" s="57"/>
      <c r="O90" s="55">
        <v>0</v>
      </c>
      <c r="P90" s="57">
        <v>45280.551759259259</v>
      </c>
      <c r="Q90" s="58" t="b">
        <f>ISERROR(VLOOKUP($B90,'ILR MonitorDistrubution BAFO_V2'!J:J,1,FALSE))</f>
        <v>0</v>
      </c>
      <c r="R90" s="47"/>
    </row>
    <row r="91" spans="2:18" x14ac:dyDescent="0.25">
      <c r="B91" s="55" t="s">
        <v>1106</v>
      </c>
      <c r="C91" s="55" t="s">
        <v>1513</v>
      </c>
      <c r="D91" s="56" t="s">
        <v>1311</v>
      </c>
      <c r="E91" s="56" t="s">
        <v>1488</v>
      </c>
      <c r="F91" s="56" t="s">
        <v>1489</v>
      </c>
      <c r="G91" s="56" t="s">
        <v>1092</v>
      </c>
      <c r="H91" s="55" t="s">
        <v>1514</v>
      </c>
      <c r="I91" s="56" t="s">
        <v>299</v>
      </c>
      <c r="J91" s="56"/>
      <c r="K91" s="57">
        <v>44718</v>
      </c>
      <c r="L91" s="55">
        <v>12</v>
      </c>
      <c r="M91" s="55" t="s">
        <v>1315</v>
      </c>
      <c r="N91" s="57"/>
      <c r="O91" s="55">
        <v>0</v>
      </c>
      <c r="P91" s="57">
        <v>45280.551770833335</v>
      </c>
      <c r="Q91" s="58" t="b">
        <f>ISERROR(VLOOKUP($B91,'ILR MonitorDistrubution BAFO_V2'!J:J,1,FALSE))</f>
        <v>0</v>
      </c>
      <c r="R91" s="47"/>
    </row>
    <row r="92" spans="2:18" x14ac:dyDescent="0.25">
      <c r="B92" s="55" t="s">
        <v>1107</v>
      </c>
      <c r="C92" s="55" t="s">
        <v>1515</v>
      </c>
      <c r="D92" s="56" t="s">
        <v>1311</v>
      </c>
      <c r="E92" s="56" t="s">
        <v>1488</v>
      </c>
      <c r="F92" s="56" t="s">
        <v>1489</v>
      </c>
      <c r="G92" s="56" t="s">
        <v>1092</v>
      </c>
      <c r="H92" s="55" t="s">
        <v>1516</v>
      </c>
      <c r="I92" s="56" t="s">
        <v>299</v>
      </c>
      <c r="J92" s="56"/>
      <c r="K92" s="57">
        <v>44718</v>
      </c>
      <c r="L92" s="55">
        <v>12</v>
      </c>
      <c r="M92" s="55" t="s">
        <v>1315</v>
      </c>
      <c r="N92" s="57"/>
      <c r="O92" s="55">
        <v>0</v>
      </c>
      <c r="P92" s="57">
        <v>45280.551782407405</v>
      </c>
      <c r="Q92" s="58" t="b">
        <f>ISERROR(VLOOKUP($B92,'ILR MonitorDistrubution BAFO_V2'!J:J,1,FALSE))</f>
        <v>0</v>
      </c>
      <c r="R92" s="47"/>
    </row>
    <row r="93" spans="2:18" x14ac:dyDescent="0.25">
      <c r="B93" s="55" t="s">
        <v>1517</v>
      </c>
      <c r="C93" s="55" t="s">
        <v>1518</v>
      </c>
      <c r="D93" s="56" t="s">
        <v>1311</v>
      </c>
      <c r="E93" s="56" t="s">
        <v>1481</v>
      </c>
      <c r="F93" t="s">
        <v>903</v>
      </c>
      <c r="G93" s="56" t="s">
        <v>1482</v>
      </c>
      <c r="H93" s="55" t="s">
        <v>1519</v>
      </c>
      <c r="I93" s="56" t="s">
        <v>1520</v>
      </c>
      <c r="J93" s="56" t="s">
        <v>1372</v>
      </c>
      <c r="K93" s="57">
        <v>44784</v>
      </c>
      <c r="L93" s="55">
        <v>12</v>
      </c>
      <c r="M93" s="55" t="s">
        <v>1315</v>
      </c>
      <c r="N93" s="57"/>
      <c r="O93" s="55">
        <v>10</v>
      </c>
      <c r="P93" s="57">
        <v>45343.471689814818</v>
      </c>
      <c r="Q93" s="58" t="b">
        <f>ISERROR(VLOOKUP($B93,'ILR MonitorDistrubution BAFO_V2'!J:J,1,FALSE))</f>
        <v>1</v>
      </c>
      <c r="R93" s="47"/>
    </row>
    <row r="94" spans="2:18" x14ac:dyDescent="0.25">
      <c r="B94" s="55" t="s">
        <v>1521</v>
      </c>
      <c r="C94" s="55" t="s">
        <v>1522</v>
      </c>
      <c r="D94" s="56" t="s">
        <v>1311</v>
      </c>
      <c r="E94" s="56" t="s">
        <v>1481</v>
      </c>
      <c r="F94" t="s">
        <v>903</v>
      </c>
      <c r="G94" s="56" t="s">
        <v>1482</v>
      </c>
      <c r="H94" s="55" t="s">
        <v>1523</v>
      </c>
      <c r="I94" s="56" t="s">
        <v>1520</v>
      </c>
      <c r="J94" s="56" t="s">
        <v>1372</v>
      </c>
      <c r="K94" s="57">
        <v>44784</v>
      </c>
      <c r="L94" s="55">
        <v>12</v>
      </c>
      <c r="M94" s="55" t="s">
        <v>1315</v>
      </c>
      <c r="N94" s="57"/>
      <c r="O94" s="55">
        <v>10</v>
      </c>
      <c r="P94" s="57">
        <v>45343.471689814818</v>
      </c>
      <c r="Q94" s="58" t="b">
        <f>ISERROR(VLOOKUP($B94,'ILR MonitorDistrubution BAFO_V2'!J:J,1,FALSE))</f>
        <v>1</v>
      </c>
      <c r="R94" s="47"/>
    </row>
    <row r="95" spans="2:18" x14ac:dyDescent="0.25">
      <c r="B95" s="55" t="s">
        <v>1524</v>
      </c>
      <c r="C95" s="55" t="s">
        <v>1525</v>
      </c>
      <c r="D95" s="56" t="s">
        <v>1311</v>
      </c>
      <c r="E95" s="56" t="s">
        <v>1481</v>
      </c>
      <c r="F95" t="s">
        <v>903</v>
      </c>
      <c r="G95" s="56" t="s">
        <v>1482</v>
      </c>
      <c r="H95" s="55" t="s">
        <v>1526</v>
      </c>
      <c r="I95" s="56" t="s">
        <v>1520</v>
      </c>
      <c r="J95" s="56" t="s">
        <v>1372</v>
      </c>
      <c r="K95" s="57">
        <v>44784</v>
      </c>
      <c r="L95" s="55">
        <v>12</v>
      </c>
      <c r="M95" s="55" t="s">
        <v>1315</v>
      </c>
      <c r="N95" s="57"/>
      <c r="O95" s="55">
        <v>10</v>
      </c>
      <c r="P95" s="57">
        <v>45343.471689814818</v>
      </c>
      <c r="Q95" s="58" t="b">
        <f>ISERROR(VLOOKUP($B95,'ILR MonitorDistrubution BAFO_V2'!J:J,1,FALSE))</f>
        <v>1</v>
      </c>
      <c r="R95" s="47"/>
    </row>
    <row r="96" spans="2:18" x14ac:dyDescent="0.25">
      <c r="B96" s="55"/>
      <c r="C96" s="55" t="s">
        <v>1527</v>
      </c>
      <c r="D96" s="56" t="s">
        <v>1311</v>
      </c>
      <c r="E96" s="56" t="s">
        <v>1528</v>
      </c>
      <c r="F96" s="56" t="s">
        <v>1529</v>
      </c>
      <c r="G96" s="56" t="s">
        <v>1530</v>
      </c>
      <c r="H96" s="55" t="s">
        <v>1531</v>
      </c>
      <c r="I96" s="56" t="s">
        <v>1345</v>
      </c>
      <c r="J96" s="56"/>
      <c r="K96" s="57">
        <v>43640</v>
      </c>
      <c r="L96" s="55">
        <v>12</v>
      </c>
      <c r="M96" s="55" t="s">
        <v>1347</v>
      </c>
      <c r="N96" s="57">
        <v>43640</v>
      </c>
      <c r="O96" s="55">
        <v>10</v>
      </c>
      <c r="P96" s="57">
        <v>45135.510300925926</v>
      </c>
      <c r="Q96" s="58" t="b">
        <f>ISERROR(VLOOKUP($B96,'ILR MonitorDistrubution BAFO_V2'!J:J,1,FALSE))</f>
        <v>1</v>
      </c>
      <c r="R96" s="47"/>
    </row>
    <row r="97" spans="2:18" x14ac:dyDescent="0.25">
      <c r="B97" s="55"/>
      <c r="C97" s="55" t="s">
        <v>1532</v>
      </c>
      <c r="D97" s="56" t="s">
        <v>1311</v>
      </c>
      <c r="E97" s="56" t="s">
        <v>1528</v>
      </c>
      <c r="F97" s="56" t="s">
        <v>1529</v>
      </c>
      <c r="G97" s="56" t="s">
        <v>1530</v>
      </c>
      <c r="H97" s="55" t="s">
        <v>1533</v>
      </c>
      <c r="I97" s="56" t="s">
        <v>1345</v>
      </c>
      <c r="J97" s="56"/>
      <c r="K97" s="57">
        <v>43640</v>
      </c>
      <c r="L97" s="55">
        <v>12</v>
      </c>
      <c r="M97" s="55" t="s">
        <v>1347</v>
      </c>
      <c r="N97" s="57">
        <v>43640</v>
      </c>
      <c r="O97" s="55">
        <v>10</v>
      </c>
      <c r="P97" s="57">
        <v>45135.510300925926</v>
      </c>
      <c r="Q97" s="58" t="b">
        <f>ISERROR(VLOOKUP($B97,'ILR MonitorDistrubution BAFO_V2'!J:J,1,FALSE))</f>
        <v>1</v>
      </c>
      <c r="R97" s="47"/>
    </row>
    <row r="98" spans="2:18" x14ac:dyDescent="0.25">
      <c r="B98" s="55" t="s">
        <v>1534</v>
      </c>
      <c r="C98" s="55" t="s">
        <v>1535</v>
      </c>
      <c r="D98" s="56" t="s">
        <v>1311</v>
      </c>
      <c r="E98" s="56" t="s">
        <v>1536</v>
      </c>
      <c r="F98" s="56" t="s">
        <v>1537</v>
      </c>
      <c r="G98" s="56" t="s">
        <v>1482</v>
      </c>
      <c r="H98" s="55" t="s">
        <v>1538</v>
      </c>
      <c r="I98" s="56" t="s">
        <v>1520</v>
      </c>
      <c r="J98" s="56" t="s">
        <v>1372</v>
      </c>
      <c r="K98" s="57">
        <v>44784</v>
      </c>
      <c r="L98" s="55">
        <v>12</v>
      </c>
      <c r="M98" s="55" t="s">
        <v>1315</v>
      </c>
      <c r="N98" s="57"/>
      <c r="O98" s="55">
        <v>10</v>
      </c>
      <c r="P98" s="57">
        <v>45135.513391203705</v>
      </c>
      <c r="Q98" s="58" t="b">
        <f>ISERROR(VLOOKUP($B98,'ILR MonitorDistrubution BAFO_V2'!J:J,1,FALSE))</f>
        <v>1</v>
      </c>
      <c r="R98" s="47"/>
    </row>
    <row r="99" spans="2:18" x14ac:dyDescent="0.25">
      <c r="B99" s="55" t="s">
        <v>1539</v>
      </c>
      <c r="C99" s="55" t="s">
        <v>1540</v>
      </c>
      <c r="D99" s="56" t="s">
        <v>1311</v>
      </c>
      <c r="E99" s="56" t="s">
        <v>1536</v>
      </c>
      <c r="F99" s="56" t="s">
        <v>1537</v>
      </c>
      <c r="G99" s="56" t="s">
        <v>1482</v>
      </c>
      <c r="H99" s="55" t="s">
        <v>1541</v>
      </c>
      <c r="I99" s="56" t="s">
        <v>1542</v>
      </c>
      <c r="J99" s="56" t="s">
        <v>1372</v>
      </c>
      <c r="K99" s="57">
        <v>44900</v>
      </c>
      <c r="L99" s="55">
        <v>12</v>
      </c>
      <c r="M99" s="55" t="s">
        <v>1359</v>
      </c>
      <c r="N99" s="57">
        <v>44900</v>
      </c>
      <c r="O99" s="55">
        <v>10</v>
      </c>
      <c r="P99" s="57">
        <v>45135.513391203705</v>
      </c>
      <c r="Q99" s="58" t="b">
        <f>ISERROR(VLOOKUP($B99,'ILR MonitorDistrubution BAFO_V2'!J:J,1,FALSE))</f>
        <v>1</v>
      </c>
      <c r="R99" s="47"/>
    </row>
    <row r="100" spans="2:18" x14ac:dyDescent="0.25">
      <c r="B100" s="55" t="s">
        <v>1087</v>
      </c>
      <c r="C100" s="55" t="s">
        <v>1543</v>
      </c>
      <c r="D100" s="56" t="s">
        <v>1311</v>
      </c>
      <c r="E100" s="56" t="s">
        <v>1544</v>
      </c>
      <c r="F100" s="56" t="s">
        <v>1545</v>
      </c>
      <c r="G100" s="56" t="s">
        <v>1546</v>
      </c>
      <c r="H100" s="55" t="s">
        <v>1547</v>
      </c>
      <c r="I100" s="56" t="s">
        <v>1520</v>
      </c>
      <c r="J100" s="56" t="s">
        <v>1548</v>
      </c>
      <c r="K100" s="57">
        <v>44784</v>
      </c>
      <c r="L100" s="55">
        <v>12</v>
      </c>
      <c r="M100" s="55" t="s">
        <v>1315</v>
      </c>
      <c r="N100" s="57"/>
      <c r="O100" s="55">
        <v>10</v>
      </c>
      <c r="P100" s="57">
        <v>45343.471666666665</v>
      </c>
      <c r="Q100" s="58" t="b">
        <f>ISERROR(VLOOKUP($B100,'ILR MonitorDistrubution BAFO_V2'!J:J,1,FALSE))</f>
        <v>0</v>
      </c>
      <c r="R100" s="47"/>
    </row>
    <row r="101" spans="2:18" x14ac:dyDescent="0.25">
      <c r="B101" s="55" t="s">
        <v>1088</v>
      </c>
      <c r="C101" s="55" t="s">
        <v>1549</v>
      </c>
      <c r="D101" s="56" t="s">
        <v>1311</v>
      </c>
      <c r="E101" s="56" t="s">
        <v>1544</v>
      </c>
      <c r="F101" s="56" t="s">
        <v>1545</v>
      </c>
      <c r="G101" s="56" t="s">
        <v>1546</v>
      </c>
      <c r="H101" s="55" t="s">
        <v>1550</v>
      </c>
      <c r="I101" s="56" t="s">
        <v>1520</v>
      </c>
      <c r="J101" s="56" t="s">
        <v>1548</v>
      </c>
      <c r="K101" s="57">
        <v>44784</v>
      </c>
      <c r="L101" s="55">
        <v>12</v>
      </c>
      <c r="M101" s="55" t="s">
        <v>1315</v>
      </c>
      <c r="N101" s="57"/>
      <c r="O101" s="55">
        <v>10</v>
      </c>
      <c r="P101" s="57">
        <v>45343.471666666665</v>
      </c>
      <c r="Q101" s="58" t="b">
        <f>ISERROR(VLOOKUP($B101,'ILR MonitorDistrubution BAFO_V2'!J:J,1,FALSE))</f>
        <v>0</v>
      </c>
      <c r="R101" s="47"/>
    </row>
    <row r="102" spans="2:18" x14ac:dyDescent="0.25">
      <c r="B102" s="55" t="s">
        <v>1089</v>
      </c>
      <c r="C102" s="55" t="s">
        <v>1551</v>
      </c>
      <c r="D102" s="56" t="s">
        <v>1311</v>
      </c>
      <c r="E102" s="56" t="s">
        <v>1544</v>
      </c>
      <c r="F102" s="56" t="s">
        <v>1545</v>
      </c>
      <c r="G102" s="56" t="s">
        <v>1546</v>
      </c>
      <c r="H102" s="55" t="s">
        <v>1552</v>
      </c>
      <c r="I102" s="56" t="s">
        <v>1520</v>
      </c>
      <c r="J102" s="56" t="s">
        <v>1548</v>
      </c>
      <c r="K102" s="57">
        <v>44784</v>
      </c>
      <c r="L102" s="55">
        <v>12</v>
      </c>
      <c r="M102" s="55" t="s">
        <v>1315</v>
      </c>
      <c r="N102" s="57"/>
      <c r="O102" s="55">
        <v>10</v>
      </c>
      <c r="P102" s="57">
        <v>45343.471678240741</v>
      </c>
      <c r="Q102" s="58" t="b">
        <f>ISERROR(VLOOKUP($B102,'ILR MonitorDistrubution BAFO_V2'!J:J,1,FALSE))</f>
        <v>0</v>
      </c>
      <c r="R102" s="47"/>
    </row>
    <row r="103" spans="2:18" x14ac:dyDescent="0.25">
      <c r="B103" s="55" t="s">
        <v>1090</v>
      </c>
      <c r="C103" s="55" t="s">
        <v>1553</v>
      </c>
      <c r="D103" s="56" t="s">
        <v>1311</v>
      </c>
      <c r="E103" s="56" t="s">
        <v>1544</v>
      </c>
      <c r="F103" s="56" t="s">
        <v>1545</v>
      </c>
      <c r="G103" s="56" t="s">
        <v>1546</v>
      </c>
      <c r="H103" s="55" t="s">
        <v>1554</v>
      </c>
      <c r="I103" s="56" t="s">
        <v>1520</v>
      </c>
      <c r="J103" s="56" t="s">
        <v>1548</v>
      </c>
      <c r="K103" s="57">
        <v>44784</v>
      </c>
      <c r="L103" s="55">
        <v>12</v>
      </c>
      <c r="M103" s="55" t="s">
        <v>1315</v>
      </c>
      <c r="N103" s="57"/>
      <c r="O103" s="55">
        <v>10</v>
      </c>
      <c r="P103" s="57">
        <v>45343.471678240741</v>
      </c>
      <c r="Q103" s="58" t="b">
        <f>ISERROR(VLOOKUP($B103,'ILR MonitorDistrubution BAFO_V2'!J:J,1,FALSE))</f>
        <v>0</v>
      </c>
      <c r="R103" s="47"/>
    </row>
    <row r="104" spans="2:18" x14ac:dyDescent="0.25">
      <c r="B104" s="55" t="s">
        <v>1091</v>
      </c>
      <c r="C104" s="55" t="s">
        <v>1555</v>
      </c>
      <c r="D104" s="56" t="s">
        <v>1311</v>
      </c>
      <c r="E104" s="56" t="s">
        <v>1544</v>
      </c>
      <c r="F104" s="56" t="s">
        <v>1545</v>
      </c>
      <c r="G104" s="56" t="s">
        <v>1546</v>
      </c>
      <c r="H104" s="55" t="s">
        <v>1556</v>
      </c>
      <c r="I104" s="56" t="s">
        <v>1520</v>
      </c>
      <c r="J104" s="56" t="s">
        <v>1548</v>
      </c>
      <c r="K104" s="57">
        <v>44784</v>
      </c>
      <c r="L104" s="55">
        <v>12</v>
      </c>
      <c r="M104" s="55" t="s">
        <v>1315</v>
      </c>
      <c r="N104" s="57"/>
      <c r="O104" s="55">
        <v>10</v>
      </c>
      <c r="P104" s="57">
        <v>45343.471678240741</v>
      </c>
      <c r="Q104" s="58" t="b">
        <f>ISERROR(VLOOKUP($B104,'ILR MonitorDistrubution BAFO_V2'!J:J,1,FALSE))</f>
        <v>0</v>
      </c>
      <c r="R104" s="47"/>
    </row>
    <row r="105" spans="2:18" x14ac:dyDescent="0.25">
      <c r="B105" s="55" t="s">
        <v>1229</v>
      </c>
      <c r="C105" s="55" t="s">
        <v>1557</v>
      </c>
      <c r="D105" s="56" t="s">
        <v>1311</v>
      </c>
      <c r="E105" s="56" t="s">
        <v>1544</v>
      </c>
      <c r="F105" s="56" t="s">
        <v>1545</v>
      </c>
      <c r="G105" s="56" t="s">
        <v>1546</v>
      </c>
      <c r="H105" s="55" t="s">
        <v>1558</v>
      </c>
      <c r="I105" s="56" t="s">
        <v>1520</v>
      </c>
      <c r="J105" s="56" t="s">
        <v>1548</v>
      </c>
      <c r="K105" s="57">
        <v>44784</v>
      </c>
      <c r="L105" s="55">
        <v>12</v>
      </c>
      <c r="M105" s="55" t="s">
        <v>1315</v>
      </c>
      <c r="N105" s="57"/>
      <c r="O105" s="55">
        <v>10</v>
      </c>
      <c r="P105" s="57">
        <v>45343.471678240741</v>
      </c>
      <c r="Q105" s="58" t="b">
        <f>ISERROR(VLOOKUP($B105,'ILR MonitorDistrubution BAFO_V2'!J:J,1,FALSE))</f>
        <v>0</v>
      </c>
      <c r="R105" s="47"/>
    </row>
    <row r="106" spans="2:18" x14ac:dyDescent="0.25">
      <c r="B106" s="55" t="s">
        <v>332</v>
      </c>
      <c r="C106" s="55" t="s">
        <v>1559</v>
      </c>
      <c r="D106" s="56" t="s">
        <v>1311</v>
      </c>
      <c r="E106" s="56" t="s">
        <v>1560</v>
      </c>
      <c r="F106" s="56" t="s">
        <v>1561</v>
      </c>
      <c r="G106" s="56" t="s">
        <v>1357</v>
      </c>
      <c r="H106" s="55" t="s">
        <v>1562</v>
      </c>
      <c r="I106" s="56" t="s">
        <v>1381</v>
      </c>
      <c r="J106" s="56"/>
      <c r="K106" s="57">
        <v>44327</v>
      </c>
      <c r="L106" s="55">
        <v>12</v>
      </c>
      <c r="M106" s="55" t="s">
        <v>1315</v>
      </c>
      <c r="N106" s="57">
        <v>44327</v>
      </c>
      <c r="O106" s="55">
        <v>10</v>
      </c>
      <c r="P106" s="57">
        <v>45135.513518518521</v>
      </c>
      <c r="Q106" s="58" t="b">
        <f>ISERROR(VLOOKUP($B106,'ILR MonitorDistrubution BAFO_V2'!J:J,1,FALSE))</f>
        <v>0</v>
      </c>
      <c r="R106" s="47"/>
    </row>
    <row r="107" spans="2:18" x14ac:dyDescent="0.25">
      <c r="B107" s="55" t="s">
        <v>330</v>
      </c>
      <c r="C107" s="55" t="s">
        <v>1563</v>
      </c>
      <c r="D107" s="56" t="s">
        <v>1311</v>
      </c>
      <c r="E107" s="56" t="s">
        <v>1560</v>
      </c>
      <c r="F107" s="56" t="s">
        <v>1561</v>
      </c>
      <c r="G107" s="56" t="s">
        <v>1357</v>
      </c>
      <c r="H107" s="55" t="s">
        <v>1564</v>
      </c>
      <c r="I107" s="56" t="s">
        <v>1381</v>
      </c>
      <c r="J107" s="56"/>
      <c r="K107" s="57">
        <v>44327</v>
      </c>
      <c r="L107" s="55">
        <v>12</v>
      </c>
      <c r="M107" s="55" t="s">
        <v>1315</v>
      </c>
      <c r="N107" s="57">
        <v>44327</v>
      </c>
      <c r="O107" s="55">
        <v>10</v>
      </c>
      <c r="P107" s="57">
        <v>45135.513518518521</v>
      </c>
      <c r="Q107" s="58" t="b">
        <f>ISERROR(VLOOKUP($B107,'ILR MonitorDistrubution BAFO_V2'!J:J,1,FALSE))</f>
        <v>0</v>
      </c>
      <c r="R107" s="47"/>
    </row>
    <row r="108" spans="2:18" x14ac:dyDescent="0.25">
      <c r="B108" s="55" t="s">
        <v>307</v>
      </c>
      <c r="C108" s="55" t="s">
        <v>1565</v>
      </c>
      <c r="D108" s="56" t="s">
        <v>1311</v>
      </c>
      <c r="E108" s="56" t="s">
        <v>1560</v>
      </c>
      <c r="F108" s="56" t="s">
        <v>1561</v>
      </c>
      <c r="G108" s="56" t="s">
        <v>1357</v>
      </c>
      <c r="H108" s="55" t="s">
        <v>1566</v>
      </c>
      <c r="I108" s="56" t="s">
        <v>1381</v>
      </c>
      <c r="J108" s="56"/>
      <c r="K108" s="57">
        <v>44327</v>
      </c>
      <c r="L108" s="55">
        <v>12</v>
      </c>
      <c r="M108" s="55" t="s">
        <v>1315</v>
      </c>
      <c r="N108" s="57">
        <v>44327</v>
      </c>
      <c r="O108" s="55">
        <v>10</v>
      </c>
      <c r="P108" s="57">
        <v>45135.513518518521</v>
      </c>
      <c r="Q108" s="58" t="b">
        <f>ISERROR(VLOOKUP($B108,'ILR MonitorDistrubution BAFO_V2'!J:J,1,FALSE))</f>
        <v>0</v>
      </c>
      <c r="R108" s="47"/>
    </row>
    <row r="109" spans="2:18" x14ac:dyDescent="0.25">
      <c r="B109" s="55" t="s">
        <v>312</v>
      </c>
      <c r="C109" s="55" t="s">
        <v>1567</v>
      </c>
      <c r="D109" s="56" t="s">
        <v>1311</v>
      </c>
      <c r="E109" s="56" t="s">
        <v>1560</v>
      </c>
      <c r="F109" s="56" t="s">
        <v>1561</v>
      </c>
      <c r="G109" s="56" t="s">
        <v>1357</v>
      </c>
      <c r="H109" s="55" t="s">
        <v>1568</v>
      </c>
      <c r="I109" s="56" t="s">
        <v>1381</v>
      </c>
      <c r="J109" s="56"/>
      <c r="K109" s="57">
        <v>44327</v>
      </c>
      <c r="L109" s="55">
        <v>12</v>
      </c>
      <c r="M109" s="55" t="s">
        <v>1315</v>
      </c>
      <c r="N109" s="57">
        <v>44327</v>
      </c>
      <c r="O109" s="55">
        <v>10</v>
      </c>
      <c r="P109" s="57">
        <v>45135.51353009259</v>
      </c>
      <c r="Q109" s="58" t="b">
        <f>ISERROR(VLOOKUP($B109,'ILR MonitorDistrubution BAFO_V2'!J:J,1,FALSE))</f>
        <v>0</v>
      </c>
      <c r="R109" s="47"/>
    </row>
    <row r="110" spans="2:18" x14ac:dyDescent="0.25">
      <c r="B110" s="55" t="s">
        <v>349</v>
      </c>
      <c r="C110" s="55" t="s">
        <v>1569</v>
      </c>
      <c r="D110" s="56" t="s">
        <v>1311</v>
      </c>
      <c r="E110" s="56" t="s">
        <v>1560</v>
      </c>
      <c r="F110" s="56" t="s">
        <v>1561</v>
      </c>
      <c r="G110" s="56" t="s">
        <v>1357</v>
      </c>
      <c r="H110" s="55" t="s">
        <v>1570</v>
      </c>
      <c r="I110" s="56" t="s">
        <v>1381</v>
      </c>
      <c r="J110" s="56"/>
      <c r="K110" s="57">
        <v>44327</v>
      </c>
      <c r="L110" s="55">
        <v>12</v>
      </c>
      <c r="M110" s="55" t="s">
        <v>1315</v>
      </c>
      <c r="N110" s="57">
        <v>44327</v>
      </c>
      <c r="O110" s="55">
        <v>10</v>
      </c>
      <c r="P110" s="57">
        <v>45135.51353009259</v>
      </c>
      <c r="Q110" s="58" t="b">
        <f>ISERROR(VLOOKUP($B110,'ILR MonitorDistrubution BAFO_V2'!J:J,1,FALSE))</f>
        <v>0</v>
      </c>
      <c r="R110" s="47"/>
    </row>
    <row r="111" spans="2:18" x14ac:dyDescent="0.25">
      <c r="B111" s="55" t="s">
        <v>326</v>
      </c>
      <c r="C111" s="55" t="s">
        <v>1571</v>
      </c>
      <c r="D111" s="56" t="s">
        <v>1311</v>
      </c>
      <c r="E111" s="56" t="s">
        <v>1560</v>
      </c>
      <c r="F111" s="56" t="s">
        <v>1561</v>
      </c>
      <c r="G111" s="56" t="s">
        <v>1357</v>
      </c>
      <c r="H111" s="55" t="s">
        <v>1572</v>
      </c>
      <c r="I111" s="56" t="s">
        <v>1381</v>
      </c>
      <c r="J111" s="56"/>
      <c r="K111" s="57">
        <v>44327</v>
      </c>
      <c r="L111" s="55">
        <v>12</v>
      </c>
      <c r="M111" s="55" t="s">
        <v>1315</v>
      </c>
      <c r="N111" s="57">
        <v>44327</v>
      </c>
      <c r="O111" s="55">
        <v>10</v>
      </c>
      <c r="P111" s="57">
        <v>45135.51353009259</v>
      </c>
      <c r="Q111" s="58" t="b">
        <f>ISERROR(VLOOKUP($B111,'ILR MonitorDistrubution BAFO_V2'!J:J,1,FALSE))</f>
        <v>0</v>
      </c>
      <c r="R111" s="47"/>
    </row>
    <row r="112" spans="2:18" x14ac:dyDescent="0.25">
      <c r="B112" s="55" t="s">
        <v>310</v>
      </c>
      <c r="C112" s="55" t="s">
        <v>1573</v>
      </c>
      <c r="D112" s="56" t="s">
        <v>1311</v>
      </c>
      <c r="E112" s="56" t="s">
        <v>1560</v>
      </c>
      <c r="F112" s="56" t="s">
        <v>1561</v>
      </c>
      <c r="G112" s="56" t="s">
        <v>1357</v>
      </c>
      <c r="H112" s="55" t="s">
        <v>1574</v>
      </c>
      <c r="I112" s="56" t="s">
        <v>1381</v>
      </c>
      <c r="J112" s="56"/>
      <c r="K112" s="57">
        <v>44327</v>
      </c>
      <c r="L112" s="55">
        <v>12</v>
      </c>
      <c r="M112" s="55" t="s">
        <v>1315</v>
      </c>
      <c r="N112" s="57">
        <v>44327</v>
      </c>
      <c r="O112" s="55">
        <v>10</v>
      </c>
      <c r="P112" s="57">
        <v>45135.51353009259</v>
      </c>
      <c r="Q112" s="58" t="b">
        <f>ISERROR(VLOOKUP($B112,'ILR MonitorDistrubution BAFO_V2'!J:J,1,FALSE))</f>
        <v>0</v>
      </c>
      <c r="R112" s="47"/>
    </row>
    <row r="113" spans="2:18" x14ac:dyDescent="0.25">
      <c r="B113" s="55" t="s">
        <v>362</v>
      </c>
      <c r="C113" s="55" t="s">
        <v>1575</v>
      </c>
      <c r="D113" s="56" t="s">
        <v>1311</v>
      </c>
      <c r="E113" s="56" t="s">
        <v>1560</v>
      </c>
      <c r="F113" s="56" t="s">
        <v>1561</v>
      </c>
      <c r="G113" s="56" t="s">
        <v>1357</v>
      </c>
      <c r="H113" s="55" t="s">
        <v>1576</v>
      </c>
      <c r="I113" s="56" t="s">
        <v>1381</v>
      </c>
      <c r="J113" s="56"/>
      <c r="K113" s="57">
        <v>44327</v>
      </c>
      <c r="L113" s="55">
        <v>12</v>
      </c>
      <c r="M113" s="55" t="s">
        <v>1315</v>
      </c>
      <c r="N113" s="57">
        <v>44327</v>
      </c>
      <c r="O113" s="55">
        <v>10</v>
      </c>
      <c r="P113" s="57">
        <v>45135.51353009259</v>
      </c>
      <c r="Q113" s="58" t="b">
        <f>ISERROR(VLOOKUP($B113,'ILR MonitorDistrubution BAFO_V2'!J:J,1,FALSE))</f>
        <v>0</v>
      </c>
      <c r="R113" s="47"/>
    </row>
    <row r="114" spans="2:18" x14ac:dyDescent="0.25">
      <c r="B114" s="55" t="s">
        <v>318</v>
      </c>
      <c r="C114" s="55" t="s">
        <v>1577</v>
      </c>
      <c r="D114" s="56" t="s">
        <v>1311</v>
      </c>
      <c r="E114" s="56" t="s">
        <v>1560</v>
      </c>
      <c r="F114" s="56" t="s">
        <v>1561</v>
      </c>
      <c r="G114" s="56" t="s">
        <v>1357</v>
      </c>
      <c r="H114" s="55" t="s">
        <v>1578</v>
      </c>
      <c r="I114" s="56" t="s">
        <v>1381</v>
      </c>
      <c r="J114" s="56"/>
      <c r="K114" s="57">
        <v>44327</v>
      </c>
      <c r="L114" s="55">
        <v>12</v>
      </c>
      <c r="M114" s="55" t="s">
        <v>1315</v>
      </c>
      <c r="N114" s="57">
        <v>44327</v>
      </c>
      <c r="O114" s="55">
        <v>10</v>
      </c>
      <c r="P114" s="57">
        <v>45135.51353009259</v>
      </c>
      <c r="Q114" s="58" t="b">
        <f>ISERROR(VLOOKUP($B114,'ILR MonitorDistrubution BAFO_V2'!J:J,1,FALSE))</f>
        <v>0</v>
      </c>
      <c r="R114" s="47"/>
    </row>
    <row r="115" spans="2:18" x14ac:dyDescent="0.25">
      <c r="B115" s="55" t="s">
        <v>328</v>
      </c>
      <c r="C115" s="55" t="s">
        <v>1579</v>
      </c>
      <c r="D115" s="56" t="s">
        <v>1311</v>
      </c>
      <c r="E115" s="56" t="s">
        <v>1560</v>
      </c>
      <c r="F115" s="56" t="s">
        <v>1561</v>
      </c>
      <c r="G115" s="56" t="s">
        <v>1357</v>
      </c>
      <c r="H115" s="55" t="s">
        <v>1580</v>
      </c>
      <c r="I115" s="56" t="s">
        <v>1381</v>
      </c>
      <c r="J115" s="56"/>
      <c r="K115" s="57">
        <v>44327</v>
      </c>
      <c r="L115" s="55">
        <v>12</v>
      </c>
      <c r="M115" s="55" t="s">
        <v>1315</v>
      </c>
      <c r="N115" s="57">
        <v>44327</v>
      </c>
      <c r="O115" s="55">
        <v>10</v>
      </c>
      <c r="P115" s="57">
        <v>45135.51353009259</v>
      </c>
      <c r="Q115" s="58" t="b">
        <f>ISERROR(VLOOKUP($B115,'ILR MonitorDistrubution BAFO_V2'!J:J,1,FALSE))</f>
        <v>0</v>
      </c>
      <c r="R115" s="47"/>
    </row>
    <row r="116" spans="2:18" x14ac:dyDescent="0.25">
      <c r="B116" s="55" t="s">
        <v>337</v>
      </c>
      <c r="C116" s="55" t="s">
        <v>1581</v>
      </c>
      <c r="D116" s="56" t="s">
        <v>1311</v>
      </c>
      <c r="E116" s="56" t="s">
        <v>1560</v>
      </c>
      <c r="F116" s="56" t="s">
        <v>1561</v>
      </c>
      <c r="G116" s="56" t="s">
        <v>1357</v>
      </c>
      <c r="H116" s="55" t="s">
        <v>1582</v>
      </c>
      <c r="I116" s="56" t="s">
        <v>1381</v>
      </c>
      <c r="J116" s="56"/>
      <c r="K116" s="57">
        <v>44327</v>
      </c>
      <c r="L116" s="55">
        <v>12</v>
      </c>
      <c r="M116" s="55" t="s">
        <v>1315</v>
      </c>
      <c r="N116" s="57">
        <v>44327</v>
      </c>
      <c r="O116" s="55">
        <v>10</v>
      </c>
      <c r="P116" s="57">
        <v>45135.51353009259</v>
      </c>
      <c r="Q116" s="58" t="b">
        <f>ISERROR(VLOOKUP($B116,'ILR MonitorDistrubution BAFO_V2'!J:J,1,FALSE))</f>
        <v>0</v>
      </c>
      <c r="R116" s="47"/>
    </row>
    <row r="117" spans="2:18" x14ac:dyDescent="0.25">
      <c r="B117" s="55" t="s">
        <v>354</v>
      </c>
      <c r="C117" s="55" t="s">
        <v>1583</v>
      </c>
      <c r="D117" s="56" t="s">
        <v>1311</v>
      </c>
      <c r="E117" s="56" t="s">
        <v>1560</v>
      </c>
      <c r="F117" s="56" t="s">
        <v>1561</v>
      </c>
      <c r="G117" s="56" t="s">
        <v>1357</v>
      </c>
      <c r="H117" s="55" t="s">
        <v>1584</v>
      </c>
      <c r="I117" s="56" t="s">
        <v>1381</v>
      </c>
      <c r="J117" s="56"/>
      <c r="K117" s="57">
        <v>44327</v>
      </c>
      <c r="L117" s="55">
        <v>12</v>
      </c>
      <c r="M117" s="55" t="s">
        <v>1315</v>
      </c>
      <c r="N117" s="57">
        <v>44327</v>
      </c>
      <c r="O117" s="55">
        <v>10</v>
      </c>
      <c r="P117" s="57">
        <v>45135.513541666667</v>
      </c>
      <c r="Q117" s="58" t="b">
        <f>ISERROR(VLOOKUP($B117,'ILR MonitorDistrubution BAFO_V2'!J:J,1,FALSE))</f>
        <v>0</v>
      </c>
      <c r="R117" s="47"/>
    </row>
    <row r="118" spans="2:18" x14ac:dyDescent="0.25">
      <c r="B118" s="55" t="s">
        <v>323</v>
      </c>
      <c r="C118" s="55" t="s">
        <v>1585</v>
      </c>
      <c r="D118" s="56" t="s">
        <v>1311</v>
      </c>
      <c r="E118" s="56" t="s">
        <v>1560</v>
      </c>
      <c r="F118" s="56" t="s">
        <v>1561</v>
      </c>
      <c r="G118" s="56" t="s">
        <v>1357</v>
      </c>
      <c r="H118" s="55" t="s">
        <v>1586</v>
      </c>
      <c r="I118" s="56" t="s">
        <v>1381</v>
      </c>
      <c r="J118" s="56"/>
      <c r="K118" s="57">
        <v>44327</v>
      </c>
      <c r="L118" s="55">
        <v>12</v>
      </c>
      <c r="M118" s="55" t="s">
        <v>1315</v>
      </c>
      <c r="N118" s="57">
        <v>44327</v>
      </c>
      <c r="O118" s="55">
        <v>10</v>
      </c>
      <c r="P118" s="57">
        <v>45135.513541666667</v>
      </c>
      <c r="Q118" s="58" t="b">
        <f>ISERROR(VLOOKUP($B118,'ILR MonitorDistrubution BAFO_V2'!J:J,1,FALSE))</f>
        <v>0</v>
      </c>
      <c r="R118" s="47"/>
    </row>
    <row r="119" spans="2:18" x14ac:dyDescent="0.25">
      <c r="B119" s="55" t="s">
        <v>335</v>
      </c>
      <c r="C119" s="55" t="s">
        <v>1587</v>
      </c>
      <c r="D119" s="56" t="s">
        <v>1311</v>
      </c>
      <c r="E119" s="56" t="s">
        <v>1560</v>
      </c>
      <c r="F119" s="56" t="s">
        <v>1561</v>
      </c>
      <c r="G119" s="56" t="s">
        <v>1357</v>
      </c>
      <c r="H119" s="55" t="s">
        <v>1588</v>
      </c>
      <c r="I119" s="56" t="s">
        <v>1381</v>
      </c>
      <c r="J119" s="56"/>
      <c r="K119" s="57">
        <v>44327</v>
      </c>
      <c r="L119" s="55">
        <v>12</v>
      </c>
      <c r="M119" s="55" t="s">
        <v>1315</v>
      </c>
      <c r="N119" s="57">
        <v>44327</v>
      </c>
      <c r="O119" s="55">
        <v>10</v>
      </c>
      <c r="P119" s="57">
        <v>45135.513541666667</v>
      </c>
      <c r="Q119" s="58" t="b">
        <f>ISERROR(VLOOKUP($B119,'ILR MonitorDistrubution BAFO_V2'!J:J,1,FALSE))</f>
        <v>0</v>
      </c>
      <c r="R119" s="47"/>
    </row>
    <row r="120" spans="2:18" x14ac:dyDescent="0.25">
      <c r="B120" s="55" t="s">
        <v>1175</v>
      </c>
      <c r="C120" s="55" t="s">
        <v>1589</v>
      </c>
      <c r="D120" s="56" t="s">
        <v>1311</v>
      </c>
      <c r="E120" s="56" t="s">
        <v>1560</v>
      </c>
      <c r="F120" s="56" t="s">
        <v>1561</v>
      </c>
      <c r="G120" s="56" t="s">
        <v>1357</v>
      </c>
      <c r="H120" s="55" t="s">
        <v>1590</v>
      </c>
      <c r="I120" s="56" t="s">
        <v>1520</v>
      </c>
      <c r="J120" s="56" t="s">
        <v>1372</v>
      </c>
      <c r="K120" s="57">
        <v>44784</v>
      </c>
      <c r="L120" s="55">
        <v>12</v>
      </c>
      <c r="M120" s="55" t="s">
        <v>1315</v>
      </c>
      <c r="N120" s="57"/>
      <c r="O120" s="55">
        <v>10</v>
      </c>
      <c r="P120" s="57">
        <v>45343.471712962964</v>
      </c>
      <c r="Q120" s="58" t="b">
        <f>ISERROR(VLOOKUP($B120,'ILR MonitorDistrubution BAFO_V2'!J:J,1,FALSE))</f>
        <v>0</v>
      </c>
      <c r="R120" s="47"/>
    </row>
    <row r="121" spans="2:18" x14ac:dyDescent="0.25">
      <c r="B121" s="55" t="s">
        <v>1176</v>
      </c>
      <c r="C121" s="55" t="s">
        <v>1591</v>
      </c>
      <c r="D121" s="56" t="s">
        <v>1311</v>
      </c>
      <c r="E121" s="56" t="s">
        <v>1560</v>
      </c>
      <c r="F121" s="56" t="s">
        <v>1561</v>
      </c>
      <c r="G121" s="56" t="s">
        <v>1357</v>
      </c>
      <c r="H121" s="55" t="s">
        <v>1592</v>
      </c>
      <c r="I121" s="56" t="s">
        <v>1520</v>
      </c>
      <c r="J121" s="56" t="s">
        <v>1372</v>
      </c>
      <c r="K121" s="57">
        <v>44784</v>
      </c>
      <c r="L121" s="55">
        <v>12</v>
      </c>
      <c r="M121" s="55" t="s">
        <v>1315</v>
      </c>
      <c r="N121" s="57"/>
      <c r="O121" s="55">
        <v>10</v>
      </c>
      <c r="P121" s="57">
        <v>45343.471712962964</v>
      </c>
      <c r="Q121" s="58" t="b">
        <f>ISERROR(VLOOKUP($B121,'ILR MonitorDistrubution BAFO_V2'!J:J,1,FALSE))</f>
        <v>0</v>
      </c>
      <c r="R121" s="47"/>
    </row>
    <row r="122" spans="2:18" x14ac:dyDescent="0.25">
      <c r="B122" s="55" t="s">
        <v>1177</v>
      </c>
      <c r="C122" s="55" t="s">
        <v>1593</v>
      </c>
      <c r="D122" s="56" t="s">
        <v>1311</v>
      </c>
      <c r="E122" s="56" t="s">
        <v>1560</v>
      </c>
      <c r="F122" s="56" t="s">
        <v>1561</v>
      </c>
      <c r="G122" s="56" t="s">
        <v>1357</v>
      </c>
      <c r="H122" s="55" t="s">
        <v>1594</v>
      </c>
      <c r="I122" s="56" t="s">
        <v>1520</v>
      </c>
      <c r="J122" s="56" t="s">
        <v>1372</v>
      </c>
      <c r="K122" s="57">
        <v>44784</v>
      </c>
      <c r="L122" s="55">
        <v>12</v>
      </c>
      <c r="M122" s="55" t="s">
        <v>1315</v>
      </c>
      <c r="N122" s="57"/>
      <c r="O122" s="55">
        <v>10</v>
      </c>
      <c r="P122" s="57">
        <v>45343.471712962964</v>
      </c>
      <c r="Q122" s="58" t="b">
        <f>ISERROR(VLOOKUP($B122,'ILR MonitorDistrubution BAFO_V2'!J:J,1,FALSE))</f>
        <v>0</v>
      </c>
      <c r="R122" s="47"/>
    </row>
    <row r="123" spans="2:18" x14ac:dyDescent="0.25">
      <c r="B123" s="55" t="s">
        <v>1178</v>
      </c>
      <c r="C123" s="55" t="s">
        <v>1595</v>
      </c>
      <c r="D123" s="56" t="s">
        <v>1311</v>
      </c>
      <c r="E123" s="56" t="s">
        <v>1560</v>
      </c>
      <c r="F123" s="56" t="s">
        <v>1561</v>
      </c>
      <c r="G123" s="56" t="s">
        <v>1357</v>
      </c>
      <c r="H123" s="55" t="s">
        <v>1596</v>
      </c>
      <c r="I123" s="56" t="s">
        <v>1520</v>
      </c>
      <c r="J123" s="56" t="s">
        <v>1372</v>
      </c>
      <c r="K123" s="57">
        <v>44784</v>
      </c>
      <c r="L123" s="55">
        <v>12</v>
      </c>
      <c r="M123" s="55" t="s">
        <v>1315</v>
      </c>
      <c r="N123" s="57"/>
      <c r="O123" s="55">
        <v>10</v>
      </c>
      <c r="P123" s="57">
        <v>45343.471712962964</v>
      </c>
      <c r="Q123" s="58" t="b">
        <f>ISERROR(VLOOKUP($B123,'ILR MonitorDistrubution BAFO_V2'!J:J,1,FALSE))</f>
        <v>0</v>
      </c>
      <c r="R123" s="47"/>
    </row>
    <row r="124" spans="2:18" x14ac:dyDescent="0.25">
      <c r="B124" s="55" t="s">
        <v>1179</v>
      </c>
      <c r="C124" s="55" t="s">
        <v>1597</v>
      </c>
      <c r="D124" s="56" t="s">
        <v>1311</v>
      </c>
      <c r="E124" s="56" t="s">
        <v>1560</v>
      </c>
      <c r="F124" s="56" t="s">
        <v>1561</v>
      </c>
      <c r="G124" s="56" t="s">
        <v>1357</v>
      </c>
      <c r="H124" s="55" t="s">
        <v>1598</v>
      </c>
      <c r="I124" s="56" t="s">
        <v>1520</v>
      </c>
      <c r="J124" s="56" t="s">
        <v>1372</v>
      </c>
      <c r="K124" s="57">
        <v>44784</v>
      </c>
      <c r="L124" s="55">
        <v>12</v>
      </c>
      <c r="M124" s="55" t="s">
        <v>1315</v>
      </c>
      <c r="N124" s="57"/>
      <c r="O124" s="55">
        <v>10</v>
      </c>
      <c r="P124" s="57">
        <v>45343.471712962964</v>
      </c>
      <c r="Q124" s="58" t="b">
        <f>ISERROR(VLOOKUP($B124,'ILR MonitorDistrubution BAFO_V2'!J:J,1,FALSE))</f>
        <v>0</v>
      </c>
      <c r="R124" s="47"/>
    </row>
    <row r="125" spans="2:18" x14ac:dyDescent="0.25">
      <c r="B125" s="55" t="s">
        <v>1180</v>
      </c>
      <c r="C125" s="55" t="s">
        <v>1599</v>
      </c>
      <c r="D125" s="56" t="s">
        <v>1311</v>
      </c>
      <c r="E125" s="56" t="s">
        <v>1560</v>
      </c>
      <c r="F125" s="56" t="s">
        <v>1561</v>
      </c>
      <c r="G125" s="56" t="s">
        <v>1357</v>
      </c>
      <c r="H125" s="55" t="s">
        <v>1600</v>
      </c>
      <c r="I125" s="56" t="s">
        <v>1520</v>
      </c>
      <c r="J125" s="56" t="s">
        <v>1372</v>
      </c>
      <c r="K125" s="57">
        <v>44784</v>
      </c>
      <c r="L125" s="55">
        <v>12</v>
      </c>
      <c r="M125" s="55" t="s">
        <v>1315</v>
      </c>
      <c r="N125" s="57"/>
      <c r="O125" s="55">
        <v>10</v>
      </c>
      <c r="P125" s="57">
        <v>45343.471712962964</v>
      </c>
      <c r="Q125" s="58" t="b">
        <f>ISERROR(VLOOKUP($B125,'ILR MonitorDistrubution BAFO_V2'!J:J,1,FALSE))</f>
        <v>0</v>
      </c>
      <c r="R125" s="47"/>
    </row>
    <row r="126" spans="2:18" x14ac:dyDescent="0.25">
      <c r="B126" s="55" t="s">
        <v>1194</v>
      </c>
      <c r="C126" s="55" t="s">
        <v>1601</v>
      </c>
      <c r="D126" s="56" t="s">
        <v>1311</v>
      </c>
      <c r="E126" s="56" t="s">
        <v>1602</v>
      </c>
      <c r="F126" s="56" t="s">
        <v>1603</v>
      </c>
      <c r="G126" s="56" t="s">
        <v>1604</v>
      </c>
      <c r="H126" s="55" t="s">
        <v>1605</v>
      </c>
      <c r="I126" s="56" t="s">
        <v>1606</v>
      </c>
      <c r="J126" s="56" t="s">
        <v>1382</v>
      </c>
      <c r="K126" s="57">
        <v>44057</v>
      </c>
      <c r="L126" s="55">
        <v>12</v>
      </c>
      <c r="M126" s="55" t="s">
        <v>1315</v>
      </c>
      <c r="N126" s="57">
        <v>44057</v>
      </c>
      <c r="O126" s="55">
        <v>10</v>
      </c>
      <c r="P126" s="57">
        <v>45135.513657407406</v>
      </c>
      <c r="Q126" s="58" t="b">
        <f>ISERROR(VLOOKUP($B126,'ILR MonitorDistrubution BAFO_V2'!J:J,1,FALSE))</f>
        <v>0</v>
      </c>
      <c r="R126" s="47"/>
    </row>
    <row r="127" spans="2:18" x14ac:dyDescent="0.25">
      <c r="B127" s="55" t="s">
        <v>1195</v>
      </c>
      <c r="C127" s="55" t="s">
        <v>1607</v>
      </c>
      <c r="D127" s="56" t="s">
        <v>1311</v>
      </c>
      <c r="E127" s="56" t="s">
        <v>1602</v>
      </c>
      <c r="F127" s="56" t="s">
        <v>1603</v>
      </c>
      <c r="G127" s="56" t="s">
        <v>1604</v>
      </c>
      <c r="H127" s="55" t="s">
        <v>1608</v>
      </c>
      <c r="I127" s="56" t="s">
        <v>1415</v>
      </c>
      <c r="J127" s="56" t="s">
        <v>1382</v>
      </c>
      <c r="K127" s="57">
        <v>44033</v>
      </c>
      <c r="L127" s="55">
        <v>12</v>
      </c>
      <c r="M127" s="55" t="s">
        <v>1315</v>
      </c>
      <c r="N127" s="57">
        <v>44033</v>
      </c>
      <c r="O127" s="55">
        <v>10</v>
      </c>
      <c r="P127" s="57">
        <v>45135.513287037036</v>
      </c>
      <c r="Q127" s="58" t="b">
        <f>ISERROR(VLOOKUP($B127,'ILR MonitorDistrubution BAFO_V2'!J:J,1,FALSE))</f>
        <v>0</v>
      </c>
      <c r="R127" s="47"/>
    </row>
    <row r="128" spans="2:18" x14ac:dyDescent="0.25">
      <c r="B128" s="55" t="s">
        <v>1192</v>
      </c>
      <c r="C128" s="55" t="s">
        <v>1609</v>
      </c>
      <c r="D128" s="56" t="s">
        <v>1311</v>
      </c>
      <c r="E128" s="56" t="s">
        <v>1602</v>
      </c>
      <c r="F128" s="56" t="s">
        <v>1603</v>
      </c>
      <c r="G128" s="56" t="s">
        <v>1604</v>
      </c>
      <c r="H128" s="55" t="s">
        <v>1610</v>
      </c>
      <c r="I128" s="56" t="s">
        <v>1428</v>
      </c>
      <c r="J128" s="56" t="s">
        <v>1382</v>
      </c>
      <c r="K128" s="57">
        <v>44033</v>
      </c>
      <c r="L128" s="55">
        <v>12</v>
      </c>
      <c r="M128" s="55" t="s">
        <v>1315</v>
      </c>
      <c r="N128" s="57">
        <v>44033</v>
      </c>
      <c r="O128" s="55">
        <v>10</v>
      </c>
      <c r="P128" s="57">
        <v>45135.513287037036</v>
      </c>
      <c r="Q128" s="58" t="b">
        <f>ISERROR(VLOOKUP($B128,'ILR MonitorDistrubution BAFO_V2'!J:J,1,FALSE))</f>
        <v>0</v>
      </c>
      <c r="R128" s="47"/>
    </row>
    <row r="129" spans="2:18" x14ac:dyDescent="0.25">
      <c r="B129" s="55" t="s">
        <v>1193</v>
      </c>
      <c r="C129" s="55" t="s">
        <v>1611</v>
      </c>
      <c r="D129" s="56" t="s">
        <v>1311</v>
      </c>
      <c r="E129" s="56" t="s">
        <v>1602</v>
      </c>
      <c r="F129" s="56" t="s">
        <v>1603</v>
      </c>
      <c r="G129" s="56" t="s">
        <v>1604</v>
      </c>
      <c r="H129" s="55" t="s">
        <v>1612</v>
      </c>
      <c r="I129" s="56" t="s">
        <v>1613</v>
      </c>
      <c r="J129" s="56" t="s">
        <v>1614</v>
      </c>
      <c r="K129" s="57">
        <v>43640</v>
      </c>
      <c r="L129" s="55">
        <v>12</v>
      </c>
      <c r="M129" s="55" t="s">
        <v>1315</v>
      </c>
      <c r="N129" s="57">
        <v>40087</v>
      </c>
      <c r="O129" s="55">
        <v>10</v>
      </c>
      <c r="P129" s="57">
        <v>45135.51326388889</v>
      </c>
      <c r="Q129" s="58" t="b">
        <f>ISERROR(VLOOKUP($B129,'ILR MonitorDistrubution BAFO_V2'!J:J,1,FALSE))</f>
        <v>0</v>
      </c>
      <c r="R129" s="47"/>
    </row>
    <row r="130" spans="2:18" x14ac:dyDescent="0.25">
      <c r="B130" s="55" t="s">
        <v>1182</v>
      </c>
      <c r="C130" s="55" t="s">
        <v>1615</v>
      </c>
      <c r="D130" s="56" t="s">
        <v>1311</v>
      </c>
      <c r="E130" s="56" t="s">
        <v>1602</v>
      </c>
      <c r="F130" s="56" t="s">
        <v>1603</v>
      </c>
      <c r="G130" s="56" t="s">
        <v>1604</v>
      </c>
      <c r="H130" s="55" t="s">
        <v>1616</v>
      </c>
      <c r="I130" s="56" t="s">
        <v>1345</v>
      </c>
      <c r="J130" s="56" t="s">
        <v>1614</v>
      </c>
      <c r="K130" s="57">
        <v>43640</v>
      </c>
      <c r="L130" s="55">
        <v>12</v>
      </c>
      <c r="M130" s="55" t="s">
        <v>1347</v>
      </c>
      <c r="N130" s="57">
        <v>40087</v>
      </c>
      <c r="O130" s="55">
        <v>10</v>
      </c>
      <c r="P130" s="57">
        <v>45135.51326388889</v>
      </c>
      <c r="Q130" s="58" t="b">
        <f>ISERROR(VLOOKUP($B130,'ILR MonitorDistrubution BAFO_V2'!J:J,1,FALSE))</f>
        <v>0</v>
      </c>
      <c r="R130" s="47"/>
    </row>
    <row r="131" spans="2:18" x14ac:dyDescent="0.25">
      <c r="B131" s="55" t="s">
        <v>1184</v>
      </c>
      <c r="C131" s="55" t="s">
        <v>1617</v>
      </c>
      <c r="D131" s="56" t="s">
        <v>1311</v>
      </c>
      <c r="E131" s="56" t="s">
        <v>1602</v>
      </c>
      <c r="F131" s="56" t="s">
        <v>1603</v>
      </c>
      <c r="G131" s="56" t="s">
        <v>1604</v>
      </c>
      <c r="H131" s="55" t="s">
        <v>1618</v>
      </c>
      <c r="I131" s="56" t="s">
        <v>1345</v>
      </c>
      <c r="J131" s="56" t="s">
        <v>1614</v>
      </c>
      <c r="K131" s="57">
        <v>43640</v>
      </c>
      <c r="L131" s="55">
        <v>12</v>
      </c>
      <c r="M131" s="55" t="s">
        <v>1347</v>
      </c>
      <c r="N131" s="57">
        <v>40087</v>
      </c>
      <c r="O131" s="55">
        <v>10</v>
      </c>
      <c r="P131" s="57">
        <v>45135.51326388889</v>
      </c>
      <c r="Q131" s="58" t="b">
        <f>ISERROR(VLOOKUP($B131,'ILR MonitorDistrubution BAFO_V2'!J:J,1,FALSE))</f>
        <v>0</v>
      </c>
      <c r="R131" s="47"/>
    </row>
    <row r="132" spans="2:18" x14ac:dyDescent="0.25">
      <c r="B132" s="55" t="s">
        <v>1185</v>
      </c>
      <c r="C132" s="55" t="s">
        <v>1619</v>
      </c>
      <c r="D132" s="56" t="s">
        <v>1311</v>
      </c>
      <c r="E132" s="56" t="s">
        <v>1602</v>
      </c>
      <c r="F132" s="56" t="s">
        <v>1603</v>
      </c>
      <c r="G132" s="56" t="s">
        <v>1604</v>
      </c>
      <c r="H132" s="55" t="s">
        <v>1620</v>
      </c>
      <c r="I132" s="56" t="s">
        <v>1345</v>
      </c>
      <c r="J132" s="56" t="s">
        <v>1614</v>
      </c>
      <c r="K132" s="57">
        <v>43640</v>
      </c>
      <c r="L132" s="55">
        <v>12</v>
      </c>
      <c r="M132" s="55" t="s">
        <v>1347</v>
      </c>
      <c r="N132" s="57">
        <v>40087</v>
      </c>
      <c r="O132" s="55">
        <v>10</v>
      </c>
      <c r="P132" s="57">
        <v>45135.51326388889</v>
      </c>
      <c r="Q132" s="58" t="b">
        <f>ISERROR(VLOOKUP($B132,'ILR MonitorDistrubution BAFO_V2'!J:J,1,FALSE))</f>
        <v>0</v>
      </c>
      <c r="R132" s="47"/>
    </row>
    <row r="133" spans="2:18" x14ac:dyDescent="0.25">
      <c r="B133" s="55" t="s">
        <v>1186</v>
      </c>
      <c r="C133" s="55" t="s">
        <v>1621</v>
      </c>
      <c r="D133" s="56" t="s">
        <v>1311</v>
      </c>
      <c r="E133" s="56" t="s">
        <v>1602</v>
      </c>
      <c r="F133" s="56" t="s">
        <v>1603</v>
      </c>
      <c r="G133" s="56" t="s">
        <v>1604</v>
      </c>
      <c r="H133" s="55" t="s">
        <v>1622</v>
      </c>
      <c r="I133" s="56" t="s">
        <v>1345</v>
      </c>
      <c r="J133" s="56" t="s">
        <v>1614</v>
      </c>
      <c r="K133" s="57">
        <v>43640</v>
      </c>
      <c r="L133" s="55">
        <v>12</v>
      </c>
      <c r="M133" s="55" t="s">
        <v>1347</v>
      </c>
      <c r="N133" s="57">
        <v>40087</v>
      </c>
      <c r="O133" s="55">
        <v>10</v>
      </c>
      <c r="P133" s="57">
        <v>45135.51326388889</v>
      </c>
      <c r="Q133" s="58" t="b">
        <f>ISERROR(VLOOKUP($B133,'ILR MonitorDistrubution BAFO_V2'!J:J,1,FALSE))</f>
        <v>0</v>
      </c>
      <c r="R133" s="47"/>
    </row>
    <row r="134" spans="2:18" x14ac:dyDescent="0.25">
      <c r="B134" s="55" t="s">
        <v>1187</v>
      </c>
      <c r="C134" s="55" t="s">
        <v>1623</v>
      </c>
      <c r="D134" s="56" t="s">
        <v>1311</v>
      </c>
      <c r="E134" s="56" t="s">
        <v>1602</v>
      </c>
      <c r="F134" s="56" t="s">
        <v>1603</v>
      </c>
      <c r="G134" s="56" t="s">
        <v>1604</v>
      </c>
      <c r="H134" s="55" t="s">
        <v>1624</v>
      </c>
      <c r="I134" s="56" t="s">
        <v>1345</v>
      </c>
      <c r="J134" s="56" t="s">
        <v>1614</v>
      </c>
      <c r="K134" s="57">
        <v>43640</v>
      </c>
      <c r="L134" s="55">
        <v>12</v>
      </c>
      <c r="M134" s="55" t="s">
        <v>1347</v>
      </c>
      <c r="N134" s="57">
        <v>40087</v>
      </c>
      <c r="O134" s="55">
        <v>10</v>
      </c>
      <c r="P134" s="57">
        <v>45135.513275462959</v>
      </c>
      <c r="Q134" s="58" t="b">
        <f>ISERROR(VLOOKUP($B134,'ILR MonitorDistrubution BAFO_V2'!J:J,1,FALSE))</f>
        <v>0</v>
      </c>
      <c r="R134" s="47"/>
    </row>
    <row r="135" spans="2:18" x14ac:dyDescent="0.25">
      <c r="B135" s="55" t="s">
        <v>1188</v>
      </c>
      <c r="C135" s="55" t="s">
        <v>1625</v>
      </c>
      <c r="D135" s="56" t="s">
        <v>1311</v>
      </c>
      <c r="E135" s="56" t="s">
        <v>1602</v>
      </c>
      <c r="F135" s="56" t="s">
        <v>1603</v>
      </c>
      <c r="G135" s="56" t="s">
        <v>1604</v>
      </c>
      <c r="H135" s="55" t="s">
        <v>1626</v>
      </c>
      <c r="I135" s="56" t="s">
        <v>1345</v>
      </c>
      <c r="J135" s="56" t="s">
        <v>1614</v>
      </c>
      <c r="K135" s="57">
        <v>43640</v>
      </c>
      <c r="L135" s="55">
        <v>12</v>
      </c>
      <c r="M135" s="55" t="s">
        <v>1347</v>
      </c>
      <c r="N135" s="57">
        <v>40087</v>
      </c>
      <c r="O135" s="55">
        <v>10</v>
      </c>
      <c r="P135" s="57">
        <v>45135.513275462959</v>
      </c>
      <c r="Q135" s="58" t="b">
        <f>ISERROR(VLOOKUP($B135,'ILR MonitorDistrubution BAFO_V2'!J:J,1,FALSE))</f>
        <v>0</v>
      </c>
      <c r="R135" s="47"/>
    </row>
    <row r="136" spans="2:18" x14ac:dyDescent="0.25">
      <c r="B136" s="55" t="s">
        <v>1217</v>
      </c>
      <c r="C136" s="55" t="s">
        <v>1627</v>
      </c>
      <c r="D136" s="56" t="s">
        <v>1311</v>
      </c>
      <c r="E136" s="56" t="s">
        <v>1602</v>
      </c>
      <c r="F136" s="56" t="s">
        <v>1603</v>
      </c>
      <c r="G136" s="56" t="s">
        <v>1604</v>
      </c>
      <c r="H136" s="55" t="s">
        <v>1628</v>
      </c>
      <c r="I136" s="56" t="s">
        <v>1629</v>
      </c>
      <c r="J136" s="56" t="s">
        <v>1614</v>
      </c>
      <c r="K136" s="57">
        <v>43640</v>
      </c>
      <c r="L136" s="55">
        <v>12</v>
      </c>
      <c r="M136" s="55" t="s">
        <v>1315</v>
      </c>
      <c r="N136" s="57">
        <v>40087</v>
      </c>
      <c r="O136" s="55">
        <v>10</v>
      </c>
      <c r="P136" s="57">
        <v>45135.513275462959</v>
      </c>
      <c r="Q136" s="58" t="b">
        <f>ISERROR(VLOOKUP($B136,'ILR MonitorDistrubution BAFO_V2'!J:J,1,FALSE))</f>
        <v>0</v>
      </c>
      <c r="R136" s="47"/>
    </row>
    <row r="137" spans="2:18" x14ac:dyDescent="0.25">
      <c r="B137" s="55" t="s">
        <v>1218</v>
      </c>
      <c r="C137" s="55" t="s">
        <v>1630</v>
      </c>
      <c r="D137" s="56" t="s">
        <v>1311</v>
      </c>
      <c r="E137" s="56" t="s">
        <v>1602</v>
      </c>
      <c r="F137" s="56" t="s">
        <v>1603</v>
      </c>
      <c r="G137" s="56" t="s">
        <v>1604</v>
      </c>
      <c r="H137" s="55" t="s">
        <v>1631</v>
      </c>
      <c r="I137" s="56" t="s">
        <v>1629</v>
      </c>
      <c r="J137" s="56" t="s">
        <v>1614</v>
      </c>
      <c r="K137" s="57">
        <v>43640</v>
      </c>
      <c r="L137" s="55">
        <v>12</v>
      </c>
      <c r="M137" s="55" t="s">
        <v>1315</v>
      </c>
      <c r="N137" s="57">
        <v>40087</v>
      </c>
      <c r="O137" s="55">
        <v>10</v>
      </c>
      <c r="P137" s="57">
        <v>45135.513275462959</v>
      </c>
      <c r="Q137" s="58" t="b">
        <f>ISERROR(VLOOKUP($B137,'ILR MonitorDistrubution BAFO_V2'!J:J,1,FALSE))</f>
        <v>0</v>
      </c>
      <c r="R137" s="47"/>
    </row>
    <row r="138" spans="2:18" x14ac:dyDescent="0.25">
      <c r="B138" s="55" t="s">
        <v>1189</v>
      </c>
      <c r="C138" s="55" t="s">
        <v>1632</v>
      </c>
      <c r="D138" s="56" t="s">
        <v>1311</v>
      </c>
      <c r="E138" s="56" t="s">
        <v>1602</v>
      </c>
      <c r="F138" s="56" t="s">
        <v>1603</v>
      </c>
      <c r="G138" s="56" t="s">
        <v>1604</v>
      </c>
      <c r="H138" s="55" t="s">
        <v>1633</v>
      </c>
      <c r="I138" s="56" t="s">
        <v>1345</v>
      </c>
      <c r="J138" s="56" t="s">
        <v>1614</v>
      </c>
      <c r="K138" s="57">
        <v>43640</v>
      </c>
      <c r="L138" s="55">
        <v>12</v>
      </c>
      <c r="M138" s="55" t="s">
        <v>1347</v>
      </c>
      <c r="N138" s="57">
        <v>40087</v>
      </c>
      <c r="O138" s="55">
        <v>10</v>
      </c>
      <c r="P138" s="57">
        <v>45135.513275462959</v>
      </c>
      <c r="Q138" s="58" t="b">
        <f>ISERROR(VLOOKUP($B138,'ILR MonitorDistrubution BAFO_V2'!J:J,1,FALSE))</f>
        <v>0</v>
      </c>
      <c r="R138" s="47"/>
    </row>
    <row r="139" spans="2:18" x14ac:dyDescent="0.25">
      <c r="B139" s="55" t="s">
        <v>1196</v>
      </c>
      <c r="C139" s="55" t="s">
        <v>1634</v>
      </c>
      <c r="D139" s="56" t="s">
        <v>1311</v>
      </c>
      <c r="E139" s="56" t="s">
        <v>1602</v>
      </c>
      <c r="F139" s="56" t="s">
        <v>1603</v>
      </c>
      <c r="G139" s="56" t="s">
        <v>1604</v>
      </c>
      <c r="H139" s="55" t="s">
        <v>1635</v>
      </c>
      <c r="I139" s="56" t="s">
        <v>1420</v>
      </c>
      <c r="J139" s="56" t="s">
        <v>1382</v>
      </c>
      <c r="K139" s="57">
        <v>44026</v>
      </c>
      <c r="L139" s="55">
        <v>12</v>
      </c>
      <c r="M139" s="55" t="s">
        <v>1359</v>
      </c>
      <c r="N139" s="57">
        <v>44026</v>
      </c>
      <c r="O139" s="55">
        <v>10</v>
      </c>
      <c r="P139" s="57">
        <v>45155.53197916667</v>
      </c>
      <c r="Q139" s="58" t="b">
        <f>ISERROR(VLOOKUP($B139,'ILR MonitorDistrubution BAFO_V2'!J:J,1,FALSE))</f>
        <v>0</v>
      </c>
      <c r="R139" s="47"/>
    </row>
    <row r="140" spans="2:18" x14ac:dyDescent="0.25">
      <c r="B140" s="55" t="s">
        <v>1231</v>
      </c>
      <c r="C140" s="55" t="s">
        <v>1636</v>
      </c>
      <c r="D140" s="56" t="s">
        <v>1311</v>
      </c>
      <c r="E140" s="56" t="s">
        <v>1602</v>
      </c>
      <c r="F140" s="56" t="s">
        <v>1603</v>
      </c>
      <c r="G140" s="56" t="s">
        <v>1604</v>
      </c>
      <c r="H140" s="55" t="s">
        <v>1637</v>
      </c>
      <c r="I140" s="56" t="s">
        <v>1381</v>
      </c>
      <c r="J140" s="56"/>
      <c r="K140" s="57">
        <v>44327</v>
      </c>
      <c r="L140" s="55">
        <v>12</v>
      </c>
      <c r="M140" s="55" t="s">
        <v>1315</v>
      </c>
      <c r="N140" s="57">
        <v>44327</v>
      </c>
      <c r="O140" s="55">
        <v>10</v>
      </c>
      <c r="P140" s="57">
        <v>45135.513518518521</v>
      </c>
      <c r="Q140" s="58" t="b">
        <f>ISERROR(VLOOKUP($B140,'ILR MonitorDistrubution BAFO_V2'!J:J,1,FALSE))</f>
        <v>0</v>
      </c>
      <c r="R140" s="47"/>
    </row>
    <row r="141" spans="2:18" x14ac:dyDescent="0.25">
      <c r="B141" s="55" t="s">
        <v>1067</v>
      </c>
      <c r="C141" s="55" t="s">
        <v>1638</v>
      </c>
      <c r="D141" s="56" t="s">
        <v>1311</v>
      </c>
      <c r="E141" s="56" t="s">
        <v>1602</v>
      </c>
      <c r="F141" s="56" t="s">
        <v>1603</v>
      </c>
      <c r="G141" s="56" t="s">
        <v>1604</v>
      </c>
      <c r="H141" s="55" t="s">
        <v>1639</v>
      </c>
      <c r="I141" s="56" t="s">
        <v>1381</v>
      </c>
      <c r="J141" s="56"/>
      <c r="K141" s="57">
        <v>44327</v>
      </c>
      <c r="L141" s="55">
        <v>12</v>
      </c>
      <c r="M141" s="55" t="s">
        <v>1315</v>
      </c>
      <c r="N141" s="57">
        <v>44327</v>
      </c>
      <c r="O141" s="55">
        <v>10</v>
      </c>
      <c r="P141" s="57">
        <v>45135.513518518521</v>
      </c>
      <c r="Q141" s="58" t="b">
        <f>ISERROR(VLOOKUP($B141,'ILR MonitorDistrubution BAFO_V2'!J:J,1,FALSE))</f>
        <v>0</v>
      </c>
      <c r="R141" s="47"/>
    </row>
    <row r="142" spans="2:18" x14ac:dyDescent="0.25">
      <c r="B142" s="55" t="s">
        <v>1069</v>
      </c>
      <c r="C142" s="55" t="s">
        <v>1640</v>
      </c>
      <c r="D142" s="56" t="s">
        <v>1311</v>
      </c>
      <c r="E142" s="56" t="s">
        <v>1602</v>
      </c>
      <c r="F142" s="56" t="s">
        <v>1603</v>
      </c>
      <c r="G142" s="56" t="s">
        <v>1604</v>
      </c>
      <c r="H142" s="55" t="s">
        <v>1641</v>
      </c>
      <c r="I142" s="56" t="s">
        <v>1381</v>
      </c>
      <c r="J142" s="56"/>
      <c r="K142" s="57">
        <v>44327</v>
      </c>
      <c r="L142" s="55">
        <v>12</v>
      </c>
      <c r="M142" s="55" t="s">
        <v>1315</v>
      </c>
      <c r="N142" s="57">
        <v>44327</v>
      </c>
      <c r="O142" s="55">
        <v>10</v>
      </c>
      <c r="P142" s="57">
        <v>45135.513518518521</v>
      </c>
      <c r="Q142" s="58" t="b">
        <f>ISERROR(VLOOKUP($B142,'ILR MonitorDistrubution BAFO_V2'!J:J,1,FALSE))</f>
        <v>0</v>
      </c>
      <c r="R142" s="47"/>
    </row>
    <row r="143" spans="2:18" x14ac:dyDescent="0.25">
      <c r="B143" s="55" t="s">
        <v>1070</v>
      </c>
      <c r="C143" s="55" t="s">
        <v>1642</v>
      </c>
      <c r="D143" s="56" t="s">
        <v>1311</v>
      </c>
      <c r="E143" s="56" t="s">
        <v>1602</v>
      </c>
      <c r="F143" s="56" t="s">
        <v>1603</v>
      </c>
      <c r="G143" s="56" t="s">
        <v>1604</v>
      </c>
      <c r="H143" s="55" t="s">
        <v>1643</v>
      </c>
      <c r="I143" s="56" t="s">
        <v>1381</v>
      </c>
      <c r="J143" s="56"/>
      <c r="K143" s="57">
        <v>44327</v>
      </c>
      <c r="L143" s="55">
        <v>12</v>
      </c>
      <c r="M143" s="55" t="s">
        <v>1315</v>
      </c>
      <c r="N143" s="57">
        <v>44327</v>
      </c>
      <c r="O143" s="55">
        <v>10</v>
      </c>
      <c r="P143" s="57">
        <v>45135.513518518521</v>
      </c>
      <c r="Q143" s="58" t="b">
        <f>ISERROR(VLOOKUP($B143,'ILR MonitorDistrubution BAFO_V2'!J:J,1,FALSE))</f>
        <v>0</v>
      </c>
      <c r="R143" s="47"/>
    </row>
    <row r="144" spans="2:18" x14ac:dyDescent="0.25">
      <c r="B144" s="55" t="s">
        <v>1071</v>
      </c>
      <c r="C144" s="55" t="s">
        <v>1644</v>
      </c>
      <c r="D144" s="56" t="s">
        <v>1311</v>
      </c>
      <c r="E144" s="56" t="s">
        <v>1602</v>
      </c>
      <c r="F144" s="56" t="s">
        <v>1603</v>
      </c>
      <c r="G144" s="56" t="s">
        <v>1604</v>
      </c>
      <c r="H144" s="55" t="s">
        <v>1645</v>
      </c>
      <c r="I144" s="56" t="s">
        <v>1381</v>
      </c>
      <c r="J144" s="56"/>
      <c r="K144" s="57">
        <v>44327</v>
      </c>
      <c r="L144" s="55">
        <v>12</v>
      </c>
      <c r="M144" s="55" t="s">
        <v>1315</v>
      </c>
      <c r="N144" s="57">
        <v>44327</v>
      </c>
      <c r="O144" s="55">
        <v>10</v>
      </c>
      <c r="P144" s="57">
        <v>45135.513518518521</v>
      </c>
      <c r="Q144" s="58" t="b">
        <f>ISERROR(VLOOKUP($B144,'ILR MonitorDistrubution BAFO_V2'!J:J,1,FALSE))</f>
        <v>0</v>
      </c>
      <c r="R144" s="47"/>
    </row>
    <row r="145" spans="2:18" x14ac:dyDescent="0.25">
      <c r="B145" s="55" t="s">
        <v>1219</v>
      </c>
      <c r="C145" s="55" t="s">
        <v>1646</v>
      </c>
      <c r="D145" s="56" t="s">
        <v>1311</v>
      </c>
      <c r="E145" s="56" t="s">
        <v>1602</v>
      </c>
      <c r="F145" s="56" t="s">
        <v>1603</v>
      </c>
      <c r="G145" s="56" t="s">
        <v>1604</v>
      </c>
      <c r="H145" s="55" t="s">
        <v>1647</v>
      </c>
      <c r="I145" s="56" t="s">
        <v>1381</v>
      </c>
      <c r="J145" s="56"/>
      <c r="K145" s="57">
        <v>44327</v>
      </c>
      <c r="L145" s="55">
        <v>12</v>
      </c>
      <c r="M145" s="55" t="s">
        <v>1315</v>
      </c>
      <c r="N145" s="57">
        <v>44327</v>
      </c>
      <c r="O145" s="55">
        <v>10</v>
      </c>
      <c r="P145" s="57">
        <v>45135.513518518521</v>
      </c>
      <c r="Q145" s="58" t="b">
        <f>ISERROR(VLOOKUP($B145,'ILR MonitorDistrubution BAFO_V2'!J:J,1,FALSE))</f>
        <v>0</v>
      </c>
      <c r="R145" s="47"/>
    </row>
    <row r="146" spans="2:18" x14ac:dyDescent="0.25">
      <c r="B146" s="55" t="s">
        <v>1220</v>
      </c>
      <c r="C146" s="55" t="s">
        <v>1648</v>
      </c>
      <c r="D146" s="56" t="s">
        <v>1311</v>
      </c>
      <c r="E146" s="56" t="s">
        <v>1602</v>
      </c>
      <c r="F146" s="56" t="s">
        <v>1603</v>
      </c>
      <c r="G146" s="56" t="s">
        <v>1604</v>
      </c>
      <c r="H146" s="55" t="s">
        <v>1649</v>
      </c>
      <c r="I146" s="56" t="s">
        <v>1381</v>
      </c>
      <c r="J146" s="56"/>
      <c r="K146" s="57">
        <v>44327</v>
      </c>
      <c r="L146" s="55">
        <v>12</v>
      </c>
      <c r="M146" s="55" t="s">
        <v>1315</v>
      </c>
      <c r="N146" s="57">
        <v>44327</v>
      </c>
      <c r="O146" s="55">
        <v>10</v>
      </c>
      <c r="P146" s="57">
        <v>45135.513518518521</v>
      </c>
      <c r="Q146" s="58" t="b">
        <f>ISERROR(VLOOKUP($B146,'ILR MonitorDistrubution BAFO_V2'!J:J,1,FALSE))</f>
        <v>0</v>
      </c>
      <c r="R146" s="47"/>
    </row>
    <row r="147" spans="2:18" x14ac:dyDescent="0.25">
      <c r="B147" s="55" t="s">
        <v>1221</v>
      </c>
      <c r="C147" s="55" t="s">
        <v>1650</v>
      </c>
      <c r="D147" s="56" t="s">
        <v>1311</v>
      </c>
      <c r="E147" s="56" t="s">
        <v>1602</v>
      </c>
      <c r="F147" s="56" t="s">
        <v>1603</v>
      </c>
      <c r="G147" s="56" t="s">
        <v>1604</v>
      </c>
      <c r="H147" s="55" t="s">
        <v>1651</v>
      </c>
      <c r="I147" s="56" t="s">
        <v>1381</v>
      </c>
      <c r="J147" s="56"/>
      <c r="K147" s="57">
        <v>44327</v>
      </c>
      <c r="L147" s="55">
        <v>12</v>
      </c>
      <c r="M147" s="55" t="s">
        <v>1315</v>
      </c>
      <c r="N147" s="57">
        <v>44327</v>
      </c>
      <c r="O147" s="55">
        <v>10</v>
      </c>
      <c r="P147" s="57">
        <v>45135.513518518521</v>
      </c>
      <c r="Q147" s="58" t="b">
        <f>ISERROR(VLOOKUP($B147,'ILR MonitorDistrubution BAFO_V2'!J:J,1,FALSE))</f>
        <v>0</v>
      </c>
      <c r="R147" s="47"/>
    </row>
    <row r="148" spans="2:18" x14ac:dyDescent="0.25">
      <c r="B148" s="55" t="s">
        <v>1222</v>
      </c>
      <c r="C148" s="55" t="s">
        <v>1652</v>
      </c>
      <c r="D148" s="56" t="s">
        <v>1311</v>
      </c>
      <c r="E148" s="56" t="s">
        <v>1602</v>
      </c>
      <c r="F148" s="56" t="s">
        <v>1603</v>
      </c>
      <c r="G148" s="56" t="s">
        <v>1604</v>
      </c>
      <c r="H148" s="55" t="s">
        <v>1653</v>
      </c>
      <c r="I148" s="56" t="s">
        <v>1381</v>
      </c>
      <c r="J148" s="56"/>
      <c r="K148" s="57">
        <v>44327</v>
      </c>
      <c r="L148" s="55">
        <v>12</v>
      </c>
      <c r="M148" s="55" t="s">
        <v>1315</v>
      </c>
      <c r="N148" s="57">
        <v>44327</v>
      </c>
      <c r="O148" s="55">
        <v>10</v>
      </c>
      <c r="P148" s="57">
        <v>45135.513541666667</v>
      </c>
      <c r="Q148" s="58" t="b">
        <f>ISERROR(VLOOKUP($B148,'ILR MonitorDistrubution BAFO_V2'!J:J,1,FALSE))</f>
        <v>0</v>
      </c>
      <c r="R148" s="47"/>
    </row>
    <row r="149" spans="2:18" x14ac:dyDescent="0.25">
      <c r="B149" s="55" t="s">
        <v>1654</v>
      </c>
      <c r="C149" s="55" t="s">
        <v>1655</v>
      </c>
      <c r="D149" s="56" t="s">
        <v>1311</v>
      </c>
      <c r="E149" s="56" t="s">
        <v>1602</v>
      </c>
      <c r="F149" s="56" t="s">
        <v>1603</v>
      </c>
      <c r="G149" s="56" t="s">
        <v>1604</v>
      </c>
      <c r="H149" s="55" t="s">
        <v>1656</v>
      </c>
      <c r="I149" s="56" t="s">
        <v>1657</v>
      </c>
      <c r="J149" s="56" t="s">
        <v>1382</v>
      </c>
      <c r="K149" s="57">
        <v>44327</v>
      </c>
      <c r="L149" s="55">
        <v>12</v>
      </c>
      <c r="M149" s="55" t="s">
        <v>1315</v>
      </c>
      <c r="N149" s="57">
        <v>44327</v>
      </c>
      <c r="O149" s="55">
        <v>10</v>
      </c>
      <c r="P149" s="57">
        <v>45135.513541666667</v>
      </c>
      <c r="Q149" s="58" t="b">
        <f>ISERROR(VLOOKUP($B149,'ILR MonitorDistrubution BAFO_V2'!J:J,1,FALSE))</f>
        <v>1</v>
      </c>
      <c r="R149" s="47"/>
    </row>
    <row r="150" spans="2:18" x14ac:dyDescent="0.25">
      <c r="B150" s="55" t="s">
        <v>1223</v>
      </c>
      <c r="C150" s="55" t="s">
        <v>1658</v>
      </c>
      <c r="D150" s="56" t="s">
        <v>1311</v>
      </c>
      <c r="E150" s="56" t="s">
        <v>1602</v>
      </c>
      <c r="F150" s="56" t="s">
        <v>1603</v>
      </c>
      <c r="G150" s="56" t="s">
        <v>1604</v>
      </c>
      <c r="H150" s="55" t="s">
        <v>1659</v>
      </c>
      <c r="I150" s="56" t="s">
        <v>1660</v>
      </c>
      <c r="J150" s="56" t="s">
        <v>1382</v>
      </c>
      <c r="K150" s="57">
        <v>44327</v>
      </c>
      <c r="L150" s="55">
        <v>12</v>
      </c>
      <c r="M150" s="55" t="s">
        <v>1359</v>
      </c>
      <c r="N150" s="57">
        <v>44327</v>
      </c>
      <c r="O150" s="55">
        <v>10</v>
      </c>
      <c r="P150" s="57">
        <v>45135.513541666667</v>
      </c>
      <c r="Q150" s="58" t="b">
        <f>ISERROR(VLOOKUP($B150,'ILR MonitorDistrubution BAFO_V2'!J:J,1,FALSE))</f>
        <v>0</v>
      </c>
      <c r="R150" s="47"/>
    </row>
    <row r="151" spans="2:18" x14ac:dyDescent="0.25">
      <c r="B151" s="55" t="s">
        <v>1661</v>
      </c>
      <c r="C151" s="55" t="s">
        <v>1662</v>
      </c>
      <c r="D151" s="56" t="s">
        <v>1311</v>
      </c>
      <c r="E151" s="56" t="s">
        <v>1602</v>
      </c>
      <c r="F151" s="56" t="s">
        <v>1603</v>
      </c>
      <c r="G151" s="56" t="s">
        <v>1604</v>
      </c>
      <c r="H151" s="55" t="s">
        <v>1663</v>
      </c>
      <c r="I151" s="56" t="s">
        <v>1664</v>
      </c>
      <c r="J151" s="56" t="s">
        <v>1382</v>
      </c>
      <c r="K151" s="57">
        <v>44327</v>
      </c>
      <c r="L151" s="55">
        <v>12</v>
      </c>
      <c r="M151" s="55" t="s">
        <v>1315</v>
      </c>
      <c r="N151" s="57">
        <v>44327</v>
      </c>
      <c r="O151" s="55">
        <v>10</v>
      </c>
      <c r="P151" s="57">
        <v>45135.513541666667</v>
      </c>
      <c r="Q151" s="58" t="b">
        <f>ISERROR(VLOOKUP($B151,'ILR MonitorDistrubution BAFO_V2'!J:J,1,FALSE))</f>
        <v>1</v>
      </c>
      <c r="R151" s="47"/>
    </row>
    <row r="152" spans="2:18" x14ac:dyDescent="0.25">
      <c r="B152" s="55" t="s">
        <v>1665</v>
      </c>
      <c r="C152" s="55" t="s">
        <v>1666</v>
      </c>
      <c r="D152" s="56" t="s">
        <v>1311</v>
      </c>
      <c r="E152" s="56" t="s">
        <v>1602</v>
      </c>
      <c r="F152" s="56" t="s">
        <v>1603</v>
      </c>
      <c r="G152" s="56" t="s">
        <v>1604</v>
      </c>
      <c r="H152" s="55" t="s">
        <v>1667</v>
      </c>
      <c r="I152" s="56" t="s">
        <v>1668</v>
      </c>
      <c r="J152" s="56" t="s">
        <v>1382</v>
      </c>
      <c r="K152" s="57">
        <v>44327</v>
      </c>
      <c r="L152" s="55">
        <v>12</v>
      </c>
      <c r="M152" s="55" t="s">
        <v>1315</v>
      </c>
      <c r="N152" s="57">
        <v>44327</v>
      </c>
      <c r="O152" s="55">
        <v>10</v>
      </c>
      <c r="P152" s="57">
        <v>45135.513541666667</v>
      </c>
      <c r="Q152" s="58" t="b">
        <f>ISERROR(VLOOKUP($B152,'ILR MonitorDistrubution BAFO_V2'!J:J,1,FALSE))</f>
        <v>1</v>
      </c>
      <c r="R152" s="47"/>
    </row>
    <row r="153" spans="2:18" x14ac:dyDescent="0.25">
      <c r="B153" s="55" t="s">
        <v>1669</v>
      </c>
      <c r="C153" s="55" t="s">
        <v>1670</v>
      </c>
      <c r="D153" s="56" t="s">
        <v>1311</v>
      </c>
      <c r="E153" s="56" t="s">
        <v>1602</v>
      </c>
      <c r="F153" s="56" t="s">
        <v>1603</v>
      </c>
      <c r="G153" s="56" t="s">
        <v>1604</v>
      </c>
      <c r="H153" s="55" t="s">
        <v>1671</v>
      </c>
      <c r="I153" s="56" t="s">
        <v>1668</v>
      </c>
      <c r="J153" s="56" t="s">
        <v>1382</v>
      </c>
      <c r="K153" s="57">
        <v>44327</v>
      </c>
      <c r="L153" s="55">
        <v>12</v>
      </c>
      <c r="M153" s="55" t="s">
        <v>1315</v>
      </c>
      <c r="N153" s="57">
        <v>44327</v>
      </c>
      <c r="O153" s="55">
        <v>10</v>
      </c>
      <c r="P153" s="57">
        <v>45135.513541666667</v>
      </c>
      <c r="Q153" s="58" t="b">
        <f>ISERROR(VLOOKUP($B153,'ILR MonitorDistrubution BAFO_V2'!J:J,1,FALSE))</f>
        <v>1</v>
      </c>
      <c r="R153" s="47"/>
    </row>
    <row r="154" spans="2:18" x14ac:dyDescent="0.25">
      <c r="B154" s="55" t="s">
        <v>1672</v>
      </c>
      <c r="C154" s="55" t="s">
        <v>1673</v>
      </c>
      <c r="D154" s="56" t="s">
        <v>1311</v>
      </c>
      <c r="E154" s="56" t="s">
        <v>1602</v>
      </c>
      <c r="F154" s="56" t="s">
        <v>1603</v>
      </c>
      <c r="G154" s="56" t="s">
        <v>1604</v>
      </c>
      <c r="H154" s="55" t="s">
        <v>1674</v>
      </c>
      <c r="I154" s="56" t="s">
        <v>1668</v>
      </c>
      <c r="J154" s="56" t="s">
        <v>1382</v>
      </c>
      <c r="K154" s="57">
        <v>44327</v>
      </c>
      <c r="L154" s="55">
        <v>12</v>
      </c>
      <c r="M154" s="55" t="s">
        <v>1315</v>
      </c>
      <c r="N154" s="57">
        <v>44327</v>
      </c>
      <c r="O154" s="55">
        <v>10</v>
      </c>
      <c r="P154" s="57">
        <v>45135.513541666667</v>
      </c>
      <c r="Q154" s="58" t="b">
        <f>ISERROR(VLOOKUP($B154,'ILR MonitorDistrubution BAFO_V2'!J:J,1,FALSE))</f>
        <v>1</v>
      </c>
      <c r="R154" s="47"/>
    </row>
    <row r="155" spans="2:18" x14ac:dyDescent="0.25">
      <c r="B155" s="55" t="s">
        <v>1197</v>
      </c>
      <c r="C155" s="55" t="s">
        <v>1675</v>
      </c>
      <c r="D155" s="56" t="s">
        <v>1311</v>
      </c>
      <c r="E155" s="56" t="s">
        <v>1602</v>
      </c>
      <c r="F155" s="56" t="s">
        <v>1603</v>
      </c>
      <c r="G155" s="56" t="s">
        <v>1604</v>
      </c>
      <c r="H155" s="55" t="s">
        <v>1676</v>
      </c>
      <c r="I155" s="56" t="s">
        <v>1415</v>
      </c>
      <c r="J155" s="56" t="s">
        <v>1382</v>
      </c>
      <c r="K155" s="57">
        <v>44033</v>
      </c>
      <c r="L155" s="55">
        <v>12</v>
      </c>
      <c r="M155" s="55" t="s">
        <v>1315</v>
      </c>
      <c r="N155" s="57">
        <v>44033</v>
      </c>
      <c r="O155" s="55">
        <v>10</v>
      </c>
      <c r="P155" s="57">
        <v>45135.513460648152</v>
      </c>
      <c r="Q155" s="58" t="b">
        <f>ISERROR(VLOOKUP($B155,'ILR MonitorDistrubution BAFO_V2'!J:J,1,FALSE))</f>
        <v>0</v>
      </c>
      <c r="R155" s="47"/>
    </row>
    <row r="156" spans="2:18" x14ac:dyDescent="0.25">
      <c r="B156" s="55" t="s">
        <v>1198</v>
      </c>
      <c r="C156" s="55" t="s">
        <v>1677</v>
      </c>
      <c r="D156" s="56" t="s">
        <v>1311</v>
      </c>
      <c r="E156" s="56" t="s">
        <v>1602</v>
      </c>
      <c r="F156" s="56" t="s">
        <v>1603</v>
      </c>
      <c r="G156" s="56" t="s">
        <v>1604</v>
      </c>
      <c r="H156" s="55" t="s">
        <v>1678</v>
      </c>
      <c r="I156" s="56" t="s">
        <v>1415</v>
      </c>
      <c r="J156" s="56" t="s">
        <v>1382</v>
      </c>
      <c r="K156" s="57">
        <v>44033</v>
      </c>
      <c r="L156" s="55">
        <v>12</v>
      </c>
      <c r="M156" s="55" t="s">
        <v>1315</v>
      </c>
      <c r="N156" s="57">
        <v>44033</v>
      </c>
      <c r="O156" s="55">
        <v>10</v>
      </c>
      <c r="P156" s="57">
        <v>45135.513460648152</v>
      </c>
      <c r="Q156" s="58" t="b">
        <f>ISERROR(VLOOKUP($B156,'ILR MonitorDistrubution BAFO_V2'!J:J,1,FALSE))</f>
        <v>0</v>
      </c>
      <c r="R156" s="47"/>
    </row>
    <row r="157" spans="2:18" x14ac:dyDescent="0.25">
      <c r="B157" s="55" t="s">
        <v>1199</v>
      </c>
      <c r="C157" s="55" t="s">
        <v>1679</v>
      </c>
      <c r="D157" s="56" t="s">
        <v>1311</v>
      </c>
      <c r="E157" s="56" t="s">
        <v>1602</v>
      </c>
      <c r="F157" s="56" t="s">
        <v>1603</v>
      </c>
      <c r="G157" s="56" t="s">
        <v>1604</v>
      </c>
      <c r="H157" s="55" t="s">
        <v>1680</v>
      </c>
      <c r="I157" s="56" t="s">
        <v>1415</v>
      </c>
      <c r="J157" s="56" t="s">
        <v>1382</v>
      </c>
      <c r="K157" s="57">
        <v>44033</v>
      </c>
      <c r="L157" s="55">
        <v>12</v>
      </c>
      <c r="M157" s="55" t="s">
        <v>1315</v>
      </c>
      <c r="N157" s="57">
        <v>44033</v>
      </c>
      <c r="O157" s="55">
        <v>10</v>
      </c>
      <c r="P157" s="57">
        <v>45135.513460648152</v>
      </c>
      <c r="Q157" s="58" t="b">
        <f>ISERROR(VLOOKUP($B157,'ILR MonitorDistrubution BAFO_V2'!J:J,1,FALSE))</f>
        <v>0</v>
      </c>
      <c r="R157" s="47"/>
    </row>
    <row r="158" spans="2:18" x14ac:dyDescent="0.25">
      <c r="B158" s="55" t="s">
        <v>1200</v>
      </c>
      <c r="C158" s="55" t="s">
        <v>1681</v>
      </c>
      <c r="D158" s="56" t="s">
        <v>1311</v>
      </c>
      <c r="E158" s="56" t="s">
        <v>1602</v>
      </c>
      <c r="F158" s="56" t="s">
        <v>1603</v>
      </c>
      <c r="G158" s="56" t="s">
        <v>1604</v>
      </c>
      <c r="H158" s="55" t="s">
        <v>1682</v>
      </c>
      <c r="I158" s="56" t="s">
        <v>1415</v>
      </c>
      <c r="J158" s="56" t="s">
        <v>1382</v>
      </c>
      <c r="K158" s="57">
        <v>44033</v>
      </c>
      <c r="L158" s="55">
        <v>12</v>
      </c>
      <c r="M158" s="55" t="s">
        <v>1315</v>
      </c>
      <c r="N158" s="57">
        <v>44033</v>
      </c>
      <c r="O158" s="55">
        <v>10</v>
      </c>
      <c r="P158" s="57">
        <v>45135.513460648152</v>
      </c>
      <c r="Q158" s="58" t="b">
        <f>ISERROR(VLOOKUP($B158,'ILR MonitorDistrubution BAFO_V2'!J:J,1,FALSE))</f>
        <v>0</v>
      </c>
      <c r="R158" s="47"/>
    </row>
    <row r="159" spans="2:18" x14ac:dyDescent="0.25">
      <c r="B159" s="55" t="s">
        <v>1190</v>
      </c>
      <c r="C159" s="55" t="s">
        <v>1683</v>
      </c>
      <c r="D159" s="56" t="s">
        <v>1311</v>
      </c>
      <c r="E159" s="56" t="s">
        <v>1602</v>
      </c>
      <c r="F159" s="56" t="s">
        <v>1603</v>
      </c>
      <c r="G159" s="56" t="s">
        <v>1604</v>
      </c>
      <c r="H159" s="55" t="s">
        <v>1684</v>
      </c>
      <c r="I159" s="56" t="s">
        <v>1345</v>
      </c>
      <c r="J159" s="56" t="s">
        <v>1382</v>
      </c>
      <c r="K159" s="57">
        <v>44033</v>
      </c>
      <c r="L159" s="55">
        <v>12</v>
      </c>
      <c r="M159" s="55" t="s">
        <v>1315</v>
      </c>
      <c r="N159" s="57">
        <v>44033</v>
      </c>
      <c r="O159" s="55">
        <v>10</v>
      </c>
      <c r="P159" s="57">
        <v>45135.513460648152</v>
      </c>
      <c r="Q159" s="58" t="b">
        <f>ISERROR(VLOOKUP($B159,'ILR MonitorDistrubution BAFO_V2'!J:J,1,FALSE))</f>
        <v>0</v>
      </c>
      <c r="R159" s="47"/>
    </row>
    <row r="160" spans="2:18" x14ac:dyDescent="0.25">
      <c r="B160" s="55" t="s">
        <v>1224</v>
      </c>
      <c r="C160" s="55" t="s">
        <v>1685</v>
      </c>
      <c r="D160" s="56" t="s">
        <v>1311</v>
      </c>
      <c r="E160" s="56" t="s">
        <v>1602</v>
      </c>
      <c r="F160" s="56" t="s">
        <v>1603</v>
      </c>
      <c r="G160" s="56" t="s">
        <v>1604</v>
      </c>
      <c r="H160" s="55" t="s">
        <v>1686</v>
      </c>
      <c r="I160" s="56" t="s">
        <v>1428</v>
      </c>
      <c r="J160" s="56" t="s">
        <v>1382</v>
      </c>
      <c r="K160" s="57">
        <v>44033</v>
      </c>
      <c r="L160" s="55">
        <v>12</v>
      </c>
      <c r="M160" s="55" t="s">
        <v>1315</v>
      </c>
      <c r="N160" s="57">
        <v>44033</v>
      </c>
      <c r="O160" s="55">
        <v>10</v>
      </c>
      <c r="P160" s="57">
        <v>45135.513460648152</v>
      </c>
      <c r="Q160" s="58" t="b">
        <f>ISERROR(VLOOKUP($B160,'ILR MonitorDistrubution BAFO_V2'!J:J,1,FALSE))</f>
        <v>0</v>
      </c>
      <c r="R160" s="47"/>
    </row>
    <row r="161" spans="2:18" x14ac:dyDescent="0.25">
      <c r="B161" s="55" t="s">
        <v>1225</v>
      </c>
      <c r="C161" s="55" t="s">
        <v>1687</v>
      </c>
      <c r="D161" s="56" t="s">
        <v>1311</v>
      </c>
      <c r="E161" s="56" t="s">
        <v>1602</v>
      </c>
      <c r="F161" s="56" t="s">
        <v>1603</v>
      </c>
      <c r="G161" s="56" t="s">
        <v>1604</v>
      </c>
      <c r="H161" s="55" t="s">
        <v>1688</v>
      </c>
      <c r="I161" s="56" t="s">
        <v>1428</v>
      </c>
      <c r="J161" s="56" t="s">
        <v>1382</v>
      </c>
      <c r="K161" s="57">
        <v>44033</v>
      </c>
      <c r="L161" s="55">
        <v>12</v>
      </c>
      <c r="M161" s="55" t="s">
        <v>1315</v>
      </c>
      <c r="N161" s="57">
        <v>44033</v>
      </c>
      <c r="O161" s="55">
        <v>10</v>
      </c>
      <c r="P161" s="57">
        <v>45135.513472222221</v>
      </c>
      <c r="Q161" s="58" t="b">
        <f>ISERROR(VLOOKUP($B161,'ILR MonitorDistrubution BAFO_V2'!J:J,1,FALSE))</f>
        <v>0</v>
      </c>
      <c r="R161" s="47"/>
    </row>
    <row r="162" spans="2:18" x14ac:dyDescent="0.25">
      <c r="B162" s="55" t="s">
        <v>1191</v>
      </c>
      <c r="C162" s="55" t="s">
        <v>1689</v>
      </c>
      <c r="D162" s="56" t="s">
        <v>1311</v>
      </c>
      <c r="E162" s="56" t="s">
        <v>1602</v>
      </c>
      <c r="F162" s="56" t="s">
        <v>1603</v>
      </c>
      <c r="G162" s="56" t="s">
        <v>1604</v>
      </c>
      <c r="H162" s="55" t="s">
        <v>1690</v>
      </c>
      <c r="I162" s="56" t="s">
        <v>1345</v>
      </c>
      <c r="J162" s="56" t="s">
        <v>1382</v>
      </c>
      <c r="K162" s="57">
        <v>44033</v>
      </c>
      <c r="L162" s="55">
        <v>12</v>
      </c>
      <c r="M162" s="55" t="s">
        <v>1315</v>
      </c>
      <c r="N162" s="57">
        <v>44033</v>
      </c>
      <c r="O162" s="55">
        <v>10</v>
      </c>
      <c r="P162" s="57">
        <v>45135.513472222221</v>
      </c>
      <c r="Q162" s="58" t="b">
        <f>ISERROR(VLOOKUP($B162,'ILR MonitorDistrubution BAFO_V2'!J:J,1,FALSE))</f>
        <v>0</v>
      </c>
      <c r="R162" s="47"/>
    </row>
    <row r="163" spans="2:18" x14ac:dyDescent="0.25">
      <c r="B163" s="55" t="s">
        <v>1226</v>
      </c>
      <c r="C163" s="55" t="s">
        <v>1691</v>
      </c>
      <c r="D163" s="56" t="s">
        <v>1311</v>
      </c>
      <c r="E163" s="56" t="s">
        <v>1602</v>
      </c>
      <c r="F163" s="56" t="s">
        <v>1603</v>
      </c>
      <c r="G163" s="56" t="s">
        <v>1604</v>
      </c>
      <c r="H163" s="55" t="s">
        <v>1692</v>
      </c>
      <c r="I163" s="56" t="s">
        <v>1381</v>
      </c>
      <c r="J163" s="56"/>
      <c r="K163" s="57">
        <v>44124</v>
      </c>
      <c r="L163" s="55">
        <v>12</v>
      </c>
      <c r="M163" s="55" t="s">
        <v>1315</v>
      </c>
      <c r="N163" s="57">
        <v>44124</v>
      </c>
      <c r="O163" s="55">
        <v>10</v>
      </c>
      <c r="P163" s="57">
        <v>45141.512094907404</v>
      </c>
      <c r="Q163" s="58" t="b">
        <f>ISERROR(VLOOKUP($B163,'ILR MonitorDistrubution BAFO_V2'!J:J,1,FALSE))</f>
        <v>0</v>
      </c>
      <c r="R163" s="47"/>
    </row>
    <row r="164" spans="2:18" x14ac:dyDescent="0.25">
      <c r="B164" s="55" t="s">
        <v>1227</v>
      </c>
      <c r="C164" s="55" t="s">
        <v>1693</v>
      </c>
      <c r="D164" s="56" t="s">
        <v>1311</v>
      </c>
      <c r="E164" s="56" t="s">
        <v>1602</v>
      </c>
      <c r="F164" s="56" t="s">
        <v>1603</v>
      </c>
      <c r="G164" s="56" t="s">
        <v>1604</v>
      </c>
      <c r="H164" s="55" t="s">
        <v>1694</v>
      </c>
      <c r="I164" s="56" t="s">
        <v>1381</v>
      </c>
      <c r="J164" s="56"/>
      <c r="K164" s="57">
        <v>44124</v>
      </c>
      <c r="L164" s="55">
        <v>12</v>
      </c>
      <c r="M164" s="55" t="s">
        <v>1315</v>
      </c>
      <c r="N164" s="57">
        <v>44124</v>
      </c>
      <c r="O164" s="55">
        <v>10</v>
      </c>
      <c r="P164" s="57">
        <v>45141.527627314812</v>
      </c>
      <c r="Q164" s="58" t="b">
        <f>ISERROR(VLOOKUP($B164,'ILR MonitorDistrubution BAFO_V2'!J:J,1,FALSE))</f>
        <v>0</v>
      </c>
      <c r="R164" s="47"/>
    </row>
    <row r="165" spans="2:18" x14ac:dyDescent="0.25">
      <c r="B165" s="55" t="s">
        <v>1228</v>
      </c>
      <c r="C165" s="55" t="s">
        <v>1695</v>
      </c>
      <c r="D165" s="56" t="s">
        <v>1311</v>
      </c>
      <c r="E165" s="56" t="s">
        <v>1602</v>
      </c>
      <c r="F165" s="56" t="s">
        <v>1603</v>
      </c>
      <c r="G165" s="56" t="s">
        <v>1604</v>
      </c>
      <c r="H165" s="55" t="s">
        <v>1696</v>
      </c>
      <c r="I165" s="56" t="s">
        <v>1381</v>
      </c>
      <c r="J165" s="56"/>
      <c r="K165" s="57">
        <v>44124</v>
      </c>
      <c r="L165" s="55">
        <v>12</v>
      </c>
      <c r="M165" s="55" t="s">
        <v>1315</v>
      </c>
      <c r="N165" s="57">
        <v>44124</v>
      </c>
      <c r="O165" s="55">
        <v>10</v>
      </c>
      <c r="P165" s="57">
        <v>45141.527627314812</v>
      </c>
      <c r="Q165" s="58" t="b">
        <f>ISERROR(VLOOKUP($B165,'ILR MonitorDistrubution BAFO_V2'!J:J,1,FALSE))</f>
        <v>0</v>
      </c>
      <c r="R165" s="47"/>
    </row>
    <row r="166" spans="2:18" x14ac:dyDescent="0.25">
      <c r="B166" s="55" t="s">
        <v>1201</v>
      </c>
      <c r="C166" s="55" t="s">
        <v>1697</v>
      </c>
      <c r="D166" s="56" t="s">
        <v>1311</v>
      </c>
      <c r="E166" s="56" t="s">
        <v>1602</v>
      </c>
      <c r="F166" s="56" t="s">
        <v>1603</v>
      </c>
      <c r="G166" s="56" t="s">
        <v>1604</v>
      </c>
      <c r="H166" s="55" t="s">
        <v>1698</v>
      </c>
      <c r="I166" s="56" t="s">
        <v>1420</v>
      </c>
      <c r="J166" s="56" t="s">
        <v>1614</v>
      </c>
      <c r="K166" s="57">
        <v>44644</v>
      </c>
      <c r="L166" s="55">
        <v>12</v>
      </c>
      <c r="M166" s="55" t="s">
        <v>1359</v>
      </c>
      <c r="N166" s="57">
        <v>44644</v>
      </c>
      <c r="O166" s="55">
        <v>10</v>
      </c>
      <c r="P166" s="57">
        <v>45141.527824074074</v>
      </c>
      <c r="Q166" s="58" t="b">
        <f>ISERROR(VLOOKUP($B166,'ILR MonitorDistrubution BAFO_V2'!J:J,1,FALSE))</f>
        <v>0</v>
      </c>
      <c r="R166" s="47"/>
    </row>
    <row r="167" spans="2:18" x14ac:dyDescent="0.25">
      <c r="B167" s="55" t="s">
        <v>1202</v>
      </c>
      <c r="C167" s="55" t="s">
        <v>1699</v>
      </c>
      <c r="D167" s="56" t="s">
        <v>1311</v>
      </c>
      <c r="E167" s="56" t="s">
        <v>1602</v>
      </c>
      <c r="F167" s="56" t="s">
        <v>1603</v>
      </c>
      <c r="G167" s="56" t="s">
        <v>1604</v>
      </c>
      <c r="H167" s="55" t="s">
        <v>1700</v>
      </c>
      <c r="I167" s="56" t="s">
        <v>1399</v>
      </c>
      <c r="J167" s="56" t="s">
        <v>1614</v>
      </c>
      <c r="K167" s="57">
        <v>45078</v>
      </c>
      <c r="L167" s="55">
        <v>24</v>
      </c>
      <c r="M167" s="55" t="s">
        <v>1359</v>
      </c>
      <c r="N167" s="57">
        <v>45139</v>
      </c>
      <c r="O167" s="55">
        <v>10</v>
      </c>
      <c r="P167" s="57">
        <v>45139.51284722222</v>
      </c>
      <c r="Q167" s="58" t="b">
        <f>ISERROR(VLOOKUP($B167,'ILR MonitorDistrubution BAFO_V2'!J:J,1,FALSE))</f>
        <v>0</v>
      </c>
      <c r="R167" s="47"/>
    </row>
    <row r="168" spans="2:18" x14ac:dyDescent="0.25">
      <c r="B168" s="55" t="s">
        <v>1203</v>
      </c>
      <c r="C168" s="55" t="s">
        <v>1701</v>
      </c>
      <c r="D168" s="56" t="s">
        <v>1311</v>
      </c>
      <c r="E168" s="56" t="s">
        <v>1602</v>
      </c>
      <c r="F168" s="56" t="s">
        <v>1603</v>
      </c>
      <c r="G168" s="56" t="s">
        <v>1604</v>
      </c>
      <c r="H168" s="55" t="s">
        <v>1702</v>
      </c>
      <c r="I168" s="56" t="s">
        <v>1399</v>
      </c>
      <c r="J168" s="56" t="s">
        <v>1614</v>
      </c>
      <c r="K168" s="57">
        <v>45078</v>
      </c>
      <c r="L168" s="55">
        <v>24</v>
      </c>
      <c r="M168" s="55" t="s">
        <v>1359</v>
      </c>
      <c r="N168" s="57">
        <v>45139</v>
      </c>
      <c r="O168" s="55">
        <v>10</v>
      </c>
      <c r="P168" s="57">
        <v>45139.51284722222</v>
      </c>
      <c r="Q168" s="58" t="b">
        <f>ISERROR(VLOOKUP($B168,'ILR MonitorDistrubution BAFO_V2'!J:J,1,FALSE))</f>
        <v>0</v>
      </c>
      <c r="R168" s="47"/>
    </row>
    <row r="169" spans="2:18" x14ac:dyDescent="0.25">
      <c r="B169" s="55" t="s">
        <v>1204</v>
      </c>
      <c r="C169" s="55" t="s">
        <v>1703</v>
      </c>
      <c r="D169" s="56" t="s">
        <v>1311</v>
      </c>
      <c r="E169" s="56" t="s">
        <v>1602</v>
      </c>
      <c r="F169" s="56" t="s">
        <v>1603</v>
      </c>
      <c r="G169" s="56" t="s">
        <v>1604</v>
      </c>
      <c r="H169" s="55" t="s">
        <v>1704</v>
      </c>
      <c r="I169" s="56" t="s">
        <v>1399</v>
      </c>
      <c r="J169" s="56" t="s">
        <v>1614</v>
      </c>
      <c r="K169" s="57">
        <v>45078</v>
      </c>
      <c r="L169" s="55">
        <v>24</v>
      </c>
      <c r="M169" s="55" t="s">
        <v>1359</v>
      </c>
      <c r="N169" s="57">
        <v>45139</v>
      </c>
      <c r="O169" s="55">
        <v>10</v>
      </c>
      <c r="P169" s="57">
        <v>45139.51284722222</v>
      </c>
      <c r="Q169" s="58" t="b">
        <f>ISERROR(VLOOKUP($B169,'ILR MonitorDistrubution BAFO_V2'!J:J,1,FALSE))</f>
        <v>0</v>
      </c>
      <c r="R169" s="47"/>
    </row>
    <row r="170" spans="2:18" x14ac:dyDescent="0.25">
      <c r="B170" s="55" t="s">
        <v>1205</v>
      </c>
      <c r="C170" s="55" t="s">
        <v>1705</v>
      </c>
      <c r="D170" s="56" t="s">
        <v>1311</v>
      </c>
      <c r="E170" s="56" t="s">
        <v>1602</v>
      </c>
      <c r="F170" s="56" t="s">
        <v>1603</v>
      </c>
      <c r="G170" s="56" t="s">
        <v>1604</v>
      </c>
      <c r="H170" s="55" t="s">
        <v>1706</v>
      </c>
      <c r="I170" s="56" t="s">
        <v>1399</v>
      </c>
      <c r="J170" s="56" t="s">
        <v>1614</v>
      </c>
      <c r="K170" s="57">
        <v>45078</v>
      </c>
      <c r="L170" s="55">
        <v>24</v>
      </c>
      <c r="M170" s="55" t="s">
        <v>1359</v>
      </c>
      <c r="N170" s="57">
        <v>45139</v>
      </c>
      <c r="O170" s="55">
        <v>10</v>
      </c>
      <c r="P170" s="57">
        <v>45139.51284722222</v>
      </c>
      <c r="Q170" s="58" t="b">
        <f>ISERROR(VLOOKUP($B170,'ILR MonitorDistrubution BAFO_V2'!J:J,1,FALSE))</f>
        <v>0</v>
      </c>
      <c r="R170" s="47"/>
    </row>
    <row r="171" spans="2:18" x14ac:dyDescent="0.25">
      <c r="B171" s="55" t="s">
        <v>1206</v>
      </c>
      <c r="C171" s="55" t="s">
        <v>1707</v>
      </c>
      <c r="D171" s="56" t="s">
        <v>1311</v>
      </c>
      <c r="E171" s="56" t="s">
        <v>1602</v>
      </c>
      <c r="F171" s="56" t="s">
        <v>1603</v>
      </c>
      <c r="G171" s="56" t="s">
        <v>1604</v>
      </c>
      <c r="H171" s="55" t="s">
        <v>1708</v>
      </c>
      <c r="I171" s="56" t="s">
        <v>1399</v>
      </c>
      <c r="J171" s="56" t="s">
        <v>1614</v>
      </c>
      <c r="K171" s="57">
        <v>45078</v>
      </c>
      <c r="L171" s="55">
        <v>24</v>
      </c>
      <c r="M171" s="55" t="s">
        <v>1359</v>
      </c>
      <c r="N171" s="57">
        <v>45139</v>
      </c>
      <c r="O171" s="55">
        <v>10</v>
      </c>
      <c r="P171" s="57">
        <v>45139.51284722222</v>
      </c>
      <c r="Q171" s="58" t="b">
        <f>ISERROR(VLOOKUP($B171,'ILR MonitorDistrubution BAFO_V2'!J:J,1,FALSE))</f>
        <v>0</v>
      </c>
      <c r="R171" s="47"/>
    </row>
    <row r="172" spans="2:18" x14ac:dyDescent="0.25">
      <c r="B172" s="55" t="s">
        <v>1207</v>
      </c>
      <c r="C172" s="55" t="s">
        <v>1709</v>
      </c>
      <c r="D172" s="56" t="s">
        <v>1311</v>
      </c>
      <c r="E172" s="56" t="s">
        <v>1602</v>
      </c>
      <c r="F172" s="56" t="s">
        <v>1603</v>
      </c>
      <c r="G172" s="56" t="s">
        <v>1604</v>
      </c>
      <c r="H172" s="55" t="s">
        <v>1710</v>
      </c>
      <c r="I172" s="56" t="s">
        <v>1399</v>
      </c>
      <c r="J172" s="56" t="s">
        <v>1614</v>
      </c>
      <c r="K172" s="57">
        <v>45078</v>
      </c>
      <c r="L172" s="55">
        <v>24</v>
      </c>
      <c r="M172" s="55" t="s">
        <v>1359</v>
      </c>
      <c r="N172" s="57">
        <v>45139</v>
      </c>
      <c r="O172" s="55">
        <v>10</v>
      </c>
      <c r="P172" s="57">
        <v>45139.51284722222</v>
      </c>
      <c r="Q172" s="58" t="b">
        <f>ISERROR(VLOOKUP($B172,'ILR MonitorDistrubution BAFO_V2'!J:J,1,FALSE))</f>
        <v>0</v>
      </c>
      <c r="R172" s="47"/>
    </row>
    <row r="173" spans="2:18" x14ac:dyDescent="0.25">
      <c r="B173" s="55" t="s">
        <v>1208</v>
      </c>
      <c r="C173" s="55" t="s">
        <v>1711</v>
      </c>
      <c r="D173" s="56" t="s">
        <v>1311</v>
      </c>
      <c r="E173" s="56" t="s">
        <v>1602</v>
      </c>
      <c r="F173" s="56" t="s">
        <v>1603</v>
      </c>
      <c r="G173" s="56" t="s">
        <v>1604</v>
      </c>
      <c r="H173" s="55" t="s">
        <v>1712</v>
      </c>
      <c r="I173" s="56" t="s">
        <v>1399</v>
      </c>
      <c r="J173" s="56" t="s">
        <v>1614</v>
      </c>
      <c r="K173" s="57">
        <v>45078</v>
      </c>
      <c r="L173" s="55">
        <v>24</v>
      </c>
      <c r="M173" s="55" t="s">
        <v>1359</v>
      </c>
      <c r="N173" s="57">
        <v>45139</v>
      </c>
      <c r="O173" s="55">
        <v>10</v>
      </c>
      <c r="P173" s="57">
        <v>45139.51284722222</v>
      </c>
      <c r="Q173" s="58" t="b">
        <f>ISERROR(VLOOKUP($B173,'ILR MonitorDistrubution BAFO_V2'!J:J,1,FALSE))</f>
        <v>0</v>
      </c>
      <c r="R173" s="47"/>
    </row>
    <row r="174" spans="2:18" x14ac:dyDescent="0.25">
      <c r="B174" s="55" t="s">
        <v>1209</v>
      </c>
      <c r="C174" s="55" t="s">
        <v>1713</v>
      </c>
      <c r="D174" s="56" t="s">
        <v>1311</v>
      </c>
      <c r="E174" s="56" t="s">
        <v>1602</v>
      </c>
      <c r="F174" s="56" t="s">
        <v>1603</v>
      </c>
      <c r="G174" s="56" t="s">
        <v>1604</v>
      </c>
      <c r="H174" s="55" t="s">
        <v>1714</v>
      </c>
      <c r="I174" s="56" t="s">
        <v>1399</v>
      </c>
      <c r="J174" s="56" t="s">
        <v>1614</v>
      </c>
      <c r="K174" s="57">
        <v>45078</v>
      </c>
      <c r="L174" s="55">
        <v>24</v>
      </c>
      <c r="M174" s="55" t="s">
        <v>1359</v>
      </c>
      <c r="N174" s="57">
        <v>45139</v>
      </c>
      <c r="O174" s="55">
        <v>10</v>
      </c>
      <c r="P174" s="57">
        <v>45139.51284722222</v>
      </c>
      <c r="Q174" s="58" t="b">
        <f>ISERROR(VLOOKUP($B174,'ILR MonitorDistrubution BAFO_V2'!J:J,1,FALSE))</f>
        <v>0</v>
      </c>
      <c r="R174" s="47"/>
    </row>
    <row r="175" spans="2:18" x14ac:dyDescent="0.25">
      <c r="B175" s="55" t="s">
        <v>1210</v>
      </c>
      <c r="C175" s="55" t="s">
        <v>1715</v>
      </c>
      <c r="D175" s="56" t="s">
        <v>1311</v>
      </c>
      <c r="E175" s="56" t="s">
        <v>1602</v>
      </c>
      <c r="F175" s="56" t="s">
        <v>1603</v>
      </c>
      <c r="G175" s="56" t="s">
        <v>1604</v>
      </c>
      <c r="H175" s="55" t="s">
        <v>1716</v>
      </c>
      <c r="I175" s="56" t="s">
        <v>1399</v>
      </c>
      <c r="J175" s="56" t="s">
        <v>1614</v>
      </c>
      <c r="K175" s="57">
        <v>45078</v>
      </c>
      <c r="L175" s="55">
        <v>24</v>
      </c>
      <c r="M175" s="55" t="s">
        <v>1359</v>
      </c>
      <c r="N175" s="57">
        <v>45139</v>
      </c>
      <c r="O175" s="55">
        <v>10</v>
      </c>
      <c r="P175" s="57">
        <v>45139.51284722222</v>
      </c>
      <c r="Q175" s="58" t="b">
        <f>ISERROR(VLOOKUP($B175,'ILR MonitorDistrubution BAFO_V2'!J:J,1,FALSE))</f>
        <v>0</v>
      </c>
      <c r="R175" s="47"/>
    </row>
    <row r="176" spans="2:18" x14ac:dyDescent="0.25">
      <c r="B176" s="55" t="s">
        <v>1211</v>
      </c>
      <c r="C176" s="55" t="s">
        <v>1717</v>
      </c>
      <c r="D176" s="56" t="s">
        <v>1311</v>
      </c>
      <c r="E176" s="56" t="s">
        <v>1602</v>
      </c>
      <c r="F176" s="56" t="s">
        <v>1603</v>
      </c>
      <c r="G176" s="56" t="s">
        <v>1604</v>
      </c>
      <c r="H176" s="55" t="s">
        <v>1718</v>
      </c>
      <c r="I176" s="56" t="s">
        <v>1399</v>
      </c>
      <c r="J176" s="56" t="s">
        <v>1614</v>
      </c>
      <c r="K176" s="57">
        <v>45078</v>
      </c>
      <c r="L176" s="55">
        <v>24</v>
      </c>
      <c r="M176" s="55" t="s">
        <v>1359</v>
      </c>
      <c r="N176" s="57">
        <v>45139</v>
      </c>
      <c r="O176" s="55">
        <v>10</v>
      </c>
      <c r="P176" s="57">
        <v>45139.51284722222</v>
      </c>
      <c r="Q176" s="58" t="b">
        <f>ISERROR(VLOOKUP($B176,'ILR MonitorDistrubution BAFO_V2'!J:J,1,FALSE))</f>
        <v>0</v>
      </c>
      <c r="R176" s="47"/>
    </row>
    <row r="177" spans="2:18" x14ac:dyDescent="0.25">
      <c r="B177" s="55" t="s">
        <v>1212</v>
      </c>
      <c r="C177" s="55" t="s">
        <v>1719</v>
      </c>
      <c r="D177" s="56" t="s">
        <v>1311</v>
      </c>
      <c r="E177" s="56" t="s">
        <v>1602</v>
      </c>
      <c r="F177" s="56" t="s">
        <v>1603</v>
      </c>
      <c r="G177" s="56" t="s">
        <v>1604</v>
      </c>
      <c r="H177" s="55" t="s">
        <v>1720</v>
      </c>
      <c r="I177" s="56" t="s">
        <v>1399</v>
      </c>
      <c r="J177" s="56" t="s">
        <v>1614</v>
      </c>
      <c r="K177" s="57">
        <v>45078</v>
      </c>
      <c r="L177" s="55">
        <v>24</v>
      </c>
      <c r="M177" s="55" t="s">
        <v>1359</v>
      </c>
      <c r="N177" s="57">
        <v>45139</v>
      </c>
      <c r="O177" s="55">
        <v>10</v>
      </c>
      <c r="P177" s="57">
        <v>45139.51284722222</v>
      </c>
      <c r="Q177" s="58" t="b">
        <f>ISERROR(VLOOKUP($B177,'ILR MonitorDistrubution BAFO_V2'!J:J,1,FALSE))</f>
        <v>0</v>
      </c>
      <c r="R177" s="47"/>
    </row>
    <row r="178" spans="2:18" x14ac:dyDescent="0.25">
      <c r="B178" s="55" t="s">
        <v>1213</v>
      </c>
      <c r="C178" s="55" t="s">
        <v>1721</v>
      </c>
      <c r="D178" s="56" t="s">
        <v>1311</v>
      </c>
      <c r="E178" s="56" t="s">
        <v>1602</v>
      </c>
      <c r="F178" s="56" t="s">
        <v>1603</v>
      </c>
      <c r="G178" s="56" t="s">
        <v>1604</v>
      </c>
      <c r="H178" s="55" t="s">
        <v>1722</v>
      </c>
      <c r="I178" s="56" t="s">
        <v>1399</v>
      </c>
      <c r="J178" s="56" t="s">
        <v>1614</v>
      </c>
      <c r="K178" s="57">
        <v>45078</v>
      </c>
      <c r="L178" s="55">
        <v>24</v>
      </c>
      <c r="M178" s="55" t="s">
        <v>1359</v>
      </c>
      <c r="N178" s="57">
        <v>45139</v>
      </c>
      <c r="O178" s="55">
        <v>10</v>
      </c>
      <c r="P178" s="57">
        <v>45139.512858796297</v>
      </c>
      <c r="Q178" s="58" t="b">
        <f>ISERROR(VLOOKUP($B178,'ILR MonitorDistrubution BAFO_V2'!J:J,1,FALSE))</f>
        <v>0</v>
      </c>
      <c r="R178" s="47"/>
    </row>
    <row r="179" spans="2:18" x14ac:dyDescent="0.25">
      <c r="B179" s="55" t="s">
        <v>1214</v>
      </c>
      <c r="C179" s="55" t="s">
        <v>1723</v>
      </c>
      <c r="D179" s="56" t="s">
        <v>1311</v>
      </c>
      <c r="E179" s="56" t="s">
        <v>1602</v>
      </c>
      <c r="F179" s="56" t="s">
        <v>1603</v>
      </c>
      <c r="G179" s="56" t="s">
        <v>1604</v>
      </c>
      <c r="H179" s="55" t="s">
        <v>1724</v>
      </c>
      <c r="I179" s="56" t="s">
        <v>1399</v>
      </c>
      <c r="J179" s="56" t="s">
        <v>1614</v>
      </c>
      <c r="K179" s="57">
        <v>45078</v>
      </c>
      <c r="L179" s="55">
        <v>24</v>
      </c>
      <c r="M179" s="55" t="s">
        <v>1359</v>
      </c>
      <c r="N179" s="57">
        <v>45139</v>
      </c>
      <c r="O179" s="55">
        <v>10</v>
      </c>
      <c r="P179" s="57">
        <v>45139.512858796297</v>
      </c>
      <c r="Q179" s="58" t="b">
        <f>ISERROR(VLOOKUP($B179,'ILR MonitorDistrubution BAFO_V2'!J:J,1,FALSE))</f>
        <v>0</v>
      </c>
      <c r="R179" s="47"/>
    </row>
    <row r="180" spans="2:18" x14ac:dyDescent="0.25">
      <c r="B180" s="55" t="s">
        <v>1215</v>
      </c>
      <c r="C180" s="55" t="s">
        <v>1725</v>
      </c>
      <c r="D180" s="56" t="s">
        <v>1311</v>
      </c>
      <c r="E180" s="56" t="s">
        <v>1602</v>
      </c>
      <c r="F180" s="56" t="s">
        <v>1603</v>
      </c>
      <c r="G180" s="56" t="s">
        <v>1604</v>
      </c>
      <c r="H180" s="55" t="s">
        <v>1726</v>
      </c>
      <c r="I180" s="56" t="s">
        <v>1399</v>
      </c>
      <c r="J180" s="56" t="s">
        <v>1614</v>
      </c>
      <c r="K180" s="57">
        <v>45078</v>
      </c>
      <c r="L180" s="55">
        <v>24</v>
      </c>
      <c r="M180" s="55" t="s">
        <v>1359</v>
      </c>
      <c r="N180" s="57">
        <v>45139</v>
      </c>
      <c r="O180" s="55">
        <v>10</v>
      </c>
      <c r="P180" s="57">
        <v>45139.512858796297</v>
      </c>
      <c r="Q180" s="58" t="b">
        <f>ISERROR(VLOOKUP($B180,'ILR MonitorDistrubution BAFO_V2'!J:J,1,FALSE))</f>
        <v>0</v>
      </c>
      <c r="R180" s="47"/>
    </row>
    <row r="181" spans="2:18" x14ac:dyDescent="0.25">
      <c r="B181" s="55" t="s">
        <v>1216</v>
      </c>
      <c r="C181" s="55" t="s">
        <v>1727</v>
      </c>
      <c r="D181" s="56" t="s">
        <v>1311</v>
      </c>
      <c r="E181" s="56" t="s">
        <v>1602</v>
      </c>
      <c r="F181" s="56" t="s">
        <v>1603</v>
      </c>
      <c r="G181" s="56" t="s">
        <v>1604</v>
      </c>
      <c r="H181" s="55" t="s">
        <v>1728</v>
      </c>
      <c r="I181" s="56" t="s">
        <v>1399</v>
      </c>
      <c r="J181" s="56" t="s">
        <v>1614</v>
      </c>
      <c r="K181" s="57">
        <v>45078</v>
      </c>
      <c r="L181" s="55">
        <v>24</v>
      </c>
      <c r="M181" s="55" t="s">
        <v>1359</v>
      </c>
      <c r="N181" s="57">
        <v>45139</v>
      </c>
      <c r="O181" s="55">
        <v>10</v>
      </c>
      <c r="P181" s="57">
        <v>45139.512858796297</v>
      </c>
      <c r="Q181" s="58" t="b">
        <f>ISERROR(VLOOKUP($B181,'ILR MonitorDistrubution BAFO_V2'!J:J,1,FALSE))</f>
        <v>0</v>
      </c>
      <c r="R181" s="47"/>
    </row>
    <row r="182" spans="2:18" x14ac:dyDescent="0.25">
      <c r="B182" s="55" t="s">
        <v>1229</v>
      </c>
      <c r="C182" s="55" t="s">
        <v>1729</v>
      </c>
      <c r="D182" s="56" t="s">
        <v>1311</v>
      </c>
      <c r="E182" s="56">
        <v>867030</v>
      </c>
      <c r="F182" s="56" t="s">
        <v>1603</v>
      </c>
      <c r="G182" s="56" t="s">
        <v>1730</v>
      </c>
      <c r="H182" s="55" t="s">
        <v>1731</v>
      </c>
      <c r="I182" s="56" t="s">
        <v>1520</v>
      </c>
      <c r="J182" s="56" t="s">
        <v>1614</v>
      </c>
      <c r="K182" s="57">
        <v>44784</v>
      </c>
      <c r="L182" s="55">
        <v>12</v>
      </c>
      <c r="M182" s="55" t="s">
        <v>1315</v>
      </c>
      <c r="N182" s="57"/>
      <c r="O182" s="55">
        <v>10</v>
      </c>
      <c r="P182" s="57">
        <v>45343.471689814818</v>
      </c>
      <c r="Q182" s="58" t="b">
        <f>ISERROR(VLOOKUP($B182,'ILR MonitorDistrubution BAFO_V2'!J:J,1,FALSE))</f>
        <v>0</v>
      </c>
      <c r="R182" s="47"/>
    </row>
    <row r="183" spans="2:18" x14ac:dyDescent="0.25">
      <c r="B183" s="55" t="s">
        <v>1230</v>
      </c>
      <c r="C183" s="55" t="s">
        <v>1732</v>
      </c>
      <c r="D183" s="56" t="s">
        <v>1311</v>
      </c>
      <c r="E183" s="56" t="s">
        <v>1602</v>
      </c>
      <c r="F183" s="56" t="s">
        <v>1603</v>
      </c>
      <c r="G183" s="56" t="s">
        <v>1730</v>
      </c>
      <c r="H183" s="55" t="s">
        <v>1733</v>
      </c>
      <c r="I183" s="56" t="s">
        <v>1520</v>
      </c>
      <c r="J183" s="56" t="s">
        <v>1614</v>
      </c>
      <c r="K183" s="57">
        <v>44784</v>
      </c>
      <c r="L183" s="55">
        <v>12</v>
      </c>
      <c r="M183" s="55" t="s">
        <v>1315</v>
      </c>
      <c r="N183" s="57"/>
      <c r="O183" s="55">
        <v>10</v>
      </c>
      <c r="P183" s="57">
        <v>45343.471701388888</v>
      </c>
      <c r="Q183" s="58" t="b">
        <f>ISERROR(VLOOKUP($B183,'ILR MonitorDistrubution BAFO_V2'!J:J,1,FALSE))</f>
        <v>0</v>
      </c>
      <c r="R183" s="47"/>
    </row>
    <row r="184" spans="2:18" x14ac:dyDescent="0.25">
      <c r="B184" s="55" t="s">
        <v>1229</v>
      </c>
      <c r="C184" s="55" t="s">
        <v>1734</v>
      </c>
      <c r="D184" s="56" t="s">
        <v>1311</v>
      </c>
      <c r="E184" s="56" t="s">
        <v>1602</v>
      </c>
      <c r="F184" s="56" t="s">
        <v>1603</v>
      </c>
      <c r="G184" s="56" t="s">
        <v>1730</v>
      </c>
      <c r="H184" s="55" t="s">
        <v>1735</v>
      </c>
      <c r="I184" s="56" t="s">
        <v>1520</v>
      </c>
      <c r="J184" s="56" t="s">
        <v>1614</v>
      </c>
      <c r="K184" s="57">
        <v>44784</v>
      </c>
      <c r="L184" s="55">
        <v>12</v>
      </c>
      <c r="M184" s="55" t="s">
        <v>1315</v>
      </c>
      <c r="N184" s="57"/>
      <c r="O184" s="55">
        <v>10</v>
      </c>
      <c r="P184" s="57">
        <v>45343.471701388888</v>
      </c>
      <c r="Q184" s="58" t="b">
        <f>ISERROR(VLOOKUP($B184,'ILR MonitorDistrubution BAFO_V2'!J:J,1,FALSE))</f>
        <v>0</v>
      </c>
      <c r="R184" s="47"/>
    </row>
    <row r="185" spans="2:18" x14ac:dyDescent="0.25">
      <c r="B185" s="55" t="s">
        <v>1232</v>
      </c>
      <c r="C185" s="55" t="s">
        <v>1736</v>
      </c>
      <c r="D185" s="56" t="s">
        <v>1311</v>
      </c>
      <c r="E185" s="56" t="s">
        <v>1602</v>
      </c>
      <c r="F185" s="56" t="s">
        <v>1603</v>
      </c>
      <c r="G185" s="56" t="s">
        <v>1730</v>
      </c>
      <c r="H185" s="55" t="s">
        <v>1737</v>
      </c>
      <c r="I185" s="56" t="s">
        <v>1520</v>
      </c>
      <c r="J185" s="56" t="s">
        <v>1614</v>
      </c>
      <c r="K185" s="57">
        <v>44784</v>
      </c>
      <c r="L185" s="55">
        <v>12</v>
      </c>
      <c r="M185" s="55" t="s">
        <v>1315</v>
      </c>
      <c r="N185" s="57"/>
      <c r="O185" s="55">
        <v>10</v>
      </c>
      <c r="P185" s="57">
        <v>45343.471701388888</v>
      </c>
      <c r="Q185" s="58" t="b">
        <f>ISERROR(VLOOKUP($B185,'ILR MonitorDistrubution BAFO_V2'!J:J,1,FALSE))</f>
        <v>0</v>
      </c>
      <c r="R185" s="47"/>
    </row>
    <row r="186" spans="2:18" x14ac:dyDescent="0.25">
      <c r="B186" s="55" t="s">
        <v>1233</v>
      </c>
      <c r="C186" s="55" t="s">
        <v>1738</v>
      </c>
      <c r="D186" s="56" t="s">
        <v>1311</v>
      </c>
      <c r="E186" s="56" t="s">
        <v>1602</v>
      </c>
      <c r="F186" s="56" t="s">
        <v>1603</v>
      </c>
      <c r="G186" s="56" t="s">
        <v>1730</v>
      </c>
      <c r="H186" s="55" t="s">
        <v>1739</v>
      </c>
      <c r="I186" s="56" t="s">
        <v>1520</v>
      </c>
      <c r="J186" s="56" t="s">
        <v>1614</v>
      </c>
      <c r="K186" s="57">
        <v>44784</v>
      </c>
      <c r="L186" s="55">
        <v>12</v>
      </c>
      <c r="M186" s="55" t="s">
        <v>1315</v>
      </c>
      <c r="N186" s="57"/>
      <c r="O186" s="55">
        <v>10</v>
      </c>
      <c r="P186" s="57">
        <v>45343.471701388888</v>
      </c>
      <c r="Q186" s="58" t="b">
        <f>ISERROR(VLOOKUP($B186,'ILR MonitorDistrubution BAFO_V2'!J:J,1,FALSE))</f>
        <v>0</v>
      </c>
      <c r="R186" s="47"/>
    </row>
    <row r="187" spans="2:18" x14ac:dyDescent="0.25">
      <c r="B187" s="55" t="s">
        <v>1234</v>
      </c>
      <c r="C187" s="55" t="s">
        <v>1740</v>
      </c>
      <c r="D187" s="56" t="s">
        <v>1311</v>
      </c>
      <c r="E187" s="56" t="s">
        <v>1602</v>
      </c>
      <c r="F187" s="56" t="s">
        <v>1603</v>
      </c>
      <c r="G187" s="56" t="s">
        <v>1730</v>
      </c>
      <c r="H187" s="55" t="s">
        <v>1741</v>
      </c>
      <c r="I187" s="56" t="s">
        <v>1520</v>
      </c>
      <c r="J187" s="56" t="s">
        <v>1614</v>
      </c>
      <c r="K187" s="57">
        <v>44784</v>
      </c>
      <c r="L187" s="55">
        <v>12</v>
      </c>
      <c r="M187" s="55" t="s">
        <v>1315</v>
      </c>
      <c r="N187" s="57"/>
      <c r="O187" s="55">
        <v>10</v>
      </c>
      <c r="P187" s="57">
        <v>45343.471712962964</v>
      </c>
      <c r="Q187" s="58" t="b">
        <f>ISERROR(VLOOKUP($B187,'ILR MonitorDistrubution BAFO_V2'!J:J,1,FALSE))</f>
        <v>0</v>
      </c>
      <c r="R187" s="47"/>
    </row>
    <row r="188" spans="2:18" x14ac:dyDescent="0.25">
      <c r="B188" s="55" t="s">
        <v>1235</v>
      </c>
      <c r="C188" s="55" t="s">
        <v>1742</v>
      </c>
      <c r="D188" s="56" t="s">
        <v>1311</v>
      </c>
      <c r="E188" s="56" t="s">
        <v>1602</v>
      </c>
      <c r="F188" s="56" t="s">
        <v>1603</v>
      </c>
      <c r="G188" s="56" t="s">
        <v>1604</v>
      </c>
      <c r="H188" s="55" t="s">
        <v>1743</v>
      </c>
      <c r="I188" s="56" t="s">
        <v>1381</v>
      </c>
      <c r="J188" s="56" t="s">
        <v>1382</v>
      </c>
      <c r="K188" s="57">
        <v>44033</v>
      </c>
      <c r="L188" s="55">
        <v>12</v>
      </c>
      <c r="M188" s="55" t="s">
        <v>1315</v>
      </c>
      <c r="N188" s="57">
        <v>44033</v>
      </c>
      <c r="O188" s="55">
        <v>10</v>
      </c>
      <c r="P188" s="57">
        <v>45135.513287037036</v>
      </c>
      <c r="Q188" s="58" t="b">
        <f>ISERROR(VLOOKUP($B188,'ILR MonitorDistrubution BAFO_V2'!J:J,1,FALSE))</f>
        <v>0</v>
      </c>
      <c r="R188" s="47"/>
    </row>
    <row r="189" spans="2:18" x14ac:dyDescent="0.25">
      <c r="B189" s="55" t="s">
        <v>1236</v>
      </c>
      <c r="C189" s="55" t="s">
        <v>1744</v>
      </c>
      <c r="D189" s="56" t="s">
        <v>1311</v>
      </c>
      <c r="E189" s="56" t="s">
        <v>1602</v>
      </c>
      <c r="F189" s="56" t="s">
        <v>1603</v>
      </c>
      <c r="G189" s="56" t="s">
        <v>1604</v>
      </c>
      <c r="H189" s="55" t="s">
        <v>1745</v>
      </c>
      <c r="I189" s="56" t="s">
        <v>1381</v>
      </c>
      <c r="J189" s="56" t="s">
        <v>1382</v>
      </c>
      <c r="K189" s="57">
        <v>44033</v>
      </c>
      <c r="L189" s="55">
        <v>12</v>
      </c>
      <c r="M189" s="55" t="s">
        <v>1315</v>
      </c>
      <c r="N189" s="57">
        <v>44033</v>
      </c>
      <c r="O189" s="55">
        <v>10</v>
      </c>
      <c r="P189" s="57">
        <v>45135.513298611113</v>
      </c>
      <c r="Q189" s="58" t="b">
        <f>ISERROR(VLOOKUP($B189,'ILR MonitorDistrubution BAFO_V2'!J:J,1,FALSE))</f>
        <v>0</v>
      </c>
      <c r="R189" s="47"/>
    </row>
    <row r="190" spans="2:18" x14ac:dyDescent="0.25">
      <c r="B190" s="55" t="s">
        <v>1237</v>
      </c>
      <c r="C190" s="55" t="s">
        <v>1746</v>
      </c>
      <c r="D190" s="56" t="s">
        <v>1311</v>
      </c>
      <c r="E190" s="56" t="s">
        <v>1602</v>
      </c>
      <c r="F190" s="56" t="s">
        <v>1603</v>
      </c>
      <c r="G190" s="56" t="s">
        <v>1604</v>
      </c>
      <c r="H190" s="55" t="s">
        <v>1747</v>
      </c>
      <c r="I190" s="56" t="s">
        <v>1381</v>
      </c>
      <c r="J190" s="56" t="s">
        <v>1382</v>
      </c>
      <c r="K190" s="57">
        <v>44033</v>
      </c>
      <c r="L190" s="55">
        <v>12</v>
      </c>
      <c r="M190" s="55" t="s">
        <v>1315</v>
      </c>
      <c r="N190" s="57">
        <v>44033</v>
      </c>
      <c r="O190" s="55">
        <v>10</v>
      </c>
      <c r="P190" s="57">
        <v>45135.513298611113</v>
      </c>
      <c r="Q190" s="58" t="b">
        <f>ISERROR(VLOOKUP($B190,'ILR MonitorDistrubution BAFO_V2'!J:J,1,FALSE))</f>
        <v>0</v>
      </c>
      <c r="R190" s="47"/>
    </row>
    <row r="191" spans="2:18" x14ac:dyDescent="0.25">
      <c r="B191" s="55" t="s">
        <v>1238</v>
      </c>
      <c r="C191" s="55" t="s">
        <v>1748</v>
      </c>
      <c r="D191" s="56" t="s">
        <v>1311</v>
      </c>
      <c r="E191" s="56" t="s">
        <v>1602</v>
      </c>
      <c r="F191" s="56" t="s">
        <v>1603</v>
      </c>
      <c r="G191" s="56" t="s">
        <v>1604</v>
      </c>
      <c r="H191" s="55" t="s">
        <v>1749</v>
      </c>
      <c r="I191" s="56" t="s">
        <v>1381</v>
      </c>
      <c r="J191" s="56" t="s">
        <v>1382</v>
      </c>
      <c r="K191" s="57">
        <v>44033</v>
      </c>
      <c r="L191" s="55">
        <v>12</v>
      </c>
      <c r="M191" s="55" t="s">
        <v>1315</v>
      </c>
      <c r="N191" s="57">
        <v>44033</v>
      </c>
      <c r="O191" s="55">
        <v>10</v>
      </c>
      <c r="P191" s="57">
        <v>45135.513298611113</v>
      </c>
      <c r="Q191" s="58" t="b">
        <f>ISERROR(VLOOKUP($B191,'ILR MonitorDistrubution BAFO_V2'!J:J,1,FALSE))</f>
        <v>0</v>
      </c>
      <c r="R191" s="47"/>
    </row>
    <row r="192" spans="2:18" x14ac:dyDescent="0.25">
      <c r="B192" s="55" t="s">
        <v>1239</v>
      </c>
      <c r="C192" s="55" t="s">
        <v>1750</v>
      </c>
      <c r="D192" s="56" t="s">
        <v>1311</v>
      </c>
      <c r="E192" s="56" t="s">
        <v>1602</v>
      </c>
      <c r="F192" s="56" t="s">
        <v>1603</v>
      </c>
      <c r="G192" s="56" t="s">
        <v>1604</v>
      </c>
      <c r="H192" s="55" t="s">
        <v>1751</v>
      </c>
      <c r="I192" s="56" t="s">
        <v>1381</v>
      </c>
      <c r="J192" s="56" t="s">
        <v>1382</v>
      </c>
      <c r="K192" s="57">
        <v>44033</v>
      </c>
      <c r="L192" s="55">
        <v>12</v>
      </c>
      <c r="M192" s="55" t="s">
        <v>1315</v>
      </c>
      <c r="N192" s="57">
        <v>44033</v>
      </c>
      <c r="O192" s="55">
        <v>10</v>
      </c>
      <c r="P192" s="57">
        <v>45135.513298611113</v>
      </c>
      <c r="Q192" s="58" t="b">
        <f>ISERROR(VLOOKUP($B192,'ILR MonitorDistrubution BAFO_V2'!J:J,1,FALSE))</f>
        <v>0</v>
      </c>
      <c r="R192" s="47"/>
    </row>
    <row r="193" spans="2:18" x14ac:dyDescent="0.25">
      <c r="B193" s="55" t="s">
        <v>1240</v>
      </c>
      <c r="C193" s="55" t="s">
        <v>1752</v>
      </c>
      <c r="D193" s="56" t="s">
        <v>1311</v>
      </c>
      <c r="E193" s="56" t="s">
        <v>1602</v>
      </c>
      <c r="F193" s="56" t="s">
        <v>1603</v>
      </c>
      <c r="G193" s="56" t="s">
        <v>1604</v>
      </c>
      <c r="H193" s="55" t="s">
        <v>1753</v>
      </c>
      <c r="I193" s="56" t="s">
        <v>1381</v>
      </c>
      <c r="J193" s="56" t="s">
        <v>1382</v>
      </c>
      <c r="K193" s="57">
        <v>44033</v>
      </c>
      <c r="L193" s="55">
        <v>12</v>
      </c>
      <c r="M193" s="55" t="s">
        <v>1315</v>
      </c>
      <c r="N193" s="57">
        <v>44033</v>
      </c>
      <c r="O193" s="55">
        <v>10</v>
      </c>
      <c r="P193" s="57">
        <v>45135.513298611113</v>
      </c>
      <c r="Q193" s="58" t="b">
        <f>ISERROR(VLOOKUP($B193,'ILR MonitorDistrubution BAFO_V2'!J:J,1,FALSE))</f>
        <v>0</v>
      </c>
      <c r="R193" s="47"/>
    </row>
    <row r="194" spans="2:18" x14ac:dyDescent="0.25">
      <c r="B194" s="55" t="s">
        <v>1241</v>
      </c>
      <c r="C194" s="55" t="s">
        <v>1754</v>
      </c>
      <c r="D194" s="56" t="s">
        <v>1311</v>
      </c>
      <c r="E194" s="56" t="s">
        <v>1602</v>
      </c>
      <c r="F194" s="56" t="s">
        <v>1603</v>
      </c>
      <c r="G194" s="56" t="s">
        <v>1604</v>
      </c>
      <c r="H194" s="55" t="s">
        <v>1755</v>
      </c>
      <c r="I194" s="56" t="s">
        <v>1381</v>
      </c>
      <c r="J194" s="56" t="s">
        <v>1382</v>
      </c>
      <c r="K194" s="57">
        <v>44006</v>
      </c>
      <c r="L194" s="55">
        <v>12</v>
      </c>
      <c r="M194" s="55" t="s">
        <v>1315</v>
      </c>
      <c r="N194" s="57">
        <v>44006</v>
      </c>
      <c r="O194" s="55">
        <v>10</v>
      </c>
      <c r="P194" s="57">
        <v>45135.513483796298</v>
      </c>
      <c r="Q194" s="58" t="b">
        <f>ISERROR(VLOOKUP($B194,'ILR MonitorDistrubution BAFO_V2'!J:J,1,FALSE))</f>
        <v>0</v>
      </c>
      <c r="R194" s="47"/>
    </row>
    <row r="195" spans="2:18" x14ac:dyDescent="0.25">
      <c r="B195" s="55" t="s">
        <v>1242</v>
      </c>
      <c r="C195" s="55" t="s">
        <v>1756</v>
      </c>
      <c r="D195" s="56" t="s">
        <v>1311</v>
      </c>
      <c r="E195" s="56" t="s">
        <v>1602</v>
      </c>
      <c r="F195" s="56" t="s">
        <v>1603</v>
      </c>
      <c r="G195" s="56" t="s">
        <v>1604</v>
      </c>
      <c r="H195" s="55" t="s">
        <v>1757</v>
      </c>
      <c r="I195" s="56" t="s">
        <v>1381</v>
      </c>
      <c r="J195" s="56" t="s">
        <v>1382</v>
      </c>
      <c r="K195" s="57">
        <v>44026</v>
      </c>
      <c r="L195" s="55">
        <v>12</v>
      </c>
      <c r="M195" s="55" t="s">
        <v>1315</v>
      </c>
      <c r="N195" s="57">
        <v>44026</v>
      </c>
      <c r="O195" s="55">
        <v>10</v>
      </c>
      <c r="P195" s="57">
        <v>45135.513483796298</v>
      </c>
      <c r="Q195" s="58" t="b">
        <f>ISERROR(VLOOKUP($B195,'ILR MonitorDistrubution BAFO_V2'!J:J,1,FALSE))</f>
        <v>0</v>
      </c>
      <c r="R195" s="47"/>
    </row>
    <row r="196" spans="2:18" x14ac:dyDescent="0.25">
      <c r="B196" s="55" t="s">
        <v>1243</v>
      </c>
      <c r="C196" s="55" t="s">
        <v>1758</v>
      </c>
      <c r="D196" s="56" t="s">
        <v>1311</v>
      </c>
      <c r="E196" s="56" t="s">
        <v>1602</v>
      </c>
      <c r="F196" s="56" t="s">
        <v>1603</v>
      </c>
      <c r="G196" s="56" t="s">
        <v>1604</v>
      </c>
      <c r="H196" s="55" t="s">
        <v>1759</v>
      </c>
      <c r="I196" s="56" t="s">
        <v>1381</v>
      </c>
      <c r="J196" s="56"/>
      <c r="K196" s="57">
        <v>44327</v>
      </c>
      <c r="L196" s="55">
        <v>12</v>
      </c>
      <c r="M196" s="55" t="s">
        <v>1315</v>
      </c>
      <c r="N196" s="57">
        <v>44327</v>
      </c>
      <c r="O196" s="55">
        <v>10</v>
      </c>
      <c r="P196" s="57">
        <v>45135.513506944444</v>
      </c>
      <c r="Q196" s="58" t="b">
        <f>ISERROR(VLOOKUP($B196,'ILR MonitorDistrubution BAFO_V2'!J:J,1,FALSE))</f>
        <v>0</v>
      </c>
      <c r="R196" s="47"/>
    </row>
    <row r="197" spans="2:18" x14ac:dyDescent="0.25">
      <c r="B197" s="55" t="s">
        <v>1244</v>
      </c>
      <c r="C197" s="55" t="s">
        <v>1760</v>
      </c>
      <c r="D197" s="56" t="s">
        <v>1311</v>
      </c>
      <c r="E197" s="56" t="s">
        <v>1602</v>
      </c>
      <c r="F197" s="56" t="s">
        <v>1603</v>
      </c>
      <c r="G197" s="56" t="s">
        <v>1604</v>
      </c>
      <c r="H197" s="55" t="s">
        <v>1761</v>
      </c>
      <c r="I197" s="56" t="s">
        <v>1381</v>
      </c>
      <c r="J197" s="56"/>
      <c r="K197" s="57">
        <v>44327</v>
      </c>
      <c r="L197" s="55">
        <v>12</v>
      </c>
      <c r="M197" s="55" t="s">
        <v>1315</v>
      </c>
      <c r="N197" s="57">
        <v>44327</v>
      </c>
      <c r="O197" s="55">
        <v>10</v>
      </c>
      <c r="P197" s="57">
        <v>45135.513506944444</v>
      </c>
      <c r="Q197" s="58" t="b">
        <f>ISERROR(VLOOKUP($B197,'ILR MonitorDistrubution BAFO_V2'!J:J,1,FALSE))</f>
        <v>0</v>
      </c>
      <c r="R197" s="47"/>
    </row>
    <row r="198" spans="2:18" x14ac:dyDescent="0.25">
      <c r="B198" s="55" t="s">
        <v>1245</v>
      </c>
      <c r="C198" s="55" t="s">
        <v>1762</v>
      </c>
      <c r="D198" s="56" t="s">
        <v>1311</v>
      </c>
      <c r="E198" s="56" t="s">
        <v>1602</v>
      </c>
      <c r="F198" s="56" t="s">
        <v>1603</v>
      </c>
      <c r="G198" s="56" t="s">
        <v>1604</v>
      </c>
      <c r="H198" s="55" t="s">
        <v>1763</v>
      </c>
      <c r="I198" s="56" t="s">
        <v>1381</v>
      </c>
      <c r="J198" s="56"/>
      <c r="K198" s="57">
        <v>44327</v>
      </c>
      <c r="L198" s="55">
        <v>12</v>
      </c>
      <c r="M198" s="55" t="s">
        <v>1315</v>
      </c>
      <c r="N198" s="57">
        <v>44327</v>
      </c>
      <c r="O198" s="55">
        <v>10</v>
      </c>
      <c r="P198" s="57">
        <v>45135.513506944444</v>
      </c>
      <c r="Q198" s="58" t="b">
        <f>ISERROR(VLOOKUP($B198,'ILR MonitorDistrubution BAFO_V2'!J:J,1,FALSE))</f>
        <v>0</v>
      </c>
      <c r="R198" s="47"/>
    </row>
    <row r="199" spans="2:18" x14ac:dyDescent="0.25">
      <c r="B199" s="55" t="s">
        <v>1246</v>
      </c>
      <c r="C199" s="55" t="s">
        <v>1764</v>
      </c>
      <c r="D199" s="56" t="s">
        <v>1311</v>
      </c>
      <c r="E199" s="56" t="s">
        <v>1602</v>
      </c>
      <c r="F199" s="56" t="s">
        <v>1603</v>
      </c>
      <c r="G199" s="56" t="s">
        <v>1604</v>
      </c>
      <c r="H199" s="55" t="s">
        <v>1765</v>
      </c>
      <c r="I199" s="56" t="s">
        <v>1381</v>
      </c>
      <c r="J199" s="56"/>
      <c r="K199" s="57">
        <v>44327</v>
      </c>
      <c r="L199" s="55">
        <v>12</v>
      </c>
      <c r="M199" s="55" t="s">
        <v>1315</v>
      </c>
      <c r="N199" s="57">
        <v>44327</v>
      </c>
      <c r="O199" s="55">
        <v>10</v>
      </c>
      <c r="P199" s="57">
        <v>45135.513506944444</v>
      </c>
      <c r="Q199" s="58" t="b">
        <f>ISERROR(VLOOKUP($B199,'ILR MonitorDistrubution BAFO_V2'!J:J,1,FALSE))</f>
        <v>0</v>
      </c>
      <c r="R199" s="47"/>
    </row>
    <row r="200" spans="2:18" x14ac:dyDescent="0.25">
      <c r="B200" s="55" t="s">
        <v>1247</v>
      </c>
      <c r="C200" s="55" t="s">
        <v>1766</v>
      </c>
      <c r="D200" s="56" t="s">
        <v>1311</v>
      </c>
      <c r="E200" s="56" t="s">
        <v>1602</v>
      </c>
      <c r="F200" s="56" t="s">
        <v>1603</v>
      </c>
      <c r="G200" s="56" t="s">
        <v>1604</v>
      </c>
      <c r="H200" s="55" t="s">
        <v>1767</v>
      </c>
      <c r="I200" s="56" t="s">
        <v>1381</v>
      </c>
      <c r="J200" s="56"/>
      <c r="K200" s="57">
        <v>44327</v>
      </c>
      <c r="L200" s="55">
        <v>12</v>
      </c>
      <c r="M200" s="55" t="s">
        <v>1315</v>
      </c>
      <c r="N200" s="57">
        <v>44327</v>
      </c>
      <c r="O200" s="55">
        <v>10</v>
      </c>
      <c r="P200" s="57">
        <v>45135.513506944444</v>
      </c>
      <c r="Q200" s="58" t="b">
        <f>ISERROR(VLOOKUP($B200,'ILR MonitorDistrubution BAFO_V2'!J:J,1,FALSE))</f>
        <v>0</v>
      </c>
      <c r="R200" s="47"/>
    </row>
    <row r="201" spans="2:18" x14ac:dyDescent="0.25">
      <c r="B201" s="55" t="s">
        <v>1248</v>
      </c>
      <c r="C201" s="55" t="s">
        <v>1768</v>
      </c>
      <c r="D201" s="56" t="s">
        <v>1311</v>
      </c>
      <c r="E201" s="56" t="s">
        <v>1602</v>
      </c>
      <c r="F201" s="56" t="s">
        <v>1603</v>
      </c>
      <c r="G201" s="56" t="s">
        <v>1604</v>
      </c>
      <c r="H201" s="55" t="s">
        <v>1769</v>
      </c>
      <c r="I201" s="56" t="s">
        <v>1381</v>
      </c>
      <c r="J201" s="56"/>
      <c r="K201" s="57">
        <v>44327</v>
      </c>
      <c r="L201" s="55">
        <v>12</v>
      </c>
      <c r="M201" s="55" t="s">
        <v>1315</v>
      </c>
      <c r="N201" s="57">
        <v>44327</v>
      </c>
      <c r="O201" s="55">
        <v>10</v>
      </c>
      <c r="P201" s="57">
        <v>45135.513506944444</v>
      </c>
      <c r="Q201" s="58" t="b">
        <f>ISERROR(VLOOKUP($B201,'ILR MonitorDistrubution BAFO_V2'!J:J,1,FALSE))</f>
        <v>0</v>
      </c>
      <c r="R201" s="47"/>
    </row>
    <row r="202" spans="2:18" x14ac:dyDescent="0.25">
      <c r="B202" s="55" t="s">
        <v>1249</v>
      </c>
      <c r="C202" s="55" t="s">
        <v>1770</v>
      </c>
      <c r="D202" s="56" t="s">
        <v>1311</v>
      </c>
      <c r="E202" s="56" t="s">
        <v>1602</v>
      </c>
      <c r="F202" s="56" t="s">
        <v>1603</v>
      </c>
      <c r="G202" s="56" t="s">
        <v>1604</v>
      </c>
      <c r="H202" s="55" t="s">
        <v>1771</v>
      </c>
      <c r="I202" s="56" t="s">
        <v>1381</v>
      </c>
      <c r="J202" s="56"/>
      <c r="K202" s="57">
        <v>44327</v>
      </c>
      <c r="L202" s="55">
        <v>12</v>
      </c>
      <c r="M202" s="55" t="s">
        <v>1315</v>
      </c>
      <c r="N202" s="57">
        <v>44327</v>
      </c>
      <c r="O202" s="55">
        <v>10</v>
      </c>
      <c r="P202" s="57">
        <v>45135.513518518521</v>
      </c>
      <c r="Q202" s="58" t="b">
        <f>ISERROR(VLOOKUP($B202,'ILR MonitorDistrubution BAFO_V2'!J:J,1,FALSE))</f>
        <v>0</v>
      </c>
      <c r="R202" s="47"/>
    </row>
    <row r="203" spans="2:18" x14ac:dyDescent="0.25">
      <c r="B203" s="55" t="s">
        <v>1250</v>
      </c>
      <c r="C203" s="55" t="s">
        <v>1772</v>
      </c>
      <c r="D203" s="56" t="s">
        <v>1311</v>
      </c>
      <c r="E203" s="56" t="s">
        <v>1602</v>
      </c>
      <c r="F203" s="56" t="s">
        <v>1603</v>
      </c>
      <c r="G203" s="56" t="s">
        <v>1604</v>
      </c>
      <c r="H203" s="55" t="s">
        <v>1773</v>
      </c>
      <c r="I203" s="56" t="s">
        <v>1381</v>
      </c>
      <c r="J203" s="56"/>
      <c r="K203" s="57">
        <v>44327</v>
      </c>
      <c r="L203" s="55">
        <v>12</v>
      </c>
      <c r="M203" s="55" t="s">
        <v>1315</v>
      </c>
      <c r="N203" s="57">
        <v>44327</v>
      </c>
      <c r="O203" s="55">
        <v>10</v>
      </c>
      <c r="P203" s="57">
        <v>45135.513518518521</v>
      </c>
      <c r="Q203" s="58" t="b">
        <f>ISERROR(VLOOKUP($B203,'ILR MonitorDistrubution BAFO_V2'!J:J,1,FALSE))</f>
        <v>0</v>
      </c>
      <c r="R203" s="47"/>
    </row>
    <row r="204" spans="2:18" x14ac:dyDescent="0.25">
      <c r="B204" s="55" t="s">
        <v>1152</v>
      </c>
      <c r="C204" s="55" t="s">
        <v>1774</v>
      </c>
      <c r="D204" s="56" t="s">
        <v>1311</v>
      </c>
      <c r="E204" s="56" t="s">
        <v>1775</v>
      </c>
      <c r="F204" s="56" t="s">
        <v>1776</v>
      </c>
      <c r="G204" s="56" t="s">
        <v>1604</v>
      </c>
      <c r="H204" s="55" t="s">
        <v>1777</v>
      </c>
      <c r="I204" s="56" t="s">
        <v>1345</v>
      </c>
      <c r="J204" s="56" t="s">
        <v>1382</v>
      </c>
      <c r="K204" s="57">
        <v>44125</v>
      </c>
      <c r="L204" s="55">
        <v>12</v>
      </c>
      <c r="M204" s="55" t="s">
        <v>1315</v>
      </c>
      <c r="N204" s="57">
        <v>44125</v>
      </c>
      <c r="O204" s="55">
        <v>10</v>
      </c>
      <c r="P204" s="57">
        <v>45135.513680555552</v>
      </c>
      <c r="Q204" s="58" t="b">
        <f>ISERROR(VLOOKUP($B204,'ILR MonitorDistrubution BAFO_V2'!J:J,1,FALSE))</f>
        <v>0</v>
      </c>
      <c r="R204" s="47"/>
    </row>
    <row r="205" spans="2:18" x14ac:dyDescent="0.25">
      <c r="B205" s="55" t="s">
        <v>1154</v>
      </c>
      <c r="C205" s="55" t="s">
        <v>1778</v>
      </c>
      <c r="D205" s="56" t="s">
        <v>1311</v>
      </c>
      <c r="E205" s="56" t="s">
        <v>1775</v>
      </c>
      <c r="F205" s="56" t="s">
        <v>1776</v>
      </c>
      <c r="G205" s="56" t="s">
        <v>1604</v>
      </c>
      <c r="H205" s="55" t="s">
        <v>1779</v>
      </c>
      <c r="I205" s="56" t="s">
        <v>1345</v>
      </c>
      <c r="J205" s="56" t="s">
        <v>1382</v>
      </c>
      <c r="K205" s="57">
        <v>44125</v>
      </c>
      <c r="L205" s="55">
        <v>12</v>
      </c>
      <c r="M205" s="55" t="s">
        <v>1315</v>
      </c>
      <c r="N205" s="57">
        <v>44125</v>
      </c>
      <c r="O205" s="55">
        <v>10</v>
      </c>
      <c r="P205" s="57">
        <v>45135.513680555552</v>
      </c>
      <c r="Q205" s="58" t="b">
        <f>ISERROR(VLOOKUP($B205,'ILR MonitorDistrubution BAFO_V2'!J:J,1,FALSE))</f>
        <v>0</v>
      </c>
      <c r="R205" s="47"/>
    </row>
    <row r="206" spans="2:18" x14ac:dyDescent="0.25">
      <c r="B206" s="55" t="s">
        <v>1780</v>
      </c>
      <c r="C206" s="55" t="s">
        <v>1781</v>
      </c>
      <c r="D206" s="56" t="s">
        <v>1311</v>
      </c>
      <c r="E206" s="56">
        <v>867040</v>
      </c>
      <c r="F206" s="56" t="s">
        <v>1782</v>
      </c>
      <c r="G206" s="56" t="s">
        <v>1783</v>
      </c>
      <c r="H206" s="55" t="s">
        <v>1784</v>
      </c>
      <c r="I206" s="56" t="s">
        <v>1385</v>
      </c>
      <c r="J206" s="56" t="s">
        <v>1382</v>
      </c>
      <c r="K206" s="57">
        <v>44033</v>
      </c>
      <c r="L206" s="55">
        <v>12</v>
      </c>
      <c r="M206" s="55" t="s">
        <v>1315</v>
      </c>
      <c r="N206" s="57">
        <v>44033</v>
      </c>
      <c r="O206" s="55">
        <v>10</v>
      </c>
      <c r="P206" s="57">
        <v>45135.513298611113</v>
      </c>
      <c r="Q206" s="58" t="b">
        <f>ISERROR(VLOOKUP($B206,'ILR MonitorDistrubution BAFO_V2'!J:J,1,FALSE))</f>
        <v>1</v>
      </c>
      <c r="R206" s="47"/>
    </row>
    <row r="207" spans="2:18" x14ac:dyDescent="0.25">
      <c r="B207" s="55" t="s">
        <v>1130</v>
      </c>
      <c r="C207" s="55" t="s">
        <v>1785</v>
      </c>
      <c r="D207" s="56" t="s">
        <v>1311</v>
      </c>
      <c r="E207" s="56" t="s">
        <v>1786</v>
      </c>
      <c r="F207" s="56" t="s">
        <v>1782</v>
      </c>
      <c r="G207" s="56" t="s">
        <v>1783</v>
      </c>
      <c r="H207" s="55" t="s">
        <v>1787</v>
      </c>
      <c r="I207" s="56" t="s">
        <v>1788</v>
      </c>
      <c r="J207" s="56" t="s">
        <v>1382</v>
      </c>
      <c r="K207" s="57">
        <v>44033</v>
      </c>
      <c r="L207" s="55">
        <v>12</v>
      </c>
      <c r="M207" s="55" t="s">
        <v>1315</v>
      </c>
      <c r="N207" s="57">
        <v>44033</v>
      </c>
      <c r="O207" s="55">
        <v>10</v>
      </c>
      <c r="P207" s="57">
        <v>45135.513298611113</v>
      </c>
      <c r="Q207" s="58" t="b">
        <f>ISERROR(VLOOKUP($B207,'ILR MonitorDistrubution BAFO_V2'!J:J,1,FALSE))</f>
        <v>0</v>
      </c>
      <c r="R207" s="47"/>
    </row>
    <row r="208" spans="2:18" x14ac:dyDescent="0.25">
      <c r="B208" s="55" t="s">
        <v>1131</v>
      </c>
      <c r="C208" s="55" t="s">
        <v>1789</v>
      </c>
      <c r="D208" s="56" t="s">
        <v>1311</v>
      </c>
      <c r="E208" s="56" t="s">
        <v>1786</v>
      </c>
      <c r="F208" s="56" t="s">
        <v>1782</v>
      </c>
      <c r="G208" s="56" t="s">
        <v>1783</v>
      </c>
      <c r="H208" s="55" t="s">
        <v>1790</v>
      </c>
      <c r="I208" s="56" t="s">
        <v>1788</v>
      </c>
      <c r="J208" s="56" t="s">
        <v>1382</v>
      </c>
      <c r="K208" s="57">
        <v>44124</v>
      </c>
      <c r="L208" s="55">
        <v>12</v>
      </c>
      <c r="M208" s="55" t="s">
        <v>1315</v>
      </c>
      <c r="N208" s="57">
        <v>44124</v>
      </c>
      <c r="O208" s="55">
        <v>10</v>
      </c>
      <c r="P208" s="57">
        <v>45141.511712962965</v>
      </c>
      <c r="Q208" s="58" t="b">
        <f>ISERROR(VLOOKUP($B208,'ILR MonitorDistrubution BAFO_V2'!J:J,1,FALSE))</f>
        <v>0</v>
      </c>
      <c r="R208" s="47"/>
    </row>
    <row r="209" spans="2:18" x14ac:dyDescent="0.25">
      <c r="B209" s="55" t="s">
        <v>1132</v>
      </c>
      <c r="C209" s="55" t="s">
        <v>1791</v>
      </c>
      <c r="D209" s="56" t="s">
        <v>1311</v>
      </c>
      <c r="E209" s="56" t="s">
        <v>1786</v>
      </c>
      <c r="F209" s="56" t="s">
        <v>1782</v>
      </c>
      <c r="G209" s="56" t="s">
        <v>1783</v>
      </c>
      <c r="H209" s="55" t="s">
        <v>1792</v>
      </c>
      <c r="I209" s="56" t="s">
        <v>1788</v>
      </c>
      <c r="J209" s="56" t="s">
        <v>1382</v>
      </c>
      <c r="K209" s="57">
        <v>44124</v>
      </c>
      <c r="L209" s="55">
        <v>12</v>
      </c>
      <c r="M209" s="55" t="s">
        <v>1315</v>
      </c>
      <c r="N209" s="57">
        <v>44124</v>
      </c>
      <c r="O209" s="55">
        <v>10</v>
      </c>
      <c r="P209" s="57">
        <v>45141.511747685188</v>
      </c>
      <c r="Q209" s="58" t="b">
        <f>ISERROR(VLOOKUP($B209,'ILR MonitorDistrubution BAFO_V2'!J:J,1,FALSE))</f>
        <v>0</v>
      </c>
      <c r="R209" s="47"/>
    </row>
    <row r="210" spans="2:18" x14ac:dyDescent="0.25">
      <c r="B210" s="55" t="s">
        <v>1133</v>
      </c>
      <c r="C210" s="55" t="s">
        <v>1793</v>
      </c>
      <c r="D210" s="56" t="s">
        <v>1311</v>
      </c>
      <c r="E210" s="56" t="s">
        <v>1794</v>
      </c>
      <c r="F210" s="56" t="s">
        <v>1795</v>
      </c>
      <c r="G210" s="56" t="s">
        <v>1783</v>
      </c>
      <c r="H210" s="55" t="s">
        <v>1796</v>
      </c>
      <c r="I210" s="56" t="s">
        <v>1381</v>
      </c>
      <c r="J210" s="56" t="s">
        <v>1382</v>
      </c>
      <c r="K210" s="57">
        <v>44125</v>
      </c>
      <c r="L210" s="55">
        <v>12</v>
      </c>
      <c r="M210" s="55" t="s">
        <v>1315</v>
      </c>
      <c r="N210" s="57">
        <v>44125</v>
      </c>
      <c r="O210" s="55">
        <v>10</v>
      </c>
      <c r="P210" s="57">
        <v>45141.527615740742</v>
      </c>
      <c r="Q210" s="58" t="b">
        <f>ISERROR(VLOOKUP($B210,'ILR MonitorDistrubution BAFO_V2'!J:J,1,FALSE))</f>
        <v>0</v>
      </c>
      <c r="R210" s="47"/>
    </row>
    <row r="211" spans="2:18" x14ac:dyDescent="0.25">
      <c r="B211" s="55" t="s">
        <v>1134</v>
      </c>
      <c r="C211" s="55" t="s">
        <v>1797</v>
      </c>
      <c r="D211" s="56" t="s">
        <v>1311</v>
      </c>
      <c r="E211" s="56" t="s">
        <v>1794</v>
      </c>
      <c r="F211" s="56" t="s">
        <v>1795</v>
      </c>
      <c r="G211" s="56" t="s">
        <v>1783</v>
      </c>
      <c r="H211" s="55" t="s">
        <v>1798</v>
      </c>
      <c r="I211" s="56" t="s">
        <v>1381</v>
      </c>
      <c r="J211" s="56" t="s">
        <v>1382</v>
      </c>
      <c r="K211" s="57">
        <v>44125</v>
      </c>
      <c r="L211" s="55">
        <v>12</v>
      </c>
      <c r="M211" s="55" t="s">
        <v>1315</v>
      </c>
      <c r="N211" s="57">
        <v>44125</v>
      </c>
      <c r="O211" s="55">
        <v>10</v>
      </c>
      <c r="P211" s="57">
        <v>45141.527615740742</v>
      </c>
      <c r="Q211" s="58" t="b">
        <f>ISERROR(VLOOKUP($B211,'ILR MonitorDistrubution BAFO_V2'!J:J,1,FALSE))</f>
        <v>0</v>
      </c>
      <c r="R211" s="47"/>
    </row>
    <row r="212" spans="2:18" x14ac:dyDescent="0.25">
      <c r="B212" s="55" t="s">
        <v>1135</v>
      </c>
      <c r="C212" s="55" t="s">
        <v>1799</v>
      </c>
      <c r="D212" s="56" t="s">
        <v>1311</v>
      </c>
      <c r="E212" s="56" t="s">
        <v>1794</v>
      </c>
      <c r="F212" s="56" t="s">
        <v>1795</v>
      </c>
      <c r="G212" s="56" t="s">
        <v>1783</v>
      </c>
      <c r="H212" s="55" t="s">
        <v>1800</v>
      </c>
      <c r="I212" s="56" t="s">
        <v>1381</v>
      </c>
      <c r="J212" s="56" t="s">
        <v>1382</v>
      </c>
      <c r="K212" s="57">
        <v>44125</v>
      </c>
      <c r="L212" s="55">
        <v>12</v>
      </c>
      <c r="M212" s="55" t="s">
        <v>1315</v>
      </c>
      <c r="N212" s="57">
        <v>44125</v>
      </c>
      <c r="O212" s="55">
        <v>10</v>
      </c>
      <c r="P212" s="57">
        <v>45141.527627314812</v>
      </c>
      <c r="Q212" s="58" t="b">
        <f>ISERROR(VLOOKUP($B212,'ILR MonitorDistrubution BAFO_V2'!J:J,1,FALSE))</f>
        <v>0</v>
      </c>
      <c r="R212" s="47"/>
    </row>
    <row r="213" spans="2:18" x14ac:dyDescent="0.25">
      <c r="B213" s="55" t="s">
        <v>1801</v>
      </c>
      <c r="C213" s="55" t="s">
        <v>1802</v>
      </c>
      <c r="D213" s="56" t="s">
        <v>1311</v>
      </c>
      <c r="E213" s="56" t="s">
        <v>1786</v>
      </c>
      <c r="F213" s="56" t="s">
        <v>1782</v>
      </c>
      <c r="G213" s="56" t="s">
        <v>1783</v>
      </c>
      <c r="H213" s="55" t="s">
        <v>1803</v>
      </c>
      <c r="I213" s="56" t="s">
        <v>1804</v>
      </c>
      <c r="J213" s="56" t="s">
        <v>1382</v>
      </c>
      <c r="K213" s="57">
        <v>44033</v>
      </c>
      <c r="L213" s="55">
        <v>12</v>
      </c>
      <c r="M213" s="55" t="s">
        <v>1315</v>
      </c>
      <c r="N213" s="57">
        <v>44033</v>
      </c>
      <c r="O213" s="55">
        <v>10</v>
      </c>
      <c r="P213" s="57">
        <v>45135.513449074075</v>
      </c>
      <c r="Q213" s="58" t="b">
        <f>ISERROR(VLOOKUP($B213,'ILR MonitorDistrubution BAFO_V2'!J:J,1,FALSE))</f>
        <v>1</v>
      </c>
      <c r="R213" s="47"/>
    </row>
    <row r="214" spans="2:18" x14ac:dyDescent="0.25">
      <c r="B214" s="55" t="s">
        <v>1136</v>
      </c>
      <c r="C214" s="55" t="s">
        <v>1805</v>
      </c>
      <c r="D214" s="56" t="s">
        <v>1311</v>
      </c>
      <c r="E214" s="56" t="s">
        <v>1794</v>
      </c>
      <c r="F214" s="56" t="s">
        <v>1795</v>
      </c>
      <c r="G214" s="56" t="s">
        <v>1783</v>
      </c>
      <c r="H214" s="55" t="s">
        <v>1806</v>
      </c>
      <c r="I214" s="56" t="s">
        <v>1381</v>
      </c>
      <c r="J214" s="56" t="s">
        <v>1382</v>
      </c>
      <c r="K214" s="57">
        <v>44125</v>
      </c>
      <c r="L214" s="55">
        <v>12</v>
      </c>
      <c r="M214" s="55" t="s">
        <v>1315</v>
      </c>
      <c r="N214" s="57">
        <v>44125</v>
      </c>
      <c r="O214" s="55">
        <v>10</v>
      </c>
      <c r="P214" s="57">
        <v>45141.527627314812</v>
      </c>
      <c r="Q214" s="58" t="b">
        <f>ISERROR(VLOOKUP($B214,'ILR MonitorDistrubution BAFO_V2'!J:J,1,FALSE))</f>
        <v>0</v>
      </c>
      <c r="R214" s="47"/>
    </row>
    <row r="215" spans="2:18" x14ac:dyDescent="0.25">
      <c r="B215" s="55" t="s">
        <v>1137</v>
      </c>
      <c r="C215" s="55" t="s">
        <v>1807</v>
      </c>
      <c r="D215" s="56" t="s">
        <v>1311</v>
      </c>
      <c r="E215" s="56" t="s">
        <v>1786</v>
      </c>
      <c r="F215" s="56" t="s">
        <v>1782</v>
      </c>
      <c r="G215" s="56" t="s">
        <v>1783</v>
      </c>
      <c r="H215" s="55" t="s">
        <v>1808</v>
      </c>
      <c r="I215" s="56" t="s">
        <v>1788</v>
      </c>
      <c r="J215" s="56" t="s">
        <v>1382</v>
      </c>
      <c r="K215" s="57">
        <v>44124</v>
      </c>
      <c r="L215" s="55">
        <v>12</v>
      </c>
      <c r="M215" s="55" t="s">
        <v>1315</v>
      </c>
      <c r="N215" s="57">
        <v>44124</v>
      </c>
      <c r="O215" s="55">
        <v>10</v>
      </c>
      <c r="P215" s="57">
        <v>45141.511932870373</v>
      </c>
      <c r="Q215" s="58" t="b">
        <f>ISERROR(VLOOKUP($B215,'ILR MonitorDistrubution BAFO_V2'!J:J,1,FALSE))</f>
        <v>0</v>
      </c>
      <c r="R215" s="47"/>
    </row>
    <row r="216" spans="2:18" x14ac:dyDescent="0.25">
      <c r="B216" s="55" t="s">
        <v>1138</v>
      </c>
      <c r="C216" s="55" t="s">
        <v>1809</v>
      </c>
      <c r="D216" s="56" t="s">
        <v>1311</v>
      </c>
      <c r="E216" s="56" t="s">
        <v>1786</v>
      </c>
      <c r="F216" s="56" t="s">
        <v>1782</v>
      </c>
      <c r="G216" s="56" t="s">
        <v>1783</v>
      </c>
      <c r="H216" s="55" t="s">
        <v>1810</v>
      </c>
      <c r="I216" s="56" t="s">
        <v>1788</v>
      </c>
      <c r="J216" s="56" t="s">
        <v>1382</v>
      </c>
      <c r="K216" s="57">
        <v>44124</v>
      </c>
      <c r="L216" s="55">
        <v>12</v>
      </c>
      <c r="M216" s="55" t="s">
        <v>1315</v>
      </c>
      <c r="N216" s="57">
        <v>44124</v>
      </c>
      <c r="O216" s="55">
        <v>10</v>
      </c>
      <c r="P216" s="57">
        <v>45141.512002314812</v>
      </c>
      <c r="Q216" s="58" t="b">
        <f>ISERROR(VLOOKUP($B216,'ILR MonitorDistrubution BAFO_V2'!J:J,1,FALSE))</f>
        <v>0</v>
      </c>
      <c r="R216" s="47"/>
    </row>
    <row r="217" spans="2:18" x14ac:dyDescent="0.25">
      <c r="B217" s="55" t="s">
        <v>1139</v>
      </c>
      <c r="C217" s="55" t="s">
        <v>1811</v>
      </c>
      <c r="D217" s="56" t="s">
        <v>1311</v>
      </c>
      <c r="E217" s="56" t="s">
        <v>1786</v>
      </c>
      <c r="F217" s="56" t="s">
        <v>1782</v>
      </c>
      <c r="G217" s="56" t="s">
        <v>1783</v>
      </c>
      <c r="H217" s="55" t="s">
        <v>1812</v>
      </c>
      <c r="I217" s="56" t="s">
        <v>1788</v>
      </c>
      <c r="J217" s="56" t="s">
        <v>1382</v>
      </c>
      <c r="K217" s="57">
        <v>44124</v>
      </c>
      <c r="L217" s="55">
        <v>12</v>
      </c>
      <c r="M217" s="55" t="s">
        <v>1315</v>
      </c>
      <c r="N217" s="57">
        <v>44124</v>
      </c>
      <c r="O217" s="55">
        <v>10</v>
      </c>
      <c r="P217" s="57">
        <v>45141.511886574073</v>
      </c>
      <c r="Q217" s="58" t="b">
        <f>ISERROR(VLOOKUP($B217,'ILR MonitorDistrubution BAFO_V2'!J:J,1,FALSE))</f>
        <v>0</v>
      </c>
      <c r="R217" s="47"/>
    </row>
    <row r="218" spans="2:18" x14ac:dyDescent="0.25">
      <c r="B218" s="55" t="s">
        <v>1140</v>
      </c>
      <c r="C218" s="55" t="s">
        <v>1813</v>
      </c>
      <c r="D218" s="56" t="s">
        <v>1311</v>
      </c>
      <c r="E218" s="56" t="s">
        <v>1786</v>
      </c>
      <c r="F218" s="56" t="s">
        <v>1782</v>
      </c>
      <c r="G218" s="56" t="s">
        <v>1783</v>
      </c>
      <c r="H218" s="55" t="s">
        <v>1814</v>
      </c>
      <c r="I218" s="56" t="s">
        <v>1788</v>
      </c>
      <c r="J218" s="56" t="s">
        <v>1382</v>
      </c>
      <c r="K218" s="57">
        <v>44124</v>
      </c>
      <c r="L218" s="55">
        <v>12</v>
      </c>
      <c r="M218" s="55" t="s">
        <v>1315</v>
      </c>
      <c r="N218" s="57">
        <v>44124</v>
      </c>
      <c r="O218" s="55">
        <v>10</v>
      </c>
      <c r="P218" s="57">
        <v>45141.511828703704</v>
      </c>
      <c r="Q218" s="58" t="b">
        <f>ISERROR(VLOOKUP($B218,'ILR MonitorDistrubution BAFO_V2'!J:J,1,FALSE))</f>
        <v>0</v>
      </c>
      <c r="R218" s="47"/>
    </row>
    <row r="219" spans="2:18" x14ac:dyDescent="0.25">
      <c r="B219" s="55" t="s">
        <v>1141</v>
      </c>
      <c r="C219" s="55" t="s">
        <v>1815</v>
      </c>
      <c r="D219" s="56" t="s">
        <v>1311</v>
      </c>
      <c r="E219" s="56" t="s">
        <v>1786</v>
      </c>
      <c r="F219" s="56" t="s">
        <v>1782</v>
      </c>
      <c r="G219" s="56" t="s">
        <v>1783</v>
      </c>
      <c r="H219" s="55" t="s">
        <v>1816</v>
      </c>
      <c r="I219" s="56" t="s">
        <v>1788</v>
      </c>
      <c r="J219" s="56" t="s">
        <v>1382</v>
      </c>
      <c r="K219" s="57">
        <v>44124</v>
      </c>
      <c r="L219" s="55">
        <v>12</v>
      </c>
      <c r="M219" s="55" t="s">
        <v>1315</v>
      </c>
      <c r="N219" s="57">
        <v>44124</v>
      </c>
      <c r="O219" s="55">
        <v>10</v>
      </c>
      <c r="P219" s="57">
        <v>45141.511793981481</v>
      </c>
      <c r="Q219" s="58" t="b">
        <f>ISERROR(VLOOKUP($B219,'ILR MonitorDistrubution BAFO_V2'!J:J,1,FALSE))</f>
        <v>0</v>
      </c>
      <c r="R219" s="47"/>
    </row>
    <row r="220" spans="2:18" x14ac:dyDescent="0.25">
      <c r="B220" s="55" t="s">
        <v>1142</v>
      </c>
      <c r="C220" s="55" t="s">
        <v>1817</v>
      </c>
      <c r="D220" s="56" t="s">
        <v>1311</v>
      </c>
      <c r="E220" s="56" t="s">
        <v>1786</v>
      </c>
      <c r="F220" s="56" t="s">
        <v>1782</v>
      </c>
      <c r="G220" s="56" t="s">
        <v>1783</v>
      </c>
      <c r="H220" s="55" t="s">
        <v>1818</v>
      </c>
      <c r="I220" s="56" t="s">
        <v>1788</v>
      </c>
      <c r="J220" s="56" t="s">
        <v>1382</v>
      </c>
      <c r="K220" s="57">
        <v>44033</v>
      </c>
      <c r="L220" s="55">
        <v>12</v>
      </c>
      <c r="M220" s="55" t="s">
        <v>1315</v>
      </c>
      <c r="N220" s="57">
        <v>44033</v>
      </c>
      <c r="O220" s="55">
        <v>10</v>
      </c>
      <c r="P220" s="57">
        <v>45135.513449074075</v>
      </c>
      <c r="Q220" s="58" t="b">
        <f>ISERROR(VLOOKUP($B220,'ILR MonitorDistrubution BAFO_V2'!J:J,1,FALSE))</f>
        <v>0</v>
      </c>
      <c r="R220" s="47"/>
    </row>
    <row r="221" spans="2:18" x14ac:dyDescent="0.25">
      <c r="B221" s="55" t="s">
        <v>1143</v>
      </c>
      <c r="C221" s="55" t="s">
        <v>1819</v>
      </c>
      <c r="D221" s="56" t="s">
        <v>1311</v>
      </c>
      <c r="E221" s="56" t="s">
        <v>1786</v>
      </c>
      <c r="F221" s="56" t="s">
        <v>1782</v>
      </c>
      <c r="G221" s="56" t="s">
        <v>1783</v>
      </c>
      <c r="H221" s="55" t="s">
        <v>1820</v>
      </c>
      <c r="I221" s="56" t="s">
        <v>1821</v>
      </c>
      <c r="J221" s="56" t="s">
        <v>1382</v>
      </c>
      <c r="K221" s="57">
        <v>44033</v>
      </c>
      <c r="L221" s="55">
        <v>12</v>
      </c>
      <c r="M221" s="55" t="s">
        <v>1315</v>
      </c>
      <c r="N221" s="57">
        <v>44033</v>
      </c>
      <c r="O221" s="55">
        <v>10</v>
      </c>
      <c r="P221" s="57">
        <v>45135.513449074075</v>
      </c>
      <c r="Q221" s="58" t="b">
        <f>ISERROR(VLOOKUP($B221,'ILR MonitorDistrubution BAFO_V2'!J:J,1,FALSE))</f>
        <v>0</v>
      </c>
      <c r="R221" s="47"/>
    </row>
    <row r="222" spans="2:18" x14ac:dyDescent="0.25">
      <c r="B222" s="55" t="s">
        <v>1144</v>
      </c>
      <c r="C222" s="55" t="s">
        <v>1822</v>
      </c>
      <c r="D222" s="56" t="s">
        <v>1311</v>
      </c>
      <c r="E222" s="56" t="s">
        <v>1786</v>
      </c>
      <c r="F222" s="56" t="s">
        <v>1782</v>
      </c>
      <c r="G222" s="56" t="s">
        <v>1783</v>
      </c>
      <c r="H222" s="55" t="s">
        <v>1823</v>
      </c>
      <c r="I222" s="56" t="s">
        <v>1788</v>
      </c>
      <c r="J222" s="56" t="s">
        <v>1382</v>
      </c>
      <c r="K222" s="57">
        <v>44033</v>
      </c>
      <c r="L222" s="55">
        <v>12</v>
      </c>
      <c r="M222" s="55" t="s">
        <v>1315</v>
      </c>
      <c r="N222" s="57">
        <v>44033</v>
      </c>
      <c r="O222" s="55">
        <v>10</v>
      </c>
      <c r="P222" s="57">
        <v>45135.513449074075</v>
      </c>
      <c r="Q222" s="58" t="b">
        <f>ISERROR(VLOOKUP($B222,'ILR MonitorDistrubution BAFO_V2'!J:J,1,FALSE))</f>
        <v>0</v>
      </c>
      <c r="R222" s="47"/>
    </row>
    <row r="223" spans="2:18" x14ac:dyDescent="0.25">
      <c r="B223" s="55" t="s">
        <v>1145</v>
      </c>
      <c r="C223" s="55" t="s">
        <v>1824</v>
      </c>
      <c r="D223" s="56" t="s">
        <v>1311</v>
      </c>
      <c r="E223" s="56" t="s">
        <v>1786</v>
      </c>
      <c r="F223" s="56" t="s">
        <v>1782</v>
      </c>
      <c r="G223" s="56" t="s">
        <v>1783</v>
      </c>
      <c r="H223" s="55" t="s">
        <v>1825</v>
      </c>
      <c r="I223" s="56" t="s">
        <v>1826</v>
      </c>
      <c r="J223" s="56" t="s">
        <v>1382</v>
      </c>
      <c r="K223" s="57">
        <v>45139</v>
      </c>
      <c r="L223" s="55">
        <v>12</v>
      </c>
      <c r="M223" s="55" t="s">
        <v>1315</v>
      </c>
      <c r="N223" s="57">
        <v>45139</v>
      </c>
      <c r="O223" s="55">
        <v>10</v>
      </c>
      <c r="P223" s="57">
        <v>45218.499236111114</v>
      </c>
      <c r="Q223" s="58" t="b">
        <f>ISERROR(VLOOKUP($B223,'ILR MonitorDistrubution BAFO_V2'!J:J,1,FALSE))</f>
        <v>0</v>
      </c>
      <c r="R223" s="47"/>
    </row>
    <row r="224" spans="2:18" x14ac:dyDescent="0.25">
      <c r="B224" s="55" t="s">
        <v>1146</v>
      </c>
      <c r="C224" s="55" t="s">
        <v>1827</v>
      </c>
      <c r="D224" s="56" t="s">
        <v>1311</v>
      </c>
      <c r="E224" s="56" t="s">
        <v>1786</v>
      </c>
      <c r="F224" s="56" t="s">
        <v>1782</v>
      </c>
      <c r="G224" s="56" t="s">
        <v>1783</v>
      </c>
      <c r="H224" s="55"/>
      <c r="I224" s="56" t="s">
        <v>1381</v>
      </c>
      <c r="J224" s="56" t="s">
        <v>1382</v>
      </c>
      <c r="K224" s="57">
        <v>45139</v>
      </c>
      <c r="L224" s="55">
        <v>12</v>
      </c>
      <c r="M224" s="55" t="s">
        <v>1315</v>
      </c>
      <c r="N224" s="57">
        <v>45139</v>
      </c>
      <c r="O224" s="55">
        <v>10</v>
      </c>
      <c r="P224" s="57">
        <v>45217.641759259262</v>
      </c>
      <c r="Q224" s="58" t="b">
        <f>ISERROR(VLOOKUP($B224,'ILR MonitorDistrubution BAFO_V2'!J:J,1,FALSE))</f>
        <v>0</v>
      </c>
      <c r="R224" s="47"/>
    </row>
    <row r="225" spans="2:18" x14ac:dyDescent="0.25">
      <c r="B225" s="55" t="s">
        <v>1147</v>
      </c>
      <c r="C225" s="55" t="s">
        <v>1828</v>
      </c>
      <c r="D225" s="56" t="s">
        <v>1311</v>
      </c>
      <c r="E225" s="56" t="s">
        <v>1786</v>
      </c>
      <c r="F225" s="56" t="s">
        <v>1782</v>
      </c>
      <c r="G225" s="56" t="s">
        <v>1783</v>
      </c>
      <c r="H225" s="55"/>
      <c r="I225" s="56" t="s">
        <v>1381</v>
      </c>
      <c r="J225" s="56" t="s">
        <v>1382</v>
      </c>
      <c r="K225" s="57">
        <v>45139</v>
      </c>
      <c r="L225" s="55">
        <v>12</v>
      </c>
      <c r="M225" s="55" t="s">
        <v>1315</v>
      </c>
      <c r="N225" s="57">
        <v>45139</v>
      </c>
      <c r="O225" s="55">
        <v>10</v>
      </c>
      <c r="P225" s="57">
        <v>45217.641759259262</v>
      </c>
      <c r="Q225" s="58" t="b">
        <f>ISERROR(VLOOKUP($B225,'ILR MonitorDistrubution BAFO_V2'!J:J,1,FALSE))</f>
        <v>0</v>
      </c>
      <c r="R225" s="47"/>
    </row>
    <row r="226" spans="2:18" x14ac:dyDescent="0.25">
      <c r="B226" s="55" t="s">
        <v>1148</v>
      </c>
      <c r="C226" s="55" t="s">
        <v>1829</v>
      </c>
      <c r="D226" s="56" t="s">
        <v>1311</v>
      </c>
      <c r="E226" s="56" t="s">
        <v>1786</v>
      </c>
      <c r="F226" s="56" t="s">
        <v>1782</v>
      </c>
      <c r="G226" s="56" t="s">
        <v>1783</v>
      </c>
      <c r="H226" s="55"/>
      <c r="I226" s="56" t="s">
        <v>1381</v>
      </c>
      <c r="J226" s="56" t="s">
        <v>1382</v>
      </c>
      <c r="K226" s="57">
        <v>45139</v>
      </c>
      <c r="L226" s="55">
        <v>12</v>
      </c>
      <c r="M226" s="55" t="s">
        <v>1315</v>
      </c>
      <c r="N226" s="57">
        <v>45139</v>
      </c>
      <c r="O226" s="55">
        <v>10</v>
      </c>
      <c r="P226" s="57">
        <v>45217.641759259262</v>
      </c>
      <c r="Q226" s="58" t="b">
        <f>ISERROR(VLOOKUP($B226,'ILR MonitorDistrubution BAFO_V2'!J:J,1,FALSE))</f>
        <v>0</v>
      </c>
      <c r="R226" s="47"/>
    </row>
    <row r="227" spans="2:18" x14ac:dyDescent="0.25">
      <c r="B227" s="55" t="s">
        <v>1830</v>
      </c>
      <c r="C227" s="55" t="s">
        <v>1831</v>
      </c>
      <c r="D227" s="56" t="s">
        <v>1311</v>
      </c>
      <c r="E227" s="56" t="s">
        <v>1786</v>
      </c>
      <c r="F227" s="56" t="s">
        <v>1782</v>
      </c>
      <c r="G227" s="56" t="s">
        <v>1783</v>
      </c>
      <c r="H227" s="55"/>
      <c r="I227" s="56" t="s">
        <v>1832</v>
      </c>
      <c r="J227" s="56" t="s">
        <v>1382</v>
      </c>
      <c r="K227" s="57">
        <v>45139</v>
      </c>
      <c r="L227" s="55">
        <v>12</v>
      </c>
      <c r="M227" s="55" t="s">
        <v>1315</v>
      </c>
      <c r="N227" s="57">
        <v>45139</v>
      </c>
      <c r="O227" s="55">
        <v>10</v>
      </c>
      <c r="P227" s="57">
        <v>45217.641759259262</v>
      </c>
      <c r="Q227" s="58" t="b">
        <f>ISERROR(VLOOKUP($B227,'ILR MonitorDistrubution BAFO_V2'!J:J,1,FALSE))</f>
        <v>1</v>
      </c>
      <c r="R227" s="47"/>
    </row>
    <row r="228" spans="2:18" x14ac:dyDescent="0.25">
      <c r="B228" s="55" t="s">
        <v>1833</v>
      </c>
      <c r="C228" s="55" t="s">
        <v>1834</v>
      </c>
      <c r="D228" s="56" t="s">
        <v>1311</v>
      </c>
      <c r="E228" s="56" t="s">
        <v>1786</v>
      </c>
      <c r="F228" s="56" t="s">
        <v>1782</v>
      </c>
      <c r="G228" s="56" t="s">
        <v>1783</v>
      </c>
      <c r="H228" s="55"/>
      <c r="I228" s="56" t="s">
        <v>1832</v>
      </c>
      <c r="J228" s="56" t="s">
        <v>1382</v>
      </c>
      <c r="K228" s="57">
        <v>45139</v>
      </c>
      <c r="L228" s="55">
        <v>12</v>
      </c>
      <c r="M228" s="55" t="s">
        <v>1315</v>
      </c>
      <c r="N228" s="57">
        <v>45139</v>
      </c>
      <c r="O228" s="55">
        <v>10</v>
      </c>
      <c r="P228" s="57">
        <v>45217.641759259262</v>
      </c>
      <c r="Q228" s="58" t="b">
        <f>ISERROR(VLOOKUP($B228,'ILR MonitorDistrubution BAFO_V2'!J:J,1,FALSE))</f>
        <v>1</v>
      </c>
      <c r="R228" s="47"/>
    </row>
    <row r="229" spans="2:18" x14ac:dyDescent="0.25">
      <c r="B229" s="55" t="s">
        <v>1835</v>
      </c>
      <c r="C229" s="55" t="s">
        <v>1836</v>
      </c>
      <c r="D229" s="56" t="s">
        <v>1311</v>
      </c>
      <c r="E229" s="56" t="s">
        <v>1786</v>
      </c>
      <c r="F229" s="56" t="s">
        <v>1782</v>
      </c>
      <c r="G229" s="56" t="s">
        <v>1783</v>
      </c>
      <c r="H229" s="55"/>
      <c r="I229" s="56" t="s">
        <v>1832</v>
      </c>
      <c r="J229" s="56" t="s">
        <v>1382</v>
      </c>
      <c r="K229" s="57">
        <v>45139</v>
      </c>
      <c r="L229" s="55">
        <v>12</v>
      </c>
      <c r="M229" s="55" t="s">
        <v>1315</v>
      </c>
      <c r="N229" s="57">
        <v>45139</v>
      </c>
      <c r="O229" s="55">
        <v>10</v>
      </c>
      <c r="P229" s="57">
        <v>45217.641759259262</v>
      </c>
      <c r="Q229" s="58" t="b">
        <f>ISERROR(VLOOKUP($B229,'ILR MonitorDistrubution BAFO_V2'!J:J,1,FALSE))</f>
        <v>1</v>
      </c>
      <c r="R229" s="47"/>
    </row>
    <row r="230" spans="2:18" x14ac:dyDescent="0.25">
      <c r="B230" s="55" t="s">
        <v>1149</v>
      </c>
      <c r="C230" s="55" t="s">
        <v>1837</v>
      </c>
      <c r="D230" s="56" t="s">
        <v>1311</v>
      </c>
      <c r="E230" s="56" t="s">
        <v>1786</v>
      </c>
      <c r="F230" s="56" t="s">
        <v>1782</v>
      </c>
      <c r="G230" s="56" t="s">
        <v>1783</v>
      </c>
      <c r="H230" s="55"/>
      <c r="I230" s="56" t="s">
        <v>1381</v>
      </c>
      <c r="J230" s="56" t="s">
        <v>1382</v>
      </c>
      <c r="K230" s="57">
        <v>45139</v>
      </c>
      <c r="L230" s="55">
        <v>12</v>
      </c>
      <c r="M230" s="55" t="s">
        <v>1315</v>
      </c>
      <c r="N230" s="57">
        <v>45139</v>
      </c>
      <c r="O230" s="55">
        <v>10</v>
      </c>
      <c r="P230" s="57">
        <v>45217.641747685186</v>
      </c>
      <c r="Q230" s="58" t="b">
        <f>ISERROR(VLOOKUP($B230,'ILR MonitorDistrubution BAFO_V2'!J:J,1,FALSE))</f>
        <v>0</v>
      </c>
      <c r="R230" s="47"/>
    </row>
    <row r="231" spans="2:18" x14ac:dyDescent="0.25">
      <c r="B231" s="55" t="s">
        <v>1838</v>
      </c>
      <c r="C231" s="55" t="s">
        <v>1839</v>
      </c>
      <c r="D231" s="56" t="s">
        <v>1311</v>
      </c>
      <c r="E231" s="56" t="s">
        <v>1786</v>
      </c>
      <c r="F231" s="56" t="s">
        <v>1782</v>
      </c>
      <c r="G231" s="56" t="s">
        <v>1783</v>
      </c>
      <c r="H231" s="55"/>
      <c r="I231" s="56" t="s">
        <v>1832</v>
      </c>
      <c r="J231" s="56" t="s">
        <v>1382</v>
      </c>
      <c r="K231" s="57">
        <v>45139</v>
      </c>
      <c r="L231" s="55">
        <v>12</v>
      </c>
      <c r="M231" s="55" t="s">
        <v>1315</v>
      </c>
      <c r="N231" s="57">
        <v>45139</v>
      </c>
      <c r="O231" s="55">
        <v>10</v>
      </c>
      <c r="P231" s="57">
        <v>45217.641759259262</v>
      </c>
      <c r="Q231" s="58" t="b">
        <f>ISERROR(VLOOKUP($B231,'ILR MonitorDistrubution BAFO_V2'!J:J,1,FALSE))</f>
        <v>1</v>
      </c>
      <c r="R231" s="47"/>
    </row>
    <row r="232" spans="2:18" x14ac:dyDescent="0.25">
      <c r="B232" s="55" t="s">
        <v>1840</v>
      </c>
      <c r="C232" s="55" t="s">
        <v>1841</v>
      </c>
      <c r="D232" s="56" t="s">
        <v>1311</v>
      </c>
      <c r="E232" s="56" t="s">
        <v>1786</v>
      </c>
      <c r="F232" s="56" t="s">
        <v>1782</v>
      </c>
      <c r="G232" s="56" t="s">
        <v>1783</v>
      </c>
      <c r="H232" s="55"/>
      <c r="I232" s="56" t="s">
        <v>1832</v>
      </c>
      <c r="J232" s="56" t="s">
        <v>1382</v>
      </c>
      <c r="K232" s="57">
        <v>45139</v>
      </c>
      <c r="L232" s="55">
        <v>12</v>
      </c>
      <c r="M232" s="55" t="s">
        <v>1315</v>
      </c>
      <c r="N232" s="57">
        <v>45139</v>
      </c>
      <c r="O232" s="55">
        <v>10</v>
      </c>
      <c r="P232" s="57">
        <v>45217.641759259262</v>
      </c>
      <c r="Q232" s="58" t="b">
        <f>ISERROR(VLOOKUP($B232,'ILR MonitorDistrubution BAFO_V2'!J:J,1,FALSE))</f>
        <v>1</v>
      </c>
      <c r="R232" s="47"/>
    </row>
    <row r="233" spans="2:18" x14ac:dyDescent="0.25">
      <c r="B233" s="55" t="s">
        <v>1157</v>
      </c>
      <c r="C233" s="55" t="s">
        <v>1842</v>
      </c>
      <c r="D233" s="56" t="s">
        <v>1311</v>
      </c>
      <c r="E233" s="56" t="s">
        <v>1786</v>
      </c>
      <c r="F233" s="56" t="s">
        <v>1782</v>
      </c>
      <c r="G233" s="56" t="s">
        <v>1783</v>
      </c>
      <c r="H233" s="55" t="s">
        <v>1843</v>
      </c>
      <c r="I233" s="56" t="s">
        <v>1420</v>
      </c>
      <c r="J233" s="56" t="s">
        <v>1382</v>
      </c>
      <c r="K233" s="57">
        <v>45139</v>
      </c>
      <c r="L233" s="55">
        <v>12</v>
      </c>
      <c r="M233" s="55" t="s">
        <v>1359</v>
      </c>
      <c r="N233" s="57">
        <v>45139</v>
      </c>
      <c r="O233" s="55">
        <v>10</v>
      </c>
      <c r="P233" s="57">
        <v>45328.474027777775</v>
      </c>
      <c r="Q233" s="58" t="b">
        <f>ISERROR(VLOOKUP($B233,'ILR MonitorDistrubution BAFO_V2'!J:J,1,FALSE))</f>
        <v>0</v>
      </c>
      <c r="R233" s="47"/>
    </row>
    <row r="234" spans="2:18" x14ac:dyDescent="0.25">
      <c r="B234" s="55" t="s">
        <v>1150</v>
      </c>
      <c r="C234" s="55" t="s">
        <v>1844</v>
      </c>
      <c r="D234" s="56" t="s">
        <v>1311</v>
      </c>
      <c r="E234" s="56" t="s">
        <v>1786</v>
      </c>
      <c r="F234" s="56" t="s">
        <v>1782</v>
      </c>
      <c r="G234" s="56" t="s">
        <v>1783</v>
      </c>
      <c r="H234" s="55"/>
      <c r="I234" s="56" t="s">
        <v>1381</v>
      </c>
      <c r="J234" s="56" t="s">
        <v>1382</v>
      </c>
      <c r="K234" s="57">
        <v>45139</v>
      </c>
      <c r="L234" s="55">
        <v>12</v>
      </c>
      <c r="M234" s="55" t="s">
        <v>1315</v>
      </c>
      <c r="N234" s="57">
        <v>45139</v>
      </c>
      <c r="O234" s="55">
        <v>10</v>
      </c>
      <c r="P234" s="57">
        <v>45217.641759259262</v>
      </c>
      <c r="Q234" s="58" t="b">
        <f>ISERROR(VLOOKUP($B234,'ILR MonitorDistrubution BAFO_V2'!J:J,1,FALSE))</f>
        <v>0</v>
      </c>
      <c r="R234" s="47"/>
    </row>
    <row r="235" spans="2:18" x14ac:dyDescent="0.25">
      <c r="B235" s="55" t="s">
        <v>1151</v>
      </c>
      <c r="C235" s="55" t="s">
        <v>1845</v>
      </c>
      <c r="D235" s="56" t="s">
        <v>1311</v>
      </c>
      <c r="E235" s="56" t="s">
        <v>1786</v>
      </c>
      <c r="F235" s="56" t="s">
        <v>1782</v>
      </c>
      <c r="G235" s="56" t="s">
        <v>1783</v>
      </c>
      <c r="H235" s="55" t="s">
        <v>1846</v>
      </c>
      <c r="I235" s="56" t="s">
        <v>1381</v>
      </c>
      <c r="J235" s="56" t="s">
        <v>1382</v>
      </c>
      <c r="K235" s="57">
        <v>44006</v>
      </c>
      <c r="L235" s="55">
        <v>12</v>
      </c>
      <c r="M235" s="55" t="s">
        <v>1315</v>
      </c>
      <c r="N235" s="57">
        <v>44006</v>
      </c>
      <c r="O235" s="55">
        <v>10</v>
      </c>
      <c r="P235" s="57">
        <v>45135.513495370367</v>
      </c>
      <c r="Q235" s="58" t="b">
        <f>ISERROR(VLOOKUP($B235,'ILR MonitorDistrubution BAFO_V2'!J:J,1,FALSE))</f>
        <v>0</v>
      </c>
      <c r="R235" s="47"/>
    </row>
    <row r="236" spans="2:18" x14ac:dyDescent="0.25">
      <c r="B236" s="55" t="s">
        <v>1029</v>
      </c>
      <c r="C236" s="55" t="s">
        <v>1847</v>
      </c>
      <c r="D236" s="56" t="s">
        <v>1311</v>
      </c>
      <c r="E236" s="56" t="s">
        <v>1786</v>
      </c>
      <c r="F236" s="56" t="s">
        <v>1782</v>
      </c>
      <c r="G236" s="56" t="s">
        <v>1783</v>
      </c>
      <c r="H236" s="55" t="s">
        <v>1848</v>
      </c>
      <c r="I236" s="56" t="s">
        <v>1381</v>
      </c>
      <c r="J236" s="56" t="s">
        <v>1382</v>
      </c>
      <c r="K236" s="57">
        <v>44006</v>
      </c>
      <c r="L236" s="55">
        <v>12</v>
      </c>
      <c r="M236" s="55" t="s">
        <v>1315</v>
      </c>
      <c r="N236" s="57">
        <v>44006</v>
      </c>
      <c r="O236" s="55">
        <v>10</v>
      </c>
      <c r="P236" s="57">
        <v>45135.513495370367</v>
      </c>
      <c r="Q236" s="58" t="b">
        <f>ISERROR(VLOOKUP($B236,'ILR MonitorDistrubution BAFO_V2'!J:J,1,FALSE))</f>
        <v>0</v>
      </c>
      <c r="R236" s="47"/>
    </row>
    <row r="237" spans="2:18" x14ac:dyDescent="0.25">
      <c r="B237" s="55" t="s">
        <v>1158</v>
      </c>
      <c r="C237" s="55" t="s">
        <v>1849</v>
      </c>
      <c r="D237" s="56" t="s">
        <v>1311</v>
      </c>
      <c r="E237" s="56" t="s">
        <v>1794</v>
      </c>
      <c r="F237" s="56" t="s">
        <v>1795</v>
      </c>
      <c r="G237" s="56" t="s">
        <v>1783</v>
      </c>
      <c r="H237" s="55" t="s">
        <v>1850</v>
      </c>
      <c r="I237" s="56" t="s">
        <v>1399</v>
      </c>
      <c r="J237" s="56" t="s">
        <v>1382</v>
      </c>
      <c r="K237" s="57">
        <v>44125</v>
      </c>
      <c r="L237" s="55">
        <v>12</v>
      </c>
      <c r="M237" s="55" t="s">
        <v>1315</v>
      </c>
      <c r="N237" s="57">
        <v>44125</v>
      </c>
      <c r="O237" s="55">
        <v>10</v>
      </c>
      <c r="P237" s="57">
        <v>45141.527685185189</v>
      </c>
      <c r="Q237" s="58" t="b">
        <f>ISERROR(VLOOKUP($B237,'ILR MonitorDistrubution BAFO_V2'!J:J,1,FALSE))</f>
        <v>0</v>
      </c>
      <c r="R237" s="47"/>
    </row>
    <row r="238" spans="2:18" x14ac:dyDescent="0.25">
      <c r="B238" s="55" t="s">
        <v>1186</v>
      </c>
      <c r="C238" s="55" t="s">
        <v>1851</v>
      </c>
      <c r="D238" s="56" t="s">
        <v>1311</v>
      </c>
      <c r="E238" s="56" t="s">
        <v>1786</v>
      </c>
      <c r="F238" s="56" t="s">
        <v>1782</v>
      </c>
      <c r="G238" s="56" t="s">
        <v>1783</v>
      </c>
      <c r="H238" s="55" t="s">
        <v>1852</v>
      </c>
      <c r="I238" s="56" t="s">
        <v>1381</v>
      </c>
      <c r="J238" s="56" t="s">
        <v>1382</v>
      </c>
      <c r="K238" s="57">
        <v>44006</v>
      </c>
      <c r="L238" s="55">
        <v>12</v>
      </c>
      <c r="M238" s="55" t="s">
        <v>1315</v>
      </c>
      <c r="N238" s="57">
        <v>44006</v>
      </c>
      <c r="O238" s="55">
        <v>10</v>
      </c>
      <c r="P238" s="57">
        <v>45135.513495370367</v>
      </c>
      <c r="Q238" s="58" t="b">
        <f>ISERROR(VLOOKUP($B238,'ILR MonitorDistrubution BAFO_V2'!J:J,1,FALSE))</f>
        <v>0</v>
      </c>
      <c r="R238" s="47"/>
    </row>
    <row r="239" spans="2:18" x14ac:dyDescent="0.25">
      <c r="B239" s="55" t="s">
        <v>1155</v>
      </c>
      <c r="C239" s="55" t="s">
        <v>1853</v>
      </c>
      <c r="D239" s="56" t="s">
        <v>1311</v>
      </c>
      <c r="E239" s="56" t="s">
        <v>1794</v>
      </c>
      <c r="F239" s="56" t="s">
        <v>1795</v>
      </c>
      <c r="G239" s="56" t="s">
        <v>1783</v>
      </c>
      <c r="H239" s="55" t="s">
        <v>1854</v>
      </c>
      <c r="I239" s="56" t="s">
        <v>1345</v>
      </c>
      <c r="J239" s="56" t="s">
        <v>1855</v>
      </c>
      <c r="K239" s="57">
        <v>43640</v>
      </c>
      <c r="L239" s="55">
        <v>12</v>
      </c>
      <c r="M239" s="55" t="s">
        <v>1347</v>
      </c>
      <c r="N239" s="57">
        <v>43640</v>
      </c>
      <c r="O239" s="55">
        <v>10</v>
      </c>
      <c r="P239" s="57">
        <v>45135.510810185187</v>
      </c>
      <c r="Q239" s="58" t="b">
        <f>ISERROR(VLOOKUP($B239,'ILR MonitorDistrubution BAFO_V2'!J:J,1,FALSE))</f>
        <v>0</v>
      </c>
      <c r="R239" s="47"/>
    </row>
    <row r="240" spans="2:18" x14ac:dyDescent="0.25">
      <c r="B240" s="55" t="s">
        <v>1156</v>
      </c>
      <c r="C240" s="55" t="s">
        <v>1856</v>
      </c>
      <c r="D240" s="56" t="s">
        <v>1311</v>
      </c>
      <c r="E240" s="56" t="s">
        <v>1794</v>
      </c>
      <c r="F240" s="56" t="s">
        <v>1795</v>
      </c>
      <c r="G240" s="56" t="s">
        <v>1783</v>
      </c>
      <c r="H240" s="55" t="s">
        <v>1857</v>
      </c>
      <c r="I240" s="56" t="s">
        <v>1345</v>
      </c>
      <c r="J240" s="56" t="s">
        <v>1855</v>
      </c>
      <c r="K240" s="57">
        <v>43640</v>
      </c>
      <c r="L240" s="55">
        <v>12</v>
      </c>
      <c r="M240" s="55" t="s">
        <v>1347</v>
      </c>
      <c r="N240" s="57">
        <v>43640</v>
      </c>
      <c r="O240" s="55">
        <v>10</v>
      </c>
      <c r="P240" s="57">
        <v>45135.510810185187</v>
      </c>
      <c r="Q240" s="58" t="b">
        <f>ISERROR(VLOOKUP($B240,'ILR MonitorDistrubution BAFO_V2'!J:J,1,FALSE))</f>
        <v>0</v>
      </c>
      <c r="R240" s="47"/>
    </row>
    <row r="241" spans="2:18" x14ac:dyDescent="0.25">
      <c r="B241" s="55" t="s">
        <v>1159</v>
      </c>
      <c r="C241" s="55" t="s">
        <v>1858</v>
      </c>
      <c r="D241" s="56" t="s">
        <v>1311</v>
      </c>
      <c r="E241" s="56" t="s">
        <v>1794</v>
      </c>
      <c r="F241" s="56" t="s">
        <v>1795</v>
      </c>
      <c r="G241" s="56" t="s">
        <v>1783</v>
      </c>
      <c r="H241" s="55" t="s">
        <v>1859</v>
      </c>
      <c r="I241" s="56" t="s">
        <v>1399</v>
      </c>
      <c r="J241" s="56" t="s">
        <v>1382</v>
      </c>
      <c r="K241" s="57">
        <v>44648</v>
      </c>
      <c r="L241" s="55">
        <v>12</v>
      </c>
      <c r="M241" s="55" t="s">
        <v>1359</v>
      </c>
      <c r="N241" s="57">
        <v>44648</v>
      </c>
      <c r="O241" s="55">
        <v>10</v>
      </c>
      <c r="P241" s="57">
        <v>45141.527824074074</v>
      </c>
      <c r="Q241" s="58" t="b">
        <f>ISERROR(VLOOKUP($B241,'ILR MonitorDistrubution BAFO_V2'!J:J,1,FALSE))</f>
        <v>0</v>
      </c>
      <c r="R241" s="47"/>
    </row>
    <row r="242" spans="2:18" x14ac:dyDescent="0.25">
      <c r="B242" s="55" t="s">
        <v>1160</v>
      </c>
      <c r="C242" s="55" t="s">
        <v>1860</v>
      </c>
      <c r="D242" s="56" t="s">
        <v>1311</v>
      </c>
      <c r="E242" s="56" t="s">
        <v>1794</v>
      </c>
      <c r="F242" s="56" t="s">
        <v>1795</v>
      </c>
      <c r="G242" s="56" t="s">
        <v>1783</v>
      </c>
      <c r="H242" s="55" t="s">
        <v>1861</v>
      </c>
      <c r="I242" s="56" t="s">
        <v>1399</v>
      </c>
      <c r="J242" s="56" t="s">
        <v>1382</v>
      </c>
      <c r="K242" s="57">
        <v>44648</v>
      </c>
      <c r="L242" s="55">
        <v>12</v>
      </c>
      <c r="M242" s="55" t="s">
        <v>1359</v>
      </c>
      <c r="N242" s="57">
        <v>44648</v>
      </c>
      <c r="O242" s="55">
        <v>10</v>
      </c>
      <c r="P242" s="57">
        <v>45141.527824074074</v>
      </c>
      <c r="Q242" s="58" t="b">
        <f>ISERROR(VLOOKUP($B242,'ILR MonitorDistrubution BAFO_V2'!J:J,1,FALSE))</f>
        <v>0</v>
      </c>
      <c r="R242" s="47"/>
    </row>
    <row r="243" spans="2:18" x14ac:dyDescent="0.25">
      <c r="B243" s="55" t="s">
        <v>1161</v>
      </c>
      <c r="C243" s="55" t="s">
        <v>1862</v>
      </c>
      <c r="D243" s="56" t="s">
        <v>1311</v>
      </c>
      <c r="E243" s="56" t="s">
        <v>1794</v>
      </c>
      <c r="F243" s="56" t="s">
        <v>1795</v>
      </c>
      <c r="G243" s="56" t="s">
        <v>1783</v>
      </c>
      <c r="H243" s="55" t="s">
        <v>1863</v>
      </c>
      <c r="I243" s="56" t="s">
        <v>1399</v>
      </c>
      <c r="J243" s="56" t="s">
        <v>1382</v>
      </c>
      <c r="K243" s="57">
        <v>44648</v>
      </c>
      <c r="L243" s="55">
        <v>12</v>
      </c>
      <c r="M243" s="55" t="s">
        <v>1359</v>
      </c>
      <c r="N243" s="57">
        <v>44648</v>
      </c>
      <c r="O243" s="55">
        <v>10</v>
      </c>
      <c r="P243" s="57">
        <v>45141.527824074074</v>
      </c>
      <c r="Q243" s="58" t="b">
        <f>ISERROR(VLOOKUP($B243,'ILR MonitorDistrubution BAFO_V2'!J:J,1,FALSE))</f>
        <v>0</v>
      </c>
      <c r="R243" s="47"/>
    </row>
    <row r="244" spans="2:18" x14ac:dyDescent="0.25">
      <c r="B244" s="55"/>
      <c r="C244" s="55" t="s">
        <v>1864</v>
      </c>
      <c r="D244" s="56" t="s">
        <v>1311</v>
      </c>
      <c r="E244" s="56" t="s">
        <v>1865</v>
      </c>
      <c r="F244" s="56" t="s">
        <v>1866</v>
      </c>
      <c r="G244" s="56" t="s">
        <v>1867</v>
      </c>
      <c r="H244" s="55" t="s">
        <v>1868</v>
      </c>
      <c r="I244" s="56" t="s">
        <v>1869</v>
      </c>
      <c r="J244" s="56" t="s">
        <v>1870</v>
      </c>
      <c r="K244" s="57">
        <v>44348</v>
      </c>
      <c r="L244" s="55">
        <v>12</v>
      </c>
      <c r="M244" s="55" t="s">
        <v>1359</v>
      </c>
      <c r="N244" s="57">
        <v>44602</v>
      </c>
      <c r="O244" s="55">
        <v>10</v>
      </c>
      <c r="P244" s="57">
        <v>45351.457604166666</v>
      </c>
      <c r="Q244" s="58" t="b">
        <f>ISERROR(VLOOKUP($B244,'ILR MonitorDistrubution BAFO_V2'!J:J,1,FALSE))</f>
        <v>1</v>
      </c>
      <c r="R244" s="47"/>
    </row>
    <row r="245" spans="2:18" x14ac:dyDescent="0.25">
      <c r="B245" s="55"/>
      <c r="C245" s="55" t="s">
        <v>1871</v>
      </c>
      <c r="D245" s="56" t="s">
        <v>1311</v>
      </c>
      <c r="E245" s="56" t="s">
        <v>1872</v>
      </c>
      <c r="F245" s="56" t="s">
        <v>1873</v>
      </c>
      <c r="G245" s="56" t="s">
        <v>1874</v>
      </c>
      <c r="H245" s="55" t="s">
        <v>1875</v>
      </c>
      <c r="I245" s="56" t="s">
        <v>1876</v>
      </c>
      <c r="J245" s="56" t="s">
        <v>1877</v>
      </c>
      <c r="K245" s="57">
        <v>44348</v>
      </c>
      <c r="L245" s="55">
        <v>12</v>
      </c>
      <c r="M245" s="55" t="s">
        <v>1359</v>
      </c>
      <c r="N245" s="57">
        <v>44602</v>
      </c>
      <c r="O245" s="55">
        <v>10</v>
      </c>
      <c r="P245" s="57">
        <v>45135.510451388887</v>
      </c>
      <c r="Q245" s="58" t="b">
        <f>ISERROR(VLOOKUP($B245,'ILR MonitorDistrubution BAFO_V2'!J:J,1,FALSE))</f>
        <v>1</v>
      </c>
      <c r="R245" s="47"/>
    </row>
    <row r="246" spans="2:18" x14ac:dyDescent="0.25">
      <c r="B246" s="55" t="s">
        <v>1878</v>
      </c>
      <c r="C246" s="55" t="s">
        <v>1879</v>
      </c>
      <c r="D246" s="56" t="s">
        <v>1311</v>
      </c>
      <c r="E246" s="56" t="s">
        <v>1880</v>
      </c>
      <c r="F246" s="56" t="s">
        <v>1881</v>
      </c>
      <c r="G246" s="56" t="s">
        <v>981</v>
      </c>
      <c r="H246" s="55" t="s">
        <v>1882</v>
      </c>
      <c r="I246" s="56" t="s">
        <v>1381</v>
      </c>
      <c r="J246" s="56"/>
      <c r="K246" s="57">
        <v>44327</v>
      </c>
      <c r="L246" s="55">
        <v>12</v>
      </c>
      <c r="M246" s="55" t="s">
        <v>1315</v>
      </c>
      <c r="N246" s="57">
        <v>44327</v>
      </c>
      <c r="O246" s="55">
        <v>10</v>
      </c>
      <c r="P246" s="57">
        <v>45135.513518518521</v>
      </c>
      <c r="Q246" s="58" t="b">
        <f>ISERROR(VLOOKUP($B246,'ILR MonitorDistrubution BAFO_V2'!J:J,1,FALSE))</f>
        <v>1</v>
      </c>
      <c r="R246" s="47"/>
    </row>
    <row r="247" spans="2:18" x14ac:dyDescent="0.25">
      <c r="B247" s="55" t="s">
        <v>1074</v>
      </c>
      <c r="C247" s="55" t="s">
        <v>1883</v>
      </c>
      <c r="D247" s="56" t="s">
        <v>1311</v>
      </c>
      <c r="E247" s="56" t="s">
        <v>1880</v>
      </c>
      <c r="F247" s="56" t="s">
        <v>1884</v>
      </c>
      <c r="G247" s="56" t="s">
        <v>981</v>
      </c>
      <c r="H247" s="55" t="s">
        <v>1885</v>
      </c>
      <c r="I247" s="56" t="s">
        <v>1381</v>
      </c>
      <c r="J247" s="56"/>
      <c r="K247" s="57">
        <v>44327</v>
      </c>
      <c r="L247" s="55">
        <v>12</v>
      </c>
      <c r="M247" s="55" t="s">
        <v>1315</v>
      </c>
      <c r="N247" s="57">
        <v>44327</v>
      </c>
      <c r="O247" s="55">
        <v>10</v>
      </c>
      <c r="P247" s="57">
        <v>45135.513518518521</v>
      </c>
      <c r="Q247" s="58" t="b">
        <f>ISERROR(VLOOKUP($B247,'ILR MonitorDistrubution BAFO_V2'!J:J,1,FALSE))</f>
        <v>0</v>
      </c>
      <c r="R247" s="47"/>
    </row>
    <row r="248" spans="2:18" x14ac:dyDescent="0.25">
      <c r="B248" s="55" t="s">
        <v>1075</v>
      </c>
      <c r="C248" s="55" t="s">
        <v>1886</v>
      </c>
      <c r="D248" s="56" t="s">
        <v>1311</v>
      </c>
      <c r="E248" s="56" t="s">
        <v>1880</v>
      </c>
      <c r="F248" s="56" t="s">
        <v>1884</v>
      </c>
      <c r="G248" s="56" t="s">
        <v>981</v>
      </c>
      <c r="H248" s="55" t="s">
        <v>1887</v>
      </c>
      <c r="I248" s="56" t="s">
        <v>1381</v>
      </c>
      <c r="J248" s="56"/>
      <c r="K248" s="57">
        <v>44327</v>
      </c>
      <c r="L248" s="55">
        <v>12</v>
      </c>
      <c r="M248" s="55" t="s">
        <v>1315</v>
      </c>
      <c r="N248" s="57">
        <v>44327</v>
      </c>
      <c r="O248" s="55">
        <v>10</v>
      </c>
      <c r="P248" s="57">
        <v>45135.513518518521</v>
      </c>
      <c r="Q248" s="58" t="b">
        <f>ISERROR(VLOOKUP($B248,'ILR MonitorDistrubution BAFO_V2'!J:J,1,FALSE))</f>
        <v>0</v>
      </c>
      <c r="R248" s="47"/>
    </row>
    <row r="249" spans="2:18" x14ac:dyDescent="0.25">
      <c r="B249" s="55" t="s">
        <v>1076</v>
      </c>
      <c r="C249" s="55" t="s">
        <v>1888</v>
      </c>
      <c r="D249" s="56" t="s">
        <v>1311</v>
      </c>
      <c r="E249" s="56" t="s">
        <v>1880</v>
      </c>
      <c r="F249" s="56" t="s">
        <v>1884</v>
      </c>
      <c r="G249" s="56" t="s">
        <v>981</v>
      </c>
      <c r="H249" s="55" t="s">
        <v>1889</v>
      </c>
      <c r="I249" s="56" t="s">
        <v>1381</v>
      </c>
      <c r="J249" s="56"/>
      <c r="K249" s="57">
        <v>44327</v>
      </c>
      <c r="L249" s="55">
        <v>12</v>
      </c>
      <c r="M249" s="55" t="s">
        <v>1315</v>
      </c>
      <c r="N249" s="57">
        <v>44327</v>
      </c>
      <c r="O249" s="55">
        <v>10</v>
      </c>
      <c r="P249" s="57">
        <v>45135.51353009259</v>
      </c>
      <c r="Q249" s="58" t="b">
        <f>ISERROR(VLOOKUP($B249,'ILR MonitorDistrubution BAFO_V2'!J:J,1,FALSE))</f>
        <v>0</v>
      </c>
      <c r="R249" s="47"/>
    </row>
    <row r="250" spans="2:18" x14ac:dyDescent="0.25">
      <c r="B250" s="55" t="s">
        <v>1077</v>
      </c>
      <c r="C250" s="55" t="s">
        <v>1890</v>
      </c>
      <c r="D250" s="56" t="s">
        <v>1311</v>
      </c>
      <c r="E250" s="56" t="s">
        <v>1880</v>
      </c>
      <c r="F250" s="56" t="s">
        <v>1884</v>
      </c>
      <c r="G250" s="56" t="s">
        <v>981</v>
      </c>
      <c r="H250" s="55" t="s">
        <v>1891</v>
      </c>
      <c r="I250" s="56" t="s">
        <v>1381</v>
      </c>
      <c r="J250" s="56"/>
      <c r="K250" s="57">
        <v>44327</v>
      </c>
      <c r="L250" s="55">
        <v>12</v>
      </c>
      <c r="M250" s="55" t="s">
        <v>1315</v>
      </c>
      <c r="N250" s="57">
        <v>44327</v>
      </c>
      <c r="O250" s="55">
        <v>10</v>
      </c>
      <c r="P250" s="57">
        <v>45135.51353009259</v>
      </c>
      <c r="Q250" s="58" t="b">
        <f>ISERROR(VLOOKUP($B250,'ILR MonitorDistrubution BAFO_V2'!J:J,1,FALSE))</f>
        <v>0</v>
      </c>
      <c r="R250" s="47"/>
    </row>
    <row r="251" spans="2:18" x14ac:dyDescent="0.25">
      <c r="B251" s="55" t="s">
        <v>1078</v>
      </c>
      <c r="C251" s="55" t="s">
        <v>1892</v>
      </c>
      <c r="D251" s="56" t="s">
        <v>1311</v>
      </c>
      <c r="E251" s="56" t="s">
        <v>1880</v>
      </c>
      <c r="F251" s="56" t="s">
        <v>1884</v>
      </c>
      <c r="G251" s="56" t="s">
        <v>981</v>
      </c>
      <c r="H251" s="55" t="s">
        <v>1893</v>
      </c>
      <c r="I251" s="56" t="s">
        <v>1381</v>
      </c>
      <c r="J251" s="56"/>
      <c r="K251" s="57">
        <v>44327</v>
      </c>
      <c r="L251" s="55">
        <v>12</v>
      </c>
      <c r="M251" s="55" t="s">
        <v>1315</v>
      </c>
      <c r="N251" s="57">
        <v>44327</v>
      </c>
      <c r="O251" s="55">
        <v>10</v>
      </c>
      <c r="P251" s="57">
        <v>45135.51353009259</v>
      </c>
      <c r="Q251" s="58" t="b">
        <f>ISERROR(VLOOKUP($B251,'ILR MonitorDistrubution BAFO_V2'!J:J,1,FALSE))</f>
        <v>0</v>
      </c>
      <c r="R251" s="47"/>
    </row>
    <row r="252" spans="2:18" x14ac:dyDescent="0.25">
      <c r="B252" s="55" t="s">
        <v>1079</v>
      </c>
      <c r="C252" s="55" t="s">
        <v>1894</v>
      </c>
      <c r="D252" s="56" t="s">
        <v>1311</v>
      </c>
      <c r="E252" s="56" t="s">
        <v>1880</v>
      </c>
      <c r="F252" s="56" t="s">
        <v>1884</v>
      </c>
      <c r="G252" s="56" t="s">
        <v>981</v>
      </c>
      <c r="H252" s="55" t="s">
        <v>1895</v>
      </c>
      <c r="I252" s="56" t="s">
        <v>1381</v>
      </c>
      <c r="J252" s="56"/>
      <c r="K252" s="57">
        <v>44327</v>
      </c>
      <c r="L252" s="55">
        <v>12</v>
      </c>
      <c r="M252" s="55" t="s">
        <v>1315</v>
      </c>
      <c r="N252" s="57">
        <v>44327</v>
      </c>
      <c r="O252" s="55">
        <v>10</v>
      </c>
      <c r="P252" s="57">
        <v>45135.51353009259</v>
      </c>
      <c r="Q252" s="58" t="b">
        <f>ISERROR(VLOOKUP($B252,'ILR MonitorDistrubution BAFO_V2'!J:J,1,FALSE))</f>
        <v>0</v>
      </c>
      <c r="R252" s="47"/>
    </row>
    <row r="253" spans="2:18" x14ac:dyDescent="0.25">
      <c r="B253" s="55" t="s">
        <v>1080</v>
      </c>
      <c r="C253" s="55" t="s">
        <v>1896</v>
      </c>
      <c r="D253" s="56" t="s">
        <v>1311</v>
      </c>
      <c r="E253" s="56" t="s">
        <v>1880</v>
      </c>
      <c r="F253" s="56" t="s">
        <v>1884</v>
      </c>
      <c r="G253" s="56" t="s">
        <v>981</v>
      </c>
      <c r="H253" s="55" t="s">
        <v>1897</v>
      </c>
      <c r="I253" s="56" t="s">
        <v>1381</v>
      </c>
      <c r="J253" s="56"/>
      <c r="K253" s="57">
        <v>44327</v>
      </c>
      <c r="L253" s="55">
        <v>12</v>
      </c>
      <c r="M253" s="55" t="s">
        <v>1315</v>
      </c>
      <c r="N253" s="57">
        <v>44327</v>
      </c>
      <c r="O253" s="55">
        <v>10</v>
      </c>
      <c r="P253" s="57">
        <v>45135.51353009259</v>
      </c>
      <c r="Q253" s="58" t="b">
        <f>ISERROR(VLOOKUP($B253,'ILR MonitorDistrubution BAFO_V2'!J:J,1,FALSE))</f>
        <v>0</v>
      </c>
      <c r="R253" s="47"/>
    </row>
    <row r="254" spans="2:18" x14ac:dyDescent="0.25">
      <c r="B254" s="55" t="s">
        <v>1081</v>
      </c>
      <c r="C254" s="55" t="s">
        <v>1898</v>
      </c>
      <c r="D254" s="56" t="s">
        <v>1311</v>
      </c>
      <c r="E254" s="56" t="s">
        <v>1880</v>
      </c>
      <c r="F254" s="56" t="s">
        <v>1884</v>
      </c>
      <c r="G254" s="56" t="s">
        <v>981</v>
      </c>
      <c r="H254" s="55" t="s">
        <v>1899</v>
      </c>
      <c r="I254" s="56" t="s">
        <v>1381</v>
      </c>
      <c r="J254" s="56"/>
      <c r="K254" s="57">
        <v>44327</v>
      </c>
      <c r="L254" s="55">
        <v>12</v>
      </c>
      <c r="M254" s="55" t="s">
        <v>1315</v>
      </c>
      <c r="N254" s="57">
        <v>44327</v>
      </c>
      <c r="O254" s="55">
        <v>10</v>
      </c>
      <c r="P254" s="57">
        <v>45135.51353009259</v>
      </c>
      <c r="Q254" s="58" t="b">
        <f>ISERROR(VLOOKUP($B254,'ILR MonitorDistrubution BAFO_V2'!J:J,1,FALSE))</f>
        <v>0</v>
      </c>
      <c r="R254" s="47"/>
    </row>
    <row r="255" spans="2:18" x14ac:dyDescent="0.25">
      <c r="B255" s="55" t="s">
        <v>1082</v>
      </c>
      <c r="C255" s="55" t="s">
        <v>1900</v>
      </c>
      <c r="D255" s="56" t="s">
        <v>1311</v>
      </c>
      <c r="E255" s="56" t="s">
        <v>1880</v>
      </c>
      <c r="F255" s="56" t="s">
        <v>1884</v>
      </c>
      <c r="G255" s="56" t="s">
        <v>981</v>
      </c>
      <c r="H255" s="55" t="s">
        <v>1901</v>
      </c>
      <c r="I255" s="56" t="s">
        <v>1381</v>
      </c>
      <c r="J255" s="56"/>
      <c r="K255" s="57">
        <v>44327</v>
      </c>
      <c r="L255" s="55">
        <v>12</v>
      </c>
      <c r="M255" s="55" t="s">
        <v>1315</v>
      </c>
      <c r="N255" s="57">
        <v>44327</v>
      </c>
      <c r="O255" s="55">
        <v>10</v>
      </c>
      <c r="P255" s="57">
        <v>45135.51353009259</v>
      </c>
      <c r="Q255" s="58" t="b">
        <f>ISERROR(VLOOKUP($B255,'ILR MonitorDistrubution BAFO_V2'!J:J,1,FALSE))</f>
        <v>0</v>
      </c>
      <c r="R255" s="47"/>
    </row>
    <row r="256" spans="2:18" x14ac:dyDescent="0.25">
      <c r="B256" s="55" t="s">
        <v>1083</v>
      </c>
      <c r="C256" s="55" t="s">
        <v>1902</v>
      </c>
      <c r="D256" s="56" t="s">
        <v>1311</v>
      </c>
      <c r="E256" s="56" t="s">
        <v>1880</v>
      </c>
      <c r="F256" s="56" t="s">
        <v>1884</v>
      </c>
      <c r="G256" s="56" t="s">
        <v>981</v>
      </c>
      <c r="H256" s="55" t="s">
        <v>1903</v>
      </c>
      <c r="I256" s="56" t="s">
        <v>1381</v>
      </c>
      <c r="J256" s="56"/>
      <c r="K256" s="57">
        <v>44327</v>
      </c>
      <c r="L256" s="55">
        <v>12</v>
      </c>
      <c r="M256" s="55" t="s">
        <v>1315</v>
      </c>
      <c r="N256" s="57">
        <v>44327</v>
      </c>
      <c r="O256" s="55">
        <v>10</v>
      </c>
      <c r="P256" s="57">
        <v>45135.51353009259</v>
      </c>
      <c r="Q256" s="58" t="b">
        <f>ISERROR(VLOOKUP($B256,'ILR MonitorDistrubution BAFO_V2'!J:J,1,FALSE))</f>
        <v>0</v>
      </c>
      <c r="R256" s="47"/>
    </row>
    <row r="257" spans="2:18" x14ac:dyDescent="0.25">
      <c r="B257" s="55" t="s">
        <v>1084</v>
      </c>
      <c r="C257" s="55" t="s">
        <v>1904</v>
      </c>
      <c r="D257" s="56" t="s">
        <v>1311</v>
      </c>
      <c r="E257" s="56" t="s">
        <v>1880</v>
      </c>
      <c r="F257" s="56" t="s">
        <v>1884</v>
      </c>
      <c r="G257" s="56" t="s">
        <v>981</v>
      </c>
      <c r="H257" s="55" t="s">
        <v>1905</v>
      </c>
      <c r="I257" s="56" t="s">
        <v>1381</v>
      </c>
      <c r="J257" s="56"/>
      <c r="K257" s="57">
        <v>44327</v>
      </c>
      <c r="L257" s="55">
        <v>12</v>
      </c>
      <c r="M257" s="55" t="s">
        <v>1315</v>
      </c>
      <c r="N257" s="57">
        <v>44327</v>
      </c>
      <c r="O257" s="55">
        <v>10</v>
      </c>
      <c r="P257" s="57">
        <v>45135.51353009259</v>
      </c>
      <c r="Q257" s="58" t="b">
        <f>ISERROR(VLOOKUP($B257,'ILR MonitorDistrubution BAFO_V2'!J:J,1,FALSE))</f>
        <v>0</v>
      </c>
      <c r="R257" s="47"/>
    </row>
    <row r="258" spans="2:18" x14ac:dyDescent="0.25">
      <c r="B258" s="55" t="s">
        <v>1085</v>
      </c>
      <c r="C258" s="55" t="s">
        <v>1906</v>
      </c>
      <c r="D258" s="56" t="s">
        <v>1311</v>
      </c>
      <c r="E258" s="56" t="s">
        <v>1880</v>
      </c>
      <c r="F258" s="56" t="s">
        <v>1884</v>
      </c>
      <c r="G258" s="56" t="s">
        <v>981</v>
      </c>
      <c r="H258" s="55" t="s">
        <v>1907</v>
      </c>
      <c r="I258" s="56" t="s">
        <v>1381</v>
      </c>
      <c r="J258" s="56"/>
      <c r="K258" s="57">
        <v>44327</v>
      </c>
      <c r="L258" s="55">
        <v>12</v>
      </c>
      <c r="M258" s="55" t="s">
        <v>1315</v>
      </c>
      <c r="N258" s="57">
        <v>44327</v>
      </c>
      <c r="O258" s="55">
        <v>10</v>
      </c>
      <c r="P258" s="57">
        <v>45135.51353009259</v>
      </c>
      <c r="Q258" s="58" t="b">
        <f>ISERROR(VLOOKUP($B258,'ILR MonitorDistrubution BAFO_V2'!J:J,1,FALSE))</f>
        <v>0</v>
      </c>
      <c r="R258" s="47"/>
    </row>
    <row r="259" spans="2:18" x14ac:dyDescent="0.25">
      <c r="B259" s="55" t="s">
        <v>1086</v>
      </c>
      <c r="C259" s="55" t="s">
        <v>1908</v>
      </c>
      <c r="D259" s="56" t="s">
        <v>1311</v>
      </c>
      <c r="E259" s="56" t="s">
        <v>1880</v>
      </c>
      <c r="F259" s="56" t="s">
        <v>1884</v>
      </c>
      <c r="G259" s="56" t="s">
        <v>981</v>
      </c>
      <c r="H259" s="55" t="s">
        <v>1885</v>
      </c>
      <c r="I259" s="56" t="s">
        <v>1381</v>
      </c>
      <c r="J259" s="56"/>
      <c r="K259" s="57">
        <v>44327</v>
      </c>
      <c r="L259" s="55">
        <v>12</v>
      </c>
      <c r="M259" s="55" t="s">
        <v>1315</v>
      </c>
      <c r="N259" s="57">
        <v>44327</v>
      </c>
      <c r="O259" s="55">
        <v>10</v>
      </c>
      <c r="P259" s="57">
        <v>45135.51353009259</v>
      </c>
      <c r="Q259" s="58" t="b">
        <f>ISERROR(VLOOKUP($B259,'ILR MonitorDistrubution BAFO_V2'!J:J,1,FALSE))</f>
        <v>0</v>
      </c>
      <c r="R259" s="47"/>
    </row>
    <row r="260" spans="2:18" x14ac:dyDescent="0.25">
      <c r="B260" s="55"/>
      <c r="C260" s="55" t="s">
        <v>1909</v>
      </c>
      <c r="D260" s="56" t="s">
        <v>1311</v>
      </c>
      <c r="E260" s="56" t="s">
        <v>1910</v>
      </c>
      <c r="F260" s="56" t="s">
        <v>1911</v>
      </c>
      <c r="G260" s="56" t="s">
        <v>1912</v>
      </c>
      <c r="H260" s="55" t="s">
        <v>1913</v>
      </c>
      <c r="I260" s="56"/>
      <c r="J260" s="56" t="s">
        <v>1914</v>
      </c>
      <c r="K260" s="57">
        <v>42501</v>
      </c>
      <c r="L260" s="55">
        <v>12</v>
      </c>
      <c r="M260" s="55" t="s">
        <v>1347</v>
      </c>
      <c r="N260" s="57">
        <v>42501</v>
      </c>
      <c r="O260" s="55">
        <v>10</v>
      </c>
      <c r="P260" s="57">
        <v>45135.510324074072</v>
      </c>
      <c r="Q260" s="58" t="b">
        <f>ISERROR(VLOOKUP($B260,'ILR MonitorDistrubution BAFO_V2'!J:J,1,FALSE))</f>
        <v>1</v>
      </c>
      <c r="R260" s="47"/>
    </row>
    <row r="261" spans="2:18" x14ac:dyDescent="0.25">
      <c r="B261" s="55"/>
      <c r="C261" s="55" t="s">
        <v>1915</v>
      </c>
      <c r="D261" s="56" t="s">
        <v>1311</v>
      </c>
      <c r="E261" s="56" t="s">
        <v>1910</v>
      </c>
      <c r="F261" s="56" t="s">
        <v>1911</v>
      </c>
      <c r="G261" s="56" t="s">
        <v>1912</v>
      </c>
      <c r="H261" s="55" t="s">
        <v>1916</v>
      </c>
      <c r="I261" s="56"/>
      <c r="J261" s="56" t="s">
        <v>1914</v>
      </c>
      <c r="K261" s="57">
        <v>42501</v>
      </c>
      <c r="L261" s="55">
        <v>12</v>
      </c>
      <c r="M261" s="55" t="s">
        <v>1347</v>
      </c>
      <c r="N261" s="57">
        <v>42501</v>
      </c>
      <c r="O261" s="55">
        <v>10</v>
      </c>
      <c r="P261" s="57">
        <v>45135.510324074072</v>
      </c>
      <c r="Q261" s="58" t="b">
        <f>ISERROR(VLOOKUP($B261,'ILR MonitorDistrubution BAFO_V2'!J:J,1,FALSE))</f>
        <v>1</v>
      </c>
      <c r="R261" s="47"/>
    </row>
    <row r="262" spans="2:18" x14ac:dyDescent="0.25">
      <c r="B262" s="55"/>
      <c r="C262" s="55" t="s">
        <v>1917</v>
      </c>
      <c r="D262" s="56" t="s">
        <v>1311</v>
      </c>
      <c r="E262" s="56" t="s">
        <v>1910</v>
      </c>
      <c r="F262" s="56" t="s">
        <v>1911</v>
      </c>
      <c r="G262" s="56" t="s">
        <v>1912</v>
      </c>
      <c r="H262" s="55" t="s">
        <v>1918</v>
      </c>
      <c r="I262" s="56"/>
      <c r="J262" s="56" t="s">
        <v>1914</v>
      </c>
      <c r="K262" s="57">
        <v>42501</v>
      </c>
      <c r="L262" s="55">
        <v>12</v>
      </c>
      <c r="M262" s="55" t="s">
        <v>1347</v>
      </c>
      <c r="N262" s="57">
        <v>42501</v>
      </c>
      <c r="O262" s="55">
        <v>10</v>
      </c>
      <c r="P262" s="57">
        <v>45135.510335648149</v>
      </c>
      <c r="Q262" s="58" t="b">
        <f>ISERROR(VLOOKUP($B262,'ILR MonitorDistrubution BAFO_V2'!J:J,1,FALSE))</f>
        <v>1</v>
      </c>
      <c r="R262" s="47"/>
    </row>
    <row r="263" spans="2:18" x14ac:dyDescent="0.25">
      <c r="B263" s="55" t="s">
        <v>1919</v>
      </c>
      <c r="C263" s="55" t="s">
        <v>1920</v>
      </c>
      <c r="D263" s="56" t="s">
        <v>1311</v>
      </c>
      <c r="E263" s="56" t="s">
        <v>1921</v>
      </c>
      <c r="F263" s="56" t="s">
        <v>1922</v>
      </c>
      <c r="G263" s="56" t="s">
        <v>1482</v>
      </c>
      <c r="H263" s="55" t="s">
        <v>1923</v>
      </c>
      <c r="I263" s="56" t="s">
        <v>1788</v>
      </c>
      <c r="J263" s="56" t="s">
        <v>1372</v>
      </c>
      <c r="K263" s="57"/>
      <c r="L263" s="55">
        <v>12</v>
      </c>
      <c r="M263" s="55" t="s">
        <v>1315</v>
      </c>
      <c r="N263" s="57">
        <v>44348</v>
      </c>
      <c r="O263" s="55">
        <v>10</v>
      </c>
      <c r="P263" s="57">
        <v>45135.510462962964</v>
      </c>
      <c r="Q263" s="58" t="b">
        <f>ISERROR(VLOOKUP($B263,'ILR MonitorDistrubution BAFO_V2'!J:J,1,FALSE))</f>
        <v>1</v>
      </c>
      <c r="R263" s="47"/>
    </row>
    <row r="264" spans="2:18" x14ac:dyDescent="0.25">
      <c r="B264" s="55" t="s">
        <v>1123</v>
      </c>
      <c r="C264" s="55" t="s">
        <v>1924</v>
      </c>
      <c r="D264" s="56" t="s">
        <v>1311</v>
      </c>
      <c r="E264" s="56" t="s">
        <v>1925</v>
      </c>
      <c r="F264" s="56" t="s">
        <v>1926</v>
      </c>
      <c r="G264" s="56" t="s">
        <v>1927</v>
      </c>
      <c r="H264" s="55" t="s">
        <v>1928</v>
      </c>
      <c r="I264" s="56" t="s">
        <v>1929</v>
      </c>
      <c r="J264" s="56"/>
      <c r="K264" s="57"/>
      <c r="L264" s="55">
        <v>12</v>
      </c>
      <c r="M264" s="55" t="s">
        <v>1315</v>
      </c>
      <c r="N264" s="57"/>
      <c r="O264" s="55">
        <v>0</v>
      </c>
      <c r="P264" s="57">
        <v>45135.510717592595</v>
      </c>
      <c r="Q264" s="58" t="b">
        <f>ISERROR(VLOOKUP($B264,'ILR MonitorDistrubution BAFO_V2'!J:J,1,FALSE))</f>
        <v>0</v>
      </c>
      <c r="R264" s="47"/>
    </row>
    <row r="265" spans="2:18" x14ac:dyDescent="0.25">
      <c r="B265" s="55" t="s">
        <v>1124</v>
      </c>
      <c r="C265" s="55" t="s">
        <v>1930</v>
      </c>
      <c r="D265" s="56" t="s">
        <v>1311</v>
      </c>
      <c r="E265" s="56" t="s">
        <v>1925</v>
      </c>
      <c r="F265" s="56" t="s">
        <v>1926</v>
      </c>
      <c r="G265" s="56" t="s">
        <v>1927</v>
      </c>
      <c r="H265" s="55" t="s">
        <v>1931</v>
      </c>
      <c r="I265" s="56" t="s">
        <v>1929</v>
      </c>
      <c r="J265" s="56"/>
      <c r="K265" s="57"/>
      <c r="L265" s="55">
        <v>12</v>
      </c>
      <c r="M265" s="55" t="s">
        <v>1315</v>
      </c>
      <c r="N265" s="57"/>
      <c r="O265" s="55">
        <v>0</v>
      </c>
      <c r="P265" s="57">
        <v>45135.510717592595</v>
      </c>
      <c r="Q265" s="58" t="b">
        <f>ISERROR(VLOOKUP($B265,'ILR MonitorDistrubution BAFO_V2'!J:J,1,FALSE))</f>
        <v>0</v>
      </c>
      <c r="R265" s="47"/>
    </row>
    <row r="266" spans="2:18" x14ac:dyDescent="0.25">
      <c r="B266" s="55" t="s">
        <v>1125</v>
      </c>
      <c r="C266" s="55" t="s">
        <v>1932</v>
      </c>
      <c r="D266" s="56" t="s">
        <v>1311</v>
      </c>
      <c r="E266" s="56" t="s">
        <v>1925</v>
      </c>
      <c r="F266" s="56" t="s">
        <v>1926</v>
      </c>
      <c r="G266" s="56" t="s">
        <v>1927</v>
      </c>
      <c r="H266" s="55" t="s">
        <v>1933</v>
      </c>
      <c r="I266" s="56" t="s">
        <v>1929</v>
      </c>
      <c r="J266" s="56"/>
      <c r="K266" s="57"/>
      <c r="L266" s="55">
        <v>12</v>
      </c>
      <c r="M266" s="55" t="s">
        <v>1315</v>
      </c>
      <c r="N266" s="57"/>
      <c r="O266" s="55">
        <v>0</v>
      </c>
      <c r="P266" s="57">
        <v>45135.510717592595</v>
      </c>
      <c r="Q266" s="58" t="b">
        <f>ISERROR(VLOOKUP($B266,'ILR MonitorDistrubution BAFO_V2'!J:J,1,FALSE))</f>
        <v>0</v>
      </c>
      <c r="R266" s="47"/>
    </row>
    <row r="267" spans="2:18" x14ac:dyDescent="0.25">
      <c r="B267" s="55" t="s">
        <v>1126</v>
      </c>
      <c r="C267" s="55" t="s">
        <v>1934</v>
      </c>
      <c r="D267" s="56" t="s">
        <v>1311</v>
      </c>
      <c r="E267" s="56" t="s">
        <v>1925</v>
      </c>
      <c r="F267" s="56" t="s">
        <v>1926</v>
      </c>
      <c r="G267" s="56" t="s">
        <v>1927</v>
      </c>
      <c r="H267" s="55" t="s">
        <v>1935</v>
      </c>
      <c r="I267" s="56" t="s">
        <v>1929</v>
      </c>
      <c r="J267" s="56"/>
      <c r="K267" s="57"/>
      <c r="L267" s="55">
        <v>12</v>
      </c>
      <c r="M267" s="55" t="s">
        <v>1315</v>
      </c>
      <c r="N267" s="57"/>
      <c r="O267" s="55">
        <v>0</v>
      </c>
      <c r="P267" s="57">
        <v>45135.510717592595</v>
      </c>
      <c r="Q267" s="58" t="b">
        <f>ISERROR(VLOOKUP($B267,'ILR MonitorDistrubution BAFO_V2'!J:J,1,FALSE))</f>
        <v>0</v>
      </c>
      <c r="R267" s="47"/>
    </row>
    <row r="268" spans="2:18" x14ac:dyDescent="0.25">
      <c r="B268" s="55" t="s">
        <v>1127</v>
      </c>
      <c r="C268" s="55" t="s">
        <v>1936</v>
      </c>
      <c r="D268" s="56" t="s">
        <v>1311</v>
      </c>
      <c r="E268" s="56" t="s">
        <v>1925</v>
      </c>
      <c r="F268" s="56" t="s">
        <v>1926</v>
      </c>
      <c r="G268" s="56" t="s">
        <v>1927</v>
      </c>
      <c r="H268" s="55" t="s">
        <v>1937</v>
      </c>
      <c r="I268" s="56" t="s">
        <v>1929</v>
      </c>
      <c r="J268" s="56"/>
      <c r="K268" s="57"/>
      <c r="L268" s="55">
        <v>12</v>
      </c>
      <c r="M268" s="55" t="s">
        <v>1315</v>
      </c>
      <c r="N268" s="57"/>
      <c r="O268" s="55">
        <v>0</v>
      </c>
      <c r="P268" s="57">
        <v>45135.510717592595</v>
      </c>
      <c r="Q268" s="58" t="b">
        <f>ISERROR(VLOOKUP($B268,'ILR MonitorDistrubution BAFO_V2'!J:J,1,FALSE))</f>
        <v>0</v>
      </c>
      <c r="R268" s="47"/>
    </row>
    <row r="269" spans="2:18" x14ac:dyDescent="0.25">
      <c r="B269" s="55" t="s">
        <v>1128</v>
      </c>
      <c r="C269" s="55" t="s">
        <v>1938</v>
      </c>
      <c r="D269" s="56" t="s">
        <v>1311</v>
      </c>
      <c r="E269" s="56" t="s">
        <v>1925</v>
      </c>
      <c r="F269" s="56" t="s">
        <v>1926</v>
      </c>
      <c r="G269" s="56" t="s">
        <v>1927</v>
      </c>
      <c r="H269" s="55" t="s">
        <v>1939</v>
      </c>
      <c r="I269" s="56" t="s">
        <v>1929</v>
      </c>
      <c r="J269" s="56"/>
      <c r="K269" s="57"/>
      <c r="L269" s="55">
        <v>12</v>
      </c>
      <c r="M269" s="55" t="s">
        <v>1315</v>
      </c>
      <c r="N269" s="57"/>
      <c r="O269" s="55">
        <v>0</v>
      </c>
      <c r="P269" s="57">
        <v>45135.510717592595</v>
      </c>
      <c r="Q269" s="58" t="b">
        <f>ISERROR(VLOOKUP($B269,'ILR MonitorDistrubution BAFO_V2'!J:J,1,FALSE))</f>
        <v>0</v>
      </c>
      <c r="R269" s="47"/>
    </row>
    <row r="270" spans="2:18" x14ac:dyDescent="0.25">
      <c r="B270" s="55" t="s">
        <v>1129</v>
      </c>
      <c r="C270" s="55" t="s">
        <v>1940</v>
      </c>
      <c r="D270" s="56" t="s">
        <v>1311</v>
      </c>
      <c r="E270" s="56" t="s">
        <v>1925</v>
      </c>
      <c r="F270" s="56" t="s">
        <v>1926</v>
      </c>
      <c r="G270" s="56" t="s">
        <v>1927</v>
      </c>
      <c r="H270" s="55" t="s">
        <v>1941</v>
      </c>
      <c r="I270" s="56" t="s">
        <v>1929</v>
      </c>
      <c r="J270" s="56"/>
      <c r="K270" s="57"/>
      <c r="L270" s="55">
        <v>12</v>
      </c>
      <c r="M270" s="55" t="s">
        <v>1315</v>
      </c>
      <c r="N270" s="57"/>
      <c r="O270" s="55">
        <v>0</v>
      </c>
      <c r="P270" s="57">
        <v>45135.510717592595</v>
      </c>
      <c r="Q270" s="58" t="b">
        <f>ISERROR(VLOOKUP($B270,'ILR MonitorDistrubution BAFO_V2'!J:J,1,FALSE))</f>
        <v>0</v>
      </c>
      <c r="R270" s="47"/>
    </row>
    <row r="271" spans="2:18" x14ac:dyDescent="0.25">
      <c r="B271" s="55" t="s">
        <v>1942</v>
      </c>
      <c r="C271" s="55" t="s">
        <v>1943</v>
      </c>
      <c r="D271" s="56" t="s">
        <v>1311</v>
      </c>
      <c r="E271" s="56" t="s">
        <v>1944</v>
      </c>
      <c r="F271" s="56" t="s">
        <v>1945</v>
      </c>
      <c r="G271" s="56" t="s">
        <v>1604</v>
      </c>
      <c r="H271" s="55" t="s">
        <v>1946</v>
      </c>
      <c r="I271" s="56" t="s">
        <v>1947</v>
      </c>
      <c r="J271" s="56"/>
      <c r="K271" s="57">
        <v>40087</v>
      </c>
      <c r="L271" s="55">
        <v>12</v>
      </c>
      <c r="M271" s="55" t="s">
        <v>1948</v>
      </c>
      <c r="N271" s="57">
        <v>40087</v>
      </c>
      <c r="O271" s="55">
        <v>10</v>
      </c>
      <c r="P271" s="57">
        <v>44116.464733796296</v>
      </c>
      <c r="Q271" s="58" t="b">
        <f>ISERROR(VLOOKUP($B271,'ILR MonitorDistrubution BAFO_V2'!J:J,1,FALSE))</f>
        <v>1</v>
      </c>
      <c r="R271" s="47"/>
    </row>
    <row r="272" spans="2:18" x14ac:dyDescent="0.25">
      <c r="B272" s="55" t="s">
        <v>1949</v>
      </c>
      <c r="C272" s="55" t="s">
        <v>1950</v>
      </c>
      <c r="D272" s="56" t="s">
        <v>1311</v>
      </c>
      <c r="E272" s="56" t="s">
        <v>1944</v>
      </c>
      <c r="F272" s="56" t="s">
        <v>1945</v>
      </c>
      <c r="G272" s="56" t="s">
        <v>1604</v>
      </c>
      <c r="H272" s="55" t="s">
        <v>1951</v>
      </c>
      <c r="I272" s="56" t="s">
        <v>1952</v>
      </c>
      <c r="J272" s="56"/>
      <c r="K272" s="57">
        <v>40087</v>
      </c>
      <c r="L272" s="55">
        <v>12</v>
      </c>
      <c r="M272" s="55" t="s">
        <v>1948</v>
      </c>
      <c r="N272" s="57">
        <v>40087</v>
      </c>
      <c r="O272" s="55">
        <v>10</v>
      </c>
      <c r="P272" s="57">
        <v>45135.513564814813</v>
      </c>
      <c r="Q272" s="58" t="b">
        <f>ISERROR(VLOOKUP($B272,'ILR MonitorDistrubution BAFO_V2'!J:J,1,FALSE))</f>
        <v>1</v>
      </c>
      <c r="R272" s="47"/>
    </row>
    <row r="273" spans="2:18" x14ac:dyDescent="0.25">
      <c r="B273" s="55"/>
      <c r="C273" s="55" t="s">
        <v>1953</v>
      </c>
      <c r="D273" s="56" t="s">
        <v>1311</v>
      </c>
      <c r="E273" s="56" t="s">
        <v>1944</v>
      </c>
      <c r="F273" s="56" t="s">
        <v>1945</v>
      </c>
      <c r="G273" s="56" t="s">
        <v>1604</v>
      </c>
      <c r="H273" s="55" t="s">
        <v>1954</v>
      </c>
      <c r="I273" s="56" t="s">
        <v>275</v>
      </c>
      <c r="J273" s="56"/>
      <c r="K273" s="57">
        <v>40087</v>
      </c>
      <c r="L273" s="55">
        <v>12</v>
      </c>
      <c r="M273" s="55" t="s">
        <v>1359</v>
      </c>
      <c r="N273" s="57">
        <v>40087</v>
      </c>
      <c r="O273" s="55">
        <v>10</v>
      </c>
      <c r="P273" s="57">
        <v>45135.513564814813</v>
      </c>
      <c r="Q273" s="58" t="b">
        <f>ISERROR(VLOOKUP($B273,'ILR MonitorDistrubution BAFO_V2'!J:J,1,FALSE))</f>
        <v>1</v>
      </c>
      <c r="R273" s="47"/>
    </row>
    <row r="274" spans="2:18" x14ac:dyDescent="0.25">
      <c r="B274" s="55"/>
      <c r="C274" s="55" t="s">
        <v>1955</v>
      </c>
      <c r="D274" s="56" t="s">
        <v>1311</v>
      </c>
      <c r="E274" s="56" t="s">
        <v>1944</v>
      </c>
      <c r="F274" s="56" t="s">
        <v>1945</v>
      </c>
      <c r="G274" s="56" t="s">
        <v>1604</v>
      </c>
      <c r="H274" s="55" t="s">
        <v>1956</v>
      </c>
      <c r="I274" s="56" t="s">
        <v>275</v>
      </c>
      <c r="J274" s="56"/>
      <c r="K274" s="57">
        <v>40087</v>
      </c>
      <c r="L274" s="55">
        <v>12</v>
      </c>
      <c r="M274" s="55" t="s">
        <v>1359</v>
      </c>
      <c r="N274" s="57">
        <v>40087</v>
      </c>
      <c r="O274" s="55">
        <v>10</v>
      </c>
      <c r="P274" s="57">
        <v>45135.51357638889</v>
      </c>
      <c r="Q274" s="58" t="b">
        <f>ISERROR(VLOOKUP($B274,'ILR MonitorDistrubution BAFO_V2'!J:J,1,FALSE))</f>
        <v>1</v>
      </c>
      <c r="R274" s="47"/>
    </row>
    <row r="275" spans="2:18" x14ac:dyDescent="0.25">
      <c r="B275" s="55"/>
      <c r="C275" s="55" t="s">
        <v>1957</v>
      </c>
      <c r="D275" s="56" t="s">
        <v>1311</v>
      </c>
      <c r="E275" s="56" t="s">
        <v>1944</v>
      </c>
      <c r="F275" s="56" t="s">
        <v>1945</v>
      </c>
      <c r="G275" s="56" t="s">
        <v>1604</v>
      </c>
      <c r="H275" s="55" t="s">
        <v>1958</v>
      </c>
      <c r="I275" s="56" t="s">
        <v>275</v>
      </c>
      <c r="J275" s="56" t="s">
        <v>1372</v>
      </c>
      <c r="K275" s="57">
        <v>42034</v>
      </c>
      <c r="L275" s="55">
        <v>13</v>
      </c>
      <c r="M275" s="55" t="s">
        <v>1359</v>
      </c>
      <c r="N275" s="57">
        <v>42034</v>
      </c>
      <c r="O275" s="55">
        <v>10</v>
      </c>
      <c r="P275" s="57">
        <v>45135.51357638889</v>
      </c>
      <c r="Q275" s="58" t="b">
        <f>ISERROR(VLOOKUP($B275,'ILR MonitorDistrubution BAFO_V2'!J:J,1,FALSE))</f>
        <v>1</v>
      </c>
      <c r="R275" s="47"/>
    </row>
    <row r="276" spans="2:18" x14ac:dyDescent="0.25">
      <c r="B276" s="55"/>
      <c r="C276" s="55" t="s">
        <v>1959</v>
      </c>
      <c r="D276" s="56" t="s">
        <v>1311</v>
      </c>
      <c r="E276" s="56" t="s">
        <v>1944</v>
      </c>
      <c r="F276" s="56" t="s">
        <v>1945</v>
      </c>
      <c r="G276" s="56" t="s">
        <v>1604</v>
      </c>
      <c r="H276" s="55" t="s">
        <v>1960</v>
      </c>
      <c r="I276" s="56" t="s">
        <v>50</v>
      </c>
      <c r="J276" s="56"/>
      <c r="K276" s="57">
        <v>42726</v>
      </c>
      <c r="L276" s="55">
        <v>12</v>
      </c>
      <c r="M276" s="55" t="s">
        <v>1359</v>
      </c>
      <c r="N276" s="57">
        <v>42726</v>
      </c>
      <c r="O276" s="55">
        <v>10</v>
      </c>
      <c r="P276" s="57">
        <v>45135.51357638889</v>
      </c>
      <c r="Q276" s="58" t="b">
        <f>ISERROR(VLOOKUP($B276,'ILR MonitorDistrubution BAFO_V2'!J:J,1,FALSE))</f>
        <v>1</v>
      </c>
      <c r="R276" s="47"/>
    </row>
    <row r="277" spans="2:18" x14ac:dyDescent="0.25">
      <c r="B277" s="55" t="s">
        <v>1961</v>
      </c>
      <c r="C277" s="55" t="s">
        <v>1962</v>
      </c>
      <c r="D277" s="56" t="s">
        <v>1311</v>
      </c>
      <c r="E277" s="56" t="s">
        <v>1944</v>
      </c>
      <c r="F277" s="56" t="s">
        <v>1945</v>
      </c>
      <c r="G277" s="56" t="s">
        <v>1604</v>
      </c>
      <c r="H277" s="55" t="s">
        <v>1963</v>
      </c>
      <c r="I277" s="56" t="s">
        <v>275</v>
      </c>
      <c r="J277" s="56" t="s">
        <v>1372</v>
      </c>
      <c r="K277" s="57">
        <v>42034</v>
      </c>
      <c r="L277" s="55">
        <v>13</v>
      </c>
      <c r="M277" s="55" t="s">
        <v>1359</v>
      </c>
      <c r="N277" s="57">
        <v>42034</v>
      </c>
      <c r="O277" s="55">
        <v>10</v>
      </c>
      <c r="P277" s="57">
        <v>45135.513773148145</v>
      </c>
      <c r="Q277" s="58" t="b">
        <f>ISERROR(VLOOKUP($B277,'ILR MonitorDistrubution BAFO_V2'!J:J,1,FALSE))</f>
        <v>1</v>
      </c>
      <c r="R277" s="47"/>
    </row>
    <row r="278" spans="2:18" x14ac:dyDescent="0.25">
      <c r="B278" s="55"/>
      <c r="C278" s="55" t="s">
        <v>1964</v>
      </c>
      <c r="D278" s="56" t="s">
        <v>1311</v>
      </c>
      <c r="E278" s="56" t="s">
        <v>1944</v>
      </c>
      <c r="F278" s="56" t="s">
        <v>1945</v>
      </c>
      <c r="G278" s="56" t="s">
        <v>1604</v>
      </c>
      <c r="H278" s="55" t="s">
        <v>1965</v>
      </c>
      <c r="I278" s="56" t="s">
        <v>275</v>
      </c>
      <c r="J278" s="56" t="s">
        <v>1372</v>
      </c>
      <c r="K278" s="57">
        <v>42124</v>
      </c>
      <c r="L278" s="55">
        <v>12</v>
      </c>
      <c r="M278" s="55" t="s">
        <v>1359</v>
      </c>
      <c r="N278" s="57">
        <v>42124</v>
      </c>
      <c r="O278" s="55">
        <v>10</v>
      </c>
      <c r="P278" s="57">
        <v>45135.513773148145</v>
      </c>
      <c r="Q278" s="58" t="b">
        <f>ISERROR(VLOOKUP($B278,'ILR MonitorDistrubution BAFO_V2'!J:J,1,FALSE))</f>
        <v>1</v>
      </c>
      <c r="R278" s="47"/>
    </row>
    <row r="279" spans="2:18" x14ac:dyDescent="0.25">
      <c r="B279" s="55"/>
      <c r="C279" s="55" t="s">
        <v>1966</v>
      </c>
      <c r="D279" s="56" t="s">
        <v>1311</v>
      </c>
      <c r="E279" s="56" t="s">
        <v>1944</v>
      </c>
      <c r="F279" s="56" t="s">
        <v>1945</v>
      </c>
      <c r="G279" s="56" t="s">
        <v>1604</v>
      </c>
      <c r="H279" s="55" t="s">
        <v>1967</v>
      </c>
      <c r="I279" s="56" t="s">
        <v>275</v>
      </c>
      <c r="J279" s="56" t="s">
        <v>1372</v>
      </c>
      <c r="K279" s="57">
        <v>42599</v>
      </c>
      <c r="L279" s="55">
        <v>12</v>
      </c>
      <c r="M279" s="55" t="s">
        <v>1359</v>
      </c>
      <c r="N279" s="57">
        <v>42599</v>
      </c>
      <c r="O279" s="55">
        <v>10</v>
      </c>
      <c r="P279" s="57">
        <v>44116.464745370373</v>
      </c>
      <c r="Q279" s="58" t="b">
        <f>ISERROR(VLOOKUP($B279,'ILR MonitorDistrubution BAFO_V2'!J:J,1,FALSE))</f>
        <v>1</v>
      </c>
      <c r="R279" s="47"/>
    </row>
    <row r="280" spans="2:18" x14ac:dyDescent="0.25">
      <c r="B280" s="55" t="s">
        <v>1968</v>
      </c>
      <c r="C280" s="55" t="s">
        <v>1969</v>
      </c>
      <c r="D280" s="56" t="s">
        <v>1311</v>
      </c>
      <c r="E280" s="56" t="s">
        <v>1944</v>
      </c>
      <c r="F280" s="56" t="s">
        <v>1945</v>
      </c>
      <c r="G280" s="56" t="s">
        <v>1604</v>
      </c>
      <c r="H280" s="55" t="s">
        <v>1970</v>
      </c>
      <c r="I280" s="56" t="s">
        <v>275</v>
      </c>
      <c r="J280" s="56" t="s">
        <v>1372</v>
      </c>
      <c r="K280" s="57">
        <v>42599</v>
      </c>
      <c r="L280" s="55">
        <v>12</v>
      </c>
      <c r="M280" s="55" t="s">
        <v>1359</v>
      </c>
      <c r="N280" s="57">
        <v>42599</v>
      </c>
      <c r="O280" s="55">
        <v>10</v>
      </c>
      <c r="P280" s="57">
        <v>44116.464745370373</v>
      </c>
      <c r="Q280" s="58" t="b">
        <f>ISERROR(VLOOKUP($B280,'ILR MonitorDistrubution BAFO_V2'!J:J,1,FALSE))</f>
        <v>1</v>
      </c>
      <c r="R280" s="47"/>
    </row>
    <row r="281" spans="2:18" x14ac:dyDescent="0.25">
      <c r="B281" s="55" t="s">
        <v>1971</v>
      </c>
      <c r="C281" s="55" t="s">
        <v>1972</v>
      </c>
      <c r="D281" s="56" t="s">
        <v>1311</v>
      </c>
      <c r="E281" s="56" t="s">
        <v>1944</v>
      </c>
      <c r="F281" s="56" t="s">
        <v>1945</v>
      </c>
      <c r="G281" s="56" t="s">
        <v>1604</v>
      </c>
      <c r="H281" s="55" t="s">
        <v>1973</v>
      </c>
      <c r="I281" s="56" t="s">
        <v>275</v>
      </c>
      <c r="J281" s="56" t="s">
        <v>1372</v>
      </c>
      <c r="K281" s="57">
        <v>42599</v>
      </c>
      <c r="L281" s="55">
        <v>12</v>
      </c>
      <c r="M281" s="55" t="s">
        <v>1359</v>
      </c>
      <c r="N281" s="57">
        <v>42599</v>
      </c>
      <c r="O281" s="55">
        <v>10</v>
      </c>
      <c r="P281" s="57">
        <v>44116.464745370373</v>
      </c>
      <c r="Q281" s="58" t="b">
        <f>ISERROR(VLOOKUP($B281,'ILR MonitorDistrubution BAFO_V2'!J:J,1,FALSE))</f>
        <v>1</v>
      </c>
      <c r="R281" s="47"/>
    </row>
    <row r="282" spans="2:18" x14ac:dyDescent="0.25">
      <c r="B282" s="55" t="s">
        <v>1974</v>
      </c>
      <c r="C282" s="55" t="s">
        <v>1975</v>
      </c>
      <c r="D282" s="56" t="s">
        <v>1311</v>
      </c>
      <c r="E282" s="56" t="s">
        <v>1944</v>
      </c>
      <c r="F282" s="56" t="s">
        <v>1945</v>
      </c>
      <c r="G282" s="56" t="s">
        <v>1604</v>
      </c>
      <c r="H282" s="55" t="s">
        <v>1976</v>
      </c>
      <c r="I282" s="56" t="s">
        <v>275</v>
      </c>
      <c r="J282" s="56" t="s">
        <v>1372</v>
      </c>
      <c r="K282" s="57">
        <v>42599</v>
      </c>
      <c r="L282" s="55">
        <v>12</v>
      </c>
      <c r="M282" s="55" t="s">
        <v>1359</v>
      </c>
      <c r="N282" s="57">
        <v>42599</v>
      </c>
      <c r="O282" s="55">
        <v>10</v>
      </c>
      <c r="P282" s="57">
        <v>45135.513738425929</v>
      </c>
      <c r="Q282" s="58" t="b">
        <f>ISERROR(VLOOKUP($B282,'ILR MonitorDistrubution BAFO_V2'!J:J,1,FALSE))</f>
        <v>1</v>
      </c>
      <c r="R282" s="47"/>
    </row>
    <row r="283" spans="2:18" x14ac:dyDescent="0.25">
      <c r="B283" s="55" t="s">
        <v>1977</v>
      </c>
      <c r="C283" s="55" t="s">
        <v>1978</v>
      </c>
      <c r="D283" s="56" t="s">
        <v>1311</v>
      </c>
      <c r="E283" s="56" t="s">
        <v>1944</v>
      </c>
      <c r="F283" s="56" t="s">
        <v>1945</v>
      </c>
      <c r="G283" s="56" t="s">
        <v>1604</v>
      </c>
      <c r="H283" s="55" t="s">
        <v>1979</v>
      </c>
      <c r="I283" s="56" t="s">
        <v>275</v>
      </c>
      <c r="J283" s="56" t="s">
        <v>1372</v>
      </c>
      <c r="K283" s="57">
        <v>42599</v>
      </c>
      <c r="L283" s="55">
        <v>12</v>
      </c>
      <c r="M283" s="55" t="s">
        <v>1359</v>
      </c>
      <c r="N283" s="57">
        <v>42599</v>
      </c>
      <c r="O283" s="55">
        <v>10</v>
      </c>
      <c r="P283" s="57">
        <v>44116.464745370373</v>
      </c>
      <c r="Q283" s="58" t="b">
        <f>ISERROR(VLOOKUP($B283,'ILR MonitorDistrubution BAFO_V2'!J:J,1,FALSE))</f>
        <v>1</v>
      </c>
      <c r="R283" s="47"/>
    </row>
    <row r="284" spans="2:18" x14ac:dyDescent="0.25">
      <c r="B284" s="55" t="s">
        <v>1980</v>
      </c>
      <c r="C284" s="55" t="s">
        <v>1981</v>
      </c>
      <c r="D284" s="56" t="s">
        <v>1311</v>
      </c>
      <c r="E284" s="56" t="s">
        <v>1944</v>
      </c>
      <c r="F284" s="56" t="s">
        <v>1945</v>
      </c>
      <c r="G284" s="56" t="s">
        <v>1604</v>
      </c>
      <c r="H284" s="55" t="s">
        <v>1982</v>
      </c>
      <c r="I284" s="56" t="s">
        <v>275</v>
      </c>
      <c r="J284" s="56" t="s">
        <v>1372</v>
      </c>
      <c r="K284" s="57">
        <v>42599</v>
      </c>
      <c r="L284" s="55">
        <v>12</v>
      </c>
      <c r="M284" s="55" t="s">
        <v>1359</v>
      </c>
      <c r="N284" s="57">
        <v>42599</v>
      </c>
      <c r="O284" s="55">
        <v>10</v>
      </c>
      <c r="P284" s="57">
        <v>44116.464756944442</v>
      </c>
      <c r="Q284" s="58" t="b">
        <f>ISERROR(VLOOKUP($B284,'ILR MonitorDistrubution BAFO_V2'!J:J,1,FALSE))</f>
        <v>1</v>
      </c>
      <c r="R284" s="47"/>
    </row>
    <row r="285" spans="2:18" x14ac:dyDescent="0.25">
      <c r="B285" s="55" t="s">
        <v>1983</v>
      </c>
      <c r="C285" s="55" t="s">
        <v>1984</v>
      </c>
      <c r="D285" s="56" t="s">
        <v>1311</v>
      </c>
      <c r="E285" s="56" t="s">
        <v>1944</v>
      </c>
      <c r="F285" s="56" t="s">
        <v>1945</v>
      </c>
      <c r="G285" s="56" t="s">
        <v>1604</v>
      </c>
      <c r="H285" s="55" t="s">
        <v>1985</v>
      </c>
      <c r="I285" s="56" t="s">
        <v>275</v>
      </c>
      <c r="J285" s="56" t="s">
        <v>1372</v>
      </c>
      <c r="K285" s="57">
        <v>42599</v>
      </c>
      <c r="L285" s="55">
        <v>12</v>
      </c>
      <c r="M285" s="55" t="s">
        <v>1359</v>
      </c>
      <c r="N285" s="57">
        <v>42599</v>
      </c>
      <c r="O285" s="55">
        <v>10</v>
      </c>
      <c r="P285" s="57">
        <v>44116.464756944442</v>
      </c>
      <c r="Q285" s="58" t="b">
        <f>ISERROR(VLOOKUP($B285,'ILR MonitorDistrubution BAFO_V2'!J:J,1,FALSE))</f>
        <v>1</v>
      </c>
      <c r="R285" s="47"/>
    </row>
    <row r="286" spans="2:18" x14ac:dyDescent="0.25">
      <c r="B286" s="55" t="s">
        <v>1986</v>
      </c>
      <c r="C286" s="55" t="s">
        <v>1987</v>
      </c>
      <c r="D286" s="56" t="s">
        <v>1311</v>
      </c>
      <c r="E286" s="56" t="s">
        <v>1944</v>
      </c>
      <c r="F286" s="56" t="s">
        <v>1945</v>
      </c>
      <c r="G286" s="56" t="s">
        <v>1604</v>
      </c>
      <c r="H286" s="55" t="s">
        <v>1988</v>
      </c>
      <c r="I286" s="56" t="s">
        <v>275</v>
      </c>
      <c r="J286" s="56" t="s">
        <v>1372</v>
      </c>
      <c r="K286" s="57">
        <v>42599</v>
      </c>
      <c r="L286" s="55">
        <v>12</v>
      </c>
      <c r="M286" s="55" t="s">
        <v>1359</v>
      </c>
      <c r="N286" s="57">
        <v>42599</v>
      </c>
      <c r="O286" s="55">
        <v>10</v>
      </c>
      <c r="P286" s="57">
        <v>44116.464756944442</v>
      </c>
      <c r="Q286" s="58" t="b">
        <f>ISERROR(VLOOKUP($B286,'ILR MonitorDistrubution BAFO_V2'!J:J,1,FALSE))</f>
        <v>1</v>
      </c>
      <c r="R286" s="47"/>
    </row>
    <row r="287" spans="2:18" x14ac:dyDescent="0.25">
      <c r="B287" s="55" t="s">
        <v>1989</v>
      </c>
      <c r="C287" s="55" t="s">
        <v>1990</v>
      </c>
      <c r="D287" s="56" t="s">
        <v>1311</v>
      </c>
      <c r="E287" s="56" t="s">
        <v>1944</v>
      </c>
      <c r="F287" s="56" t="s">
        <v>1945</v>
      </c>
      <c r="G287" s="56" t="s">
        <v>1604</v>
      </c>
      <c r="H287" s="55" t="s">
        <v>1991</v>
      </c>
      <c r="I287" s="56" t="s">
        <v>275</v>
      </c>
      <c r="J287" s="56" t="s">
        <v>1372</v>
      </c>
      <c r="K287" s="57">
        <v>42599</v>
      </c>
      <c r="L287" s="55">
        <v>12</v>
      </c>
      <c r="M287" s="55" t="s">
        <v>1359</v>
      </c>
      <c r="N287" s="57">
        <v>42599</v>
      </c>
      <c r="O287" s="55">
        <v>10</v>
      </c>
      <c r="P287" s="57">
        <v>44116.464768518519</v>
      </c>
      <c r="Q287" s="58" t="b">
        <f>ISERROR(VLOOKUP($B287,'ILR MonitorDistrubution BAFO_V2'!J:J,1,FALSE))</f>
        <v>1</v>
      </c>
      <c r="R287" s="47"/>
    </row>
    <row r="288" spans="2:18" x14ac:dyDescent="0.25">
      <c r="B288" s="55" t="s">
        <v>1992</v>
      </c>
      <c r="C288" s="55" t="s">
        <v>1993</v>
      </c>
      <c r="D288" s="56" t="s">
        <v>1311</v>
      </c>
      <c r="E288" s="56" t="s">
        <v>1944</v>
      </c>
      <c r="F288" s="56" t="s">
        <v>1945</v>
      </c>
      <c r="G288" s="56" t="s">
        <v>1604</v>
      </c>
      <c r="H288" s="55" t="s">
        <v>1994</v>
      </c>
      <c r="I288" s="56" t="s">
        <v>275</v>
      </c>
      <c r="J288" s="56" t="s">
        <v>1372</v>
      </c>
      <c r="K288" s="57">
        <v>42599</v>
      </c>
      <c r="L288" s="55">
        <v>12</v>
      </c>
      <c r="M288" s="55" t="s">
        <v>1359</v>
      </c>
      <c r="N288" s="57">
        <v>42599</v>
      </c>
      <c r="O288" s="55">
        <v>10</v>
      </c>
      <c r="P288" s="57">
        <v>44116.464780092596</v>
      </c>
      <c r="Q288" s="58" t="b">
        <f>ISERROR(VLOOKUP($B288,'ILR MonitorDistrubution BAFO_V2'!J:J,1,FALSE))</f>
        <v>1</v>
      </c>
      <c r="R288" s="47"/>
    </row>
    <row r="289" spans="2:18" x14ac:dyDescent="0.25">
      <c r="B289" s="55" t="s">
        <v>1995</v>
      </c>
      <c r="C289" s="55" t="s">
        <v>1996</v>
      </c>
      <c r="D289" s="56" t="s">
        <v>1311</v>
      </c>
      <c r="E289" s="56" t="s">
        <v>1944</v>
      </c>
      <c r="F289" s="56" t="s">
        <v>1945</v>
      </c>
      <c r="G289" s="56" t="s">
        <v>1604</v>
      </c>
      <c r="H289" s="55" t="s">
        <v>1997</v>
      </c>
      <c r="I289" s="56" t="s">
        <v>275</v>
      </c>
      <c r="J289" s="56" t="s">
        <v>1372</v>
      </c>
      <c r="K289" s="57">
        <v>42599</v>
      </c>
      <c r="L289" s="55">
        <v>12</v>
      </c>
      <c r="M289" s="55" t="s">
        <v>1359</v>
      </c>
      <c r="N289" s="57">
        <v>42599</v>
      </c>
      <c r="O289" s="55">
        <v>10</v>
      </c>
      <c r="P289" s="57">
        <v>44116.464780092596</v>
      </c>
      <c r="Q289" s="58" t="b">
        <f>ISERROR(VLOOKUP($B289,'ILR MonitorDistrubution BAFO_V2'!J:J,1,FALSE))</f>
        <v>1</v>
      </c>
      <c r="R289" s="47"/>
    </row>
    <row r="290" spans="2:18" x14ac:dyDescent="0.25">
      <c r="B290" s="55" t="s">
        <v>1998</v>
      </c>
      <c r="C290" s="55" t="s">
        <v>1999</v>
      </c>
      <c r="D290" s="56" t="s">
        <v>1311</v>
      </c>
      <c r="E290" s="56" t="s">
        <v>1944</v>
      </c>
      <c r="F290" s="56" t="s">
        <v>1945</v>
      </c>
      <c r="G290" s="56" t="s">
        <v>1604</v>
      </c>
      <c r="H290" s="55" t="s">
        <v>2000</v>
      </c>
      <c r="I290" s="56" t="s">
        <v>275</v>
      </c>
      <c r="J290" s="56" t="s">
        <v>1372</v>
      </c>
      <c r="K290" s="57">
        <v>42599</v>
      </c>
      <c r="L290" s="55">
        <v>12</v>
      </c>
      <c r="M290" s="55" t="s">
        <v>1359</v>
      </c>
      <c r="N290" s="57">
        <v>42599</v>
      </c>
      <c r="O290" s="55">
        <v>10</v>
      </c>
      <c r="P290" s="57">
        <v>45135.513749999998</v>
      </c>
      <c r="Q290" s="58" t="b">
        <f>ISERROR(VLOOKUP($B290,'ILR MonitorDistrubution BAFO_V2'!J:J,1,FALSE))</f>
        <v>1</v>
      </c>
      <c r="R290" s="47"/>
    </row>
    <row r="291" spans="2:18" x14ac:dyDescent="0.25">
      <c r="B291" s="55" t="s">
        <v>2001</v>
      </c>
      <c r="C291" s="55" t="s">
        <v>2002</v>
      </c>
      <c r="D291" s="56" t="s">
        <v>1311</v>
      </c>
      <c r="E291" s="56" t="s">
        <v>1944</v>
      </c>
      <c r="F291" s="56" t="s">
        <v>1945</v>
      </c>
      <c r="G291" s="56" t="s">
        <v>1604</v>
      </c>
      <c r="H291" s="55" t="s">
        <v>2003</v>
      </c>
      <c r="I291" s="56" t="s">
        <v>275</v>
      </c>
      <c r="J291" s="56" t="s">
        <v>1372</v>
      </c>
      <c r="K291" s="57">
        <v>42599</v>
      </c>
      <c r="L291" s="55">
        <v>12</v>
      </c>
      <c r="M291" s="55" t="s">
        <v>1359</v>
      </c>
      <c r="N291" s="57">
        <v>42599</v>
      </c>
      <c r="O291" s="55">
        <v>10</v>
      </c>
      <c r="P291" s="57">
        <v>44116.464780092596</v>
      </c>
      <c r="Q291" s="58" t="b">
        <f>ISERROR(VLOOKUP($B291,'ILR MonitorDistrubution BAFO_V2'!J:J,1,FALSE))</f>
        <v>1</v>
      </c>
      <c r="R291" s="47"/>
    </row>
    <row r="292" spans="2:18" x14ac:dyDescent="0.25">
      <c r="B292" s="55" t="s">
        <v>2004</v>
      </c>
      <c r="C292" s="55" t="s">
        <v>2005</v>
      </c>
      <c r="D292" s="56" t="s">
        <v>1311</v>
      </c>
      <c r="E292" s="56" t="s">
        <v>1944</v>
      </c>
      <c r="F292" s="56" t="s">
        <v>1945</v>
      </c>
      <c r="G292" s="56" t="s">
        <v>1604</v>
      </c>
      <c r="H292" s="55" t="s">
        <v>2006</v>
      </c>
      <c r="I292" s="56" t="s">
        <v>275</v>
      </c>
      <c r="J292" s="56" t="s">
        <v>1372</v>
      </c>
      <c r="K292" s="57">
        <v>42599</v>
      </c>
      <c r="L292" s="55">
        <v>12</v>
      </c>
      <c r="M292" s="55" t="s">
        <v>1359</v>
      </c>
      <c r="N292" s="57">
        <v>42599</v>
      </c>
      <c r="O292" s="55">
        <v>10</v>
      </c>
      <c r="P292" s="57">
        <v>44116.464780092596</v>
      </c>
      <c r="Q292" s="58" t="b">
        <f>ISERROR(VLOOKUP($B292,'ILR MonitorDistrubution BAFO_V2'!J:J,1,FALSE))</f>
        <v>1</v>
      </c>
      <c r="R292" s="47"/>
    </row>
    <row r="293" spans="2:18" x14ac:dyDescent="0.25">
      <c r="B293" s="55" t="s">
        <v>2007</v>
      </c>
      <c r="C293" s="55" t="s">
        <v>2008</v>
      </c>
      <c r="D293" s="56" t="s">
        <v>1311</v>
      </c>
      <c r="E293" s="56" t="s">
        <v>1944</v>
      </c>
      <c r="F293" s="56" t="s">
        <v>1945</v>
      </c>
      <c r="G293" s="56" t="s">
        <v>1604</v>
      </c>
      <c r="H293" s="55" t="s">
        <v>2009</v>
      </c>
      <c r="I293" s="56" t="s">
        <v>275</v>
      </c>
      <c r="J293" s="56" t="s">
        <v>1372</v>
      </c>
      <c r="K293" s="57">
        <v>42599</v>
      </c>
      <c r="L293" s="55">
        <v>12</v>
      </c>
      <c r="M293" s="55" t="s">
        <v>1359</v>
      </c>
      <c r="N293" s="57">
        <v>42599</v>
      </c>
      <c r="O293" s="55">
        <v>10</v>
      </c>
      <c r="P293" s="57">
        <v>44116.464791666665</v>
      </c>
      <c r="Q293" s="58" t="b">
        <f>ISERROR(VLOOKUP($B293,'ILR MonitorDistrubution BAFO_V2'!J:J,1,FALSE))</f>
        <v>1</v>
      </c>
      <c r="R293" s="47"/>
    </row>
    <row r="294" spans="2:18" x14ac:dyDescent="0.25">
      <c r="B294" s="55"/>
      <c r="C294" s="55" t="s">
        <v>2010</v>
      </c>
      <c r="D294" s="56" t="s">
        <v>1311</v>
      </c>
      <c r="E294" s="56" t="s">
        <v>1944</v>
      </c>
      <c r="F294" s="56" t="s">
        <v>1945</v>
      </c>
      <c r="G294" s="56" t="s">
        <v>1604</v>
      </c>
      <c r="H294" s="55" t="s">
        <v>2011</v>
      </c>
      <c r="I294" s="56" t="s">
        <v>2012</v>
      </c>
      <c r="J294" s="56" t="s">
        <v>1372</v>
      </c>
      <c r="K294" s="57">
        <v>42054</v>
      </c>
      <c r="L294" s="55">
        <v>12</v>
      </c>
      <c r="M294" s="55" t="s">
        <v>1347</v>
      </c>
      <c r="N294" s="57">
        <v>42054</v>
      </c>
      <c r="O294" s="55">
        <v>10</v>
      </c>
      <c r="P294" s="57">
        <v>45135.513819444444</v>
      </c>
      <c r="Q294" s="58" t="b">
        <f>ISERROR(VLOOKUP($B294,'ILR MonitorDistrubution BAFO_V2'!J:J,1,FALSE))</f>
        <v>1</v>
      </c>
      <c r="R294" s="47"/>
    </row>
    <row r="295" spans="2:18" x14ac:dyDescent="0.25">
      <c r="B295" s="55"/>
      <c r="C295" s="55" t="s">
        <v>2013</v>
      </c>
      <c r="D295" s="56" t="s">
        <v>1311</v>
      </c>
      <c r="E295" s="56" t="s">
        <v>1944</v>
      </c>
      <c r="F295" s="56" t="s">
        <v>1945</v>
      </c>
      <c r="G295" s="56" t="s">
        <v>1604</v>
      </c>
      <c r="H295" s="55" t="s">
        <v>2014</v>
      </c>
      <c r="I295" s="56" t="s">
        <v>1395</v>
      </c>
      <c r="J295" s="56" t="s">
        <v>1372</v>
      </c>
      <c r="K295" s="57">
        <v>42613</v>
      </c>
      <c r="L295" s="55">
        <v>12</v>
      </c>
      <c r="M295" s="55" t="s">
        <v>1359</v>
      </c>
      <c r="N295" s="57">
        <v>42613</v>
      </c>
      <c r="O295" s="55">
        <v>10</v>
      </c>
      <c r="P295" s="57">
        <v>45135.513854166667</v>
      </c>
      <c r="Q295" s="58" t="b">
        <f>ISERROR(VLOOKUP($B295,'ILR MonitorDistrubution BAFO_V2'!J:J,1,FALSE))</f>
        <v>1</v>
      </c>
      <c r="R295" s="47"/>
    </row>
    <row r="296" spans="2:18" x14ac:dyDescent="0.25">
      <c r="B296" s="55" t="s">
        <v>2015</v>
      </c>
      <c r="C296" s="55" t="s">
        <v>2016</v>
      </c>
      <c r="D296" s="56" t="s">
        <v>1311</v>
      </c>
      <c r="E296" s="56" t="s">
        <v>1944</v>
      </c>
      <c r="F296" s="56" t="s">
        <v>1945</v>
      </c>
      <c r="G296" s="56" t="s">
        <v>1604</v>
      </c>
      <c r="H296" s="55" t="s">
        <v>2017</v>
      </c>
      <c r="I296" s="56" t="s">
        <v>2018</v>
      </c>
      <c r="J296" s="56" t="s">
        <v>1372</v>
      </c>
      <c r="K296" s="57">
        <v>42613</v>
      </c>
      <c r="L296" s="55">
        <v>12</v>
      </c>
      <c r="M296" s="55" t="s">
        <v>1315</v>
      </c>
      <c r="N296" s="57">
        <v>42613</v>
      </c>
      <c r="O296" s="55">
        <v>10</v>
      </c>
      <c r="P296" s="57">
        <v>44116.464791666665</v>
      </c>
      <c r="Q296" s="58" t="b">
        <f>ISERROR(VLOOKUP($B296,'ILR MonitorDistrubution BAFO_V2'!J:J,1,FALSE))</f>
        <v>1</v>
      </c>
      <c r="R296" s="47"/>
    </row>
    <row r="297" spans="2:18" x14ac:dyDescent="0.25">
      <c r="B297" s="55" t="s">
        <v>2019</v>
      </c>
      <c r="C297" s="55" t="s">
        <v>2020</v>
      </c>
      <c r="D297" s="56" t="s">
        <v>1311</v>
      </c>
      <c r="E297" s="56" t="s">
        <v>1944</v>
      </c>
      <c r="F297" s="56" t="s">
        <v>1945</v>
      </c>
      <c r="G297" s="56" t="s">
        <v>1604</v>
      </c>
      <c r="H297" s="55" t="s">
        <v>2021</v>
      </c>
      <c r="I297" s="56" t="s">
        <v>50</v>
      </c>
      <c r="J297" s="56" t="s">
        <v>1372</v>
      </c>
      <c r="K297" s="57">
        <v>42523</v>
      </c>
      <c r="L297" s="55">
        <v>12</v>
      </c>
      <c r="M297" s="55" t="s">
        <v>1359</v>
      </c>
      <c r="N297" s="57">
        <v>42523</v>
      </c>
      <c r="O297" s="55">
        <v>10</v>
      </c>
      <c r="P297" s="57">
        <v>45135.513715277775</v>
      </c>
      <c r="Q297" s="58" t="b">
        <f>ISERROR(VLOOKUP($B297,'ILR MonitorDistrubution BAFO_V2'!J:J,1,FALSE))</f>
        <v>1</v>
      </c>
      <c r="R297" s="47"/>
    </row>
    <row r="298" spans="2:18" x14ac:dyDescent="0.25">
      <c r="B298" s="55" t="s">
        <v>2022</v>
      </c>
      <c r="C298" s="55" t="s">
        <v>2023</v>
      </c>
      <c r="D298" s="56" t="s">
        <v>1311</v>
      </c>
      <c r="E298" s="56" t="s">
        <v>1944</v>
      </c>
      <c r="F298" s="56" t="s">
        <v>1945</v>
      </c>
      <c r="G298" s="56" t="s">
        <v>1604</v>
      </c>
      <c r="H298" s="55" t="s">
        <v>2024</v>
      </c>
      <c r="I298" s="56" t="s">
        <v>50</v>
      </c>
      <c r="J298" s="56" t="s">
        <v>1372</v>
      </c>
      <c r="K298" s="57">
        <v>42523</v>
      </c>
      <c r="L298" s="55">
        <v>12</v>
      </c>
      <c r="M298" s="55" t="s">
        <v>1359</v>
      </c>
      <c r="N298" s="57">
        <v>42523</v>
      </c>
      <c r="O298" s="55">
        <v>10</v>
      </c>
      <c r="P298" s="57">
        <v>45135.513726851852</v>
      </c>
      <c r="Q298" s="58" t="b">
        <f>ISERROR(VLOOKUP($B298,'ILR MonitorDistrubution BAFO_V2'!J:J,1,FALSE))</f>
        <v>1</v>
      </c>
      <c r="R298" s="47"/>
    </row>
    <row r="299" spans="2:18" x14ac:dyDescent="0.25">
      <c r="B299" s="55" t="s">
        <v>2025</v>
      </c>
      <c r="C299" s="55" t="s">
        <v>2026</v>
      </c>
      <c r="D299" s="56" t="s">
        <v>1311</v>
      </c>
      <c r="E299" s="56" t="s">
        <v>1944</v>
      </c>
      <c r="F299" s="56" t="s">
        <v>1945</v>
      </c>
      <c r="G299" s="56" t="s">
        <v>1604</v>
      </c>
      <c r="H299" s="55" t="s">
        <v>2027</v>
      </c>
      <c r="I299" s="56" t="s">
        <v>50</v>
      </c>
      <c r="J299" s="56" t="s">
        <v>1372</v>
      </c>
      <c r="K299" s="57">
        <v>42977</v>
      </c>
      <c r="L299" s="55">
        <v>12</v>
      </c>
      <c r="M299" s="55" t="s">
        <v>1315</v>
      </c>
      <c r="N299" s="57">
        <v>42977</v>
      </c>
      <c r="O299" s="55">
        <v>10</v>
      </c>
      <c r="P299" s="57">
        <v>45135.513229166667</v>
      </c>
      <c r="Q299" s="58" t="b">
        <f>ISERROR(VLOOKUP($B299,'ILR MonitorDistrubution BAFO_V2'!J:J,1,FALSE))</f>
        <v>1</v>
      </c>
      <c r="R299" s="47"/>
    </row>
    <row r="300" spans="2:18" x14ac:dyDescent="0.25">
      <c r="B300" s="55" t="s">
        <v>2028</v>
      </c>
      <c r="C300" s="55" t="s">
        <v>2029</v>
      </c>
      <c r="D300" s="56" t="s">
        <v>1311</v>
      </c>
      <c r="E300" s="56" t="s">
        <v>1944</v>
      </c>
      <c r="F300" s="56" t="s">
        <v>1945</v>
      </c>
      <c r="G300" s="56" t="s">
        <v>1604</v>
      </c>
      <c r="H300" s="55" t="s">
        <v>2030</v>
      </c>
      <c r="I300" s="56" t="s">
        <v>1399</v>
      </c>
      <c r="J300" s="56" t="s">
        <v>1372</v>
      </c>
      <c r="K300" s="57">
        <v>43251</v>
      </c>
      <c r="L300" s="55">
        <v>12</v>
      </c>
      <c r="M300" s="55" t="s">
        <v>1315</v>
      </c>
      <c r="N300" s="57">
        <v>43306</v>
      </c>
      <c r="O300" s="55">
        <v>10</v>
      </c>
      <c r="P300" s="57">
        <v>45135.513252314813</v>
      </c>
      <c r="Q300" s="58" t="b">
        <f>ISERROR(VLOOKUP($B300,'ILR MonitorDistrubution BAFO_V2'!J:J,1,FALSE))</f>
        <v>1</v>
      </c>
      <c r="R300" s="47"/>
    </row>
    <row r="301" spans="2:18" x14ac:dyDescent="0.25">
      <c r="B301" s="55" t="s">
        <v>2031</v>
      </c>
      <c r="C301" s="55" t="s">
        <v>2032</v>
      </c>
      <c r="D301" s="56" t="s">
        <v>1311</v>
      </c>
      <c r="E301" s="56" t="s">
        <v>1944</v>
      </c>
      <c r="F301" s="56" t="s">
        <v>1945</v>
      </c>
      <c r="G301" s="56" t="s">
        <v>1604</v>
      </c>
      <c r="H301" s="55" t="s">
        <v>2033</v>
      </c>
      <c r="I301" s="56" t="s">
        <v>2034</v>
      </c>
      <c r="J301" s="56" t="s">
        <v>1372</v>
      </c>
      <c r="K301" s="57">
        <v>43251</v>
      </c>
      <c r="L301" s="55">
        <v>12</v>
      </c>
      <c r="M301" s="55" t="s">
        <v>1315</v>
      </c>
      <c r="N301" s="57">
        <v>43306</v>
      </c>
      <c r="O301" s="55">
        <v>10</v>
      </c>
      <c r="P301" s="57">
        <v>45135.51326388889</v>
      </c>
      <c r="Q301" s="58" t="b">
        <f>ISERROR(VLOOKUP($B301,'ILR MonitorDistrubution BAFO_V2'!J:J,1,FALSE))</f>
        <v>1</v>
      </c>
      <c r="R301" s="47"/>
    </row>
    <row r="302" spans="2:18" x14ac:dyDescent="0.25">
      <c r="B302" s="55"/>
      <c r="C302" s="55" t="s">
        <v>2035</v>
      </c>
      <c r="D302" s="56" t="s">
        <v>1311</v>
      </c>
      <c r="E302" s="56" t="s">
        <v>2036</v>
      </c>
      <c r="F302" s="56" t="s">
        <v>2037</v>
      </c>
      <c r="G302" s="56" t="s">
        <v>1783</v>
      </c>
      <c r="H302" s="55" t="s">
        <v>2038</v>
      </c>
      <c r="I302" s="56" t="s">
        <v>1929</v>
      </c>
      <c r="J302" s="56"/>
      <c r="K302" s="57"/>
      <c r="L302" s="55">
        <v>12</v>
      </c>
      <c r="M302" s="55" t="s">
        <v>1948</v>
      </c>
      <c r="N302" s="57"/>
      <c r="O302" s="55">
        <v>10</v>
      </c>
      <c r="P302" s="57">
        <v>45135.513541666667</v>
      </c>
      <c r="Q302" s="58" t="b">
        <f>ISERROR(VLOOKUP($B302,'ILR MonitorDistrubution BAFO_V2'!J:J,1,FALSE))</f>
        <v>1</v>
      </c>
      <c r="R302" s="47"/>
    </row>
    <row r="303" spans="2:18" x14ac:dyDescent="0.25">
      <c r="B303" s="55" t="s">
        <v>2039</v>
      </c>
      <c r="C303" s="55" t="s">
        <v>2040</v>
      </c>
      <c r="D303" s="56" t="s">
        <v>1311</v>
      </c>
      <c r="E303" s="56" t="s">
        <v>2036</v>
      </c>
      <c r="F303" s="56" t="s">
        <v>2037</v>
      </c>
      <c r="G303" s="56" t="s">
        <v>1783</v>
      </c>
      <c r="H303" s="55" t="s">
        <v>2041</v>
      </c>
      <c r="I303" s="56" t="s">
        <v>2042</v>
      </c>
      <c r="J303" s="56"/>
      <c r="K303" s="57">
        <v>43952</v>
      </c>
      <c r="L303" s="55">
        <v>11</v>
      </c>
      <c r="M303" s="55" t="s">
        <v>1315</v>
      </c>
      <c r="N303" s="57">
        <v>43958</v>
      </c>
      <c r="O303" s="55">
        <v>10</v>
      </c>
      <c r="P303" s="57">
        <v>45135.513287037036</v>
      </c>
      <c r="Q303" s="58" t="b">
        <f>ISERROR(VLOOKUP($B303,'ILR MonitorDistrubution BAFO_V2'!J:J,1,FALSE))</f>
        <v>1</v>
      </c>
      <c r="R303" s="47"/>
    </row>
    <row r="304" spans="2:18" x14ac:dyDescent="0.25">
      <c r="B304" s="55" t="s">
        <v>2043</v>
      </c>
      <c r="C304" s="55" t="s">
        <v>2044</v>
      </c>
      <c r="D304" s="56" t="s">
        <v>1311</v>
      </c>
      <c r="E304" s="56" t="s">
        <v>2036</v>
      </c>
      <c r="F304" s="56" t="s">
        <v>2037</v>
      </c>
      <c r="G304" s="56" t="s">
        <v>1783</v>
      </c>
      <c r="H304" s="55" t="s">
        <v>2045</v>
      </c>
      <c r="I304" s="56" t="s">
        <v>2046</v>
      </c>
      <c r="J304" s="56"/>
      <c r="K304" s="57">
        <v>43292</v>
      </c>
      <c r="L304" s="55">
        <v>11</v>
      </c>
      <c r="M304" s="55" t="s">
        <v>1948</v>
      </c>
      <c r="N304" s="57">
        <v>43292</v>
      </c>
      <c r="O304" s="55">
        <v>10</v>
      </c>
      <c r="P304" s="57">
        <v>45135.51326388889</v>
      </c>
      <c r="Q304" s="58" t="b">
        <f>ISERROR(VLOOKUP($B304,'ILR MonitorDistrubution BAFO_V2'!J:J,1,FALSE))</f>
        <v>1</v>
      </c>
      <c r="R304" s="47"/>
    </row>
    <row r="305" spans="2:18" x14ac:dyDescent="0.25">
      <c r="B305" s="55" t="s">
        <v>2047</v>
      </c>
      <c r="C305" s="55" t="s">
        <v>2048</v>
      </c>
      <c r="D305" s="56" t="s">
        <v>1311</v>
      </c>
      <c r="E305" s="56" t="s">
        <v>2036</v>
      </c>
      <c r="F305" s="56" t="s">
        <v>2037</v>
      </c>
      <c r="G305" s="56" t="s">
        <v>1783</v>
      </c>
      <c r="H305" s="55" t="s">
        <v>2049</v>
      </c>
      <c r="I305" s="56" t="s">
        <v>2042</v>
      </c>
      <c r="J305" s="56"/>
      <c r="K305" s="57"/>
      <c r="L305" s="55">
        <v>12</v>
      </c>
      <c r="M305" s="55" t="s">
        <v>1315</v>
      </c>
      <c r="N305" s="57"/>
      <c r="O305" s="55">
        <v>10</v>
      </c>
      <c r="P305" s="57">
        <v>45135.51326388889</v>
      </c>
      <c r="Q305" s="58" t="b">
        <f>ISERROR(VLOOKUP($B305,'ILR MonitorDistrubution BAFO_V2'!J:J,1,FALSE))</f>
        <v>1</v>
      </c>
      <c r="R305" s="47"/>
    </row>
    <row r="306" spans="2:18" x14ac:dyDescent="0.25">
      <c r="B306" s="55" t="s">
        <v>2050</v>
      </c>
      <c r="C306" s="55" t="s">
        <v>2051</v>
      </c>
      <c r="D306" s="56" t="s">
        <v>1311</v>
      </c>
      <c r="E306" s="56" t="s">
        <v>2036</v>
      </c>
      <c r="F306" s="56" t="s">
        <v>2037</v>
      </c>
      <c r="G306" s="56" t="s">
        <v>1783</v>
      </c>
      <c r="H306" s="55" t="s">
        <v>2052</v>
      </c>
      <c r="I306" s="56" t="s">
        <v>2053</v>
      </c>
      <c r="J306" s="56" t="s">
        <v>1855</v>
      </c>
      <c r="K306" s="57">
        <v>43950</v>
      </c>
      <c r="L306" s="55">
        <v>11</v>
      </c>
      <c r="M306" s="55" t="s">
        <v>1315</v>
      </c>
      <c r="N306" s="57">
        <v>43951</v>
      </c>
      <c r="O306" s="55">
        <v>10</v>
      </c>
      <c r="P306" s="57">
        <v>45135.510821759257</v>
      </c>
      <c r="Q306" s="58" t="b">
        <f>ISERROR(VLOOKUP($B306,'ILR MonitorDistrubution BAFO_V2'!J:J,1,FALSE))</f>
        <v>1</v>
      </c>
      <c r="R306" s="47"/>
    </row>
    <row r="307" spans="2:18" x14ac:dyDescent="0.25">
      <c r="B307" s="55" t="s">
        <v>1162</v>
      </c>
      <c r="C307" s="55" t="s">
        <v>2054</v>
      </c>
      <c r="D307" s="56" t="s">
        <v>1311</v>
      </c>
      <c r="E307" s="56" t="s">
        <v>2055</v>
      </c>
      <c r="F307" s="56" t="s">
        <v>2056</v>
      </c>
      <c r="G307" s="56" t="s">
        <v>1783</v>
      </c>
      <c r="H307" s="55" t="s">
        <v>2057</v>
      </c>
      <c r="I307" s="56" t="s">
        <v>275</v>
      </c>
      <c r="J307" s="56"/>
      <c r="K307" s="57">
        <v>41253</v>
      </c>
      <c r="L307" s="55">
        <v>12</v>
      </c>
      <c r="M307" s="55" t="s">
        <v>1359</v>
      </c>
      <c r="N307" s="57">
        <v>41253</v>
      </c>
      <c r="O307" s="55">
        <v>10</v>
      </c>
      <c r="P307" s="57">
        <v>45135.51358796296</v>
      </c>
      <c r="Q307" s="58" t="b">
        <f>ISERROR(VLOOKUP($B307,'ILR MonitorDistrubution BAFO_V2'!J:J,1,FALSE))</f>
        <v>0</v>
      </c>
      <c r="R307" s="47"/>
    </row>
    <row r="308" spans="2:18" x14ac:dyDescent="0.25">
      <c r="B308" s="55" t="s">
        <v>1163</v>
      </c>
      <c r="C308" s="55" t="s">
        <v>2058</v>
      </c>
      <c r="D308" s="56" t="s">
        <v>1311</v>
      </c>
      <c r="E308" s="56" t="s">
        <v>2055</v>
      </c>
      <c r="F308" s="56" t="s">
        <v>2056</v>
      </c>
      <c r="G308" s="56" t="s">
        <v>1604</v>
      </c>
      <c r="H308" s="55" t="s">
        <v>2059</v>
      </c>
      <c r="I308" s="56" t="s">
        <v>275</v>
      </c>
      <c r="J308" s="56"/>
      <c r="K308" s="57"/>
      <c r="L308" s="55">
        <v>12</v>
      </c>
      <c r="M308" s="55" t="s">
        <v>1359</v>
      </c>
      <c r="N308" s="57"/>
      <c r="O308" s="55">
        <v>0</v>
      </c>
      <c r="P308" s="57">
        <v>45135.513773148145</v>
      </c>
      <c r="Q308" s="58" t="b">
        <f>ISERROR(VLOOKUP($B308,'ILR MonitorDistrubution BAFO_V2'!J:J,1,FALSE))</f>
        <v>0</v>
      </c>
      <c r="R308" s="47"/>
    </row>
    <row r="309" spans="2:18" x14ac:dyDescent="0.25">
      <c r="B309" s="55"/>
      <c r="C309" s="55" t="s">
        <v>2060</v>
      </c>
      <c r="D309" s="56" t="s">
        <v>1311</v>
      </c>
      <c r="E309" s="56" t="s">
        <v>2061</v>
      </c>
      <c r="F309" s="56" t="s">
        <v>2062</v>
      </c>
      <c r="G309" s="56" t="s">
        <v>2063</v>
      </c>
      <c r="H309" s="55" t="s">
        <v>2064</v>
      </c>
      <c r="I309" s="56" t="s">
        <v>1876</v>
      </c>
      <c r="J309" s="56" t="s">
        <v>1877</v>
      </c>
      <c r="K309" s="57">
        <v>44348</v>
      </c>
      <c r="L309" s="55">
        <v>12</v>
      </c>
      <c r="M309" s="55" t="s">
        <v>1359</v>
      </c>
      <c r="N309" s="57">
        <v>44600</v>
      </c>
      <c r="O309" s="55">
        <v>10</v>
      </c>
      <c r="P309" s="57">
        <v>45135.510451388887</v>
      </c>
      <c r="Q309" s="58" t="b">
        <f>ISERROR(VLOOKUP($B309,'ILR MonitorDistrubution BAFO_V2'!J:J,1,FALSE))</f>
        <v>1</v>
      </c>
      <c r="R309" s="47"/>
    </row>
    <row r="310" spans="2:18" x14ac:dyDescent="0.25">
      <c r="B310" s="55"/>
      <c r="C310" s="55" t="s">
        <v>2065</v>
      </c>
      <c r="D310" s="56" t="s">
        <v>1311</v>
      </c>
      <c r="E310" s="56" t="s">
        <v>169</v>
      </c>
      <c r="F310" s="56" t="s">
        <v>2066</v>
      </c>
      <c r="G310" s="56" t="s">
        <v>167</v>
      </c>
      <c r="H310" s="55" t="s">
        <v>2067</v>
      </c>
      <c r="I310" s="56" t="s">
        <v>1345</v>
      </c>
      <c r="J310" s="56" t="s">
        <v>2068</v>
      </c>
      <c r="K310" s="57">
        <v>43640</v>
      </c>
      <c r="L310" s="55">
        <v>12</v>
      </c>
      <c r="M310" s="55" t="s">
        <v>1347</v>
      </c>
      <c r="N310" s="57">
        <v>43640</v>
      </c>
      <c r="O310" s="55">
        <v>10</v>
      </c>
      <c r="P310" s="57">
        <v>45135.513275462959</v>
      </c>
      <c r="Q310" s="58" t="b">
        <f>ISERROR(VLOOKUP($B310,'ILR MonitorDistrubution BAFO_V2'!J:J,1,FALSE))</f>
        <v>1</v>
      </c>
      <c r="R310" s="47"/>
    </row>
    <row r="311" spans="2:18" x14ac:dyDescent="0.25">
      <c r="B311" s="55" t="s">
        <v>434</v>
      </c>
      <c r="C311" s="55" t="s">
        <v>2069</v>
      </c>
      <c r="D311" s="56" t="s">
        <v>1311</v>
      </c>
      <c r="E311" s="56" t="s">
        <v>169</v>
      </c>
      <c r="F311" s="56" t="s">
        <v>2066</v>
      </c>
      <c r="G311" s="56" t="s">
        <v>167</v>
      </c>
      <c r="H311" s="55" t="s">
        <v>435</v>
      </c>
      <c r="I311" s="56" t="s">
        <v>1345</v>
      </c>
      <c r="J311" s="56" t="s">
        <v>2068</v>
      </c>
      <c r="K311" s="57">
        <v>43640</v>
      </c>
      <c r="L311" s="55">
        <v>12</v>
      </c>
      <c r="M311" s="55" t="s">
        <v>1347</v>
      </c>
      <c r="N311" s="57">
        <v>43640</v>
      </c>
      <c r="O311" s="55">
        <v>10</v>
      </c>
      <c r="P311" s="57">
        <v>45135.513275462959</v>
      </c>
      <c r="Q311" s="58" t="b">
        <f>ISERROR(VLOOKUP($B311,'ILR MonitorDistrubution BAFO_V2'!J:J,1,FALSE))</f>
        <v>0</v>
      </c>
      <c r="R311" s="47"/>
    </row>
    <row r="312" spans="2:18" x14ac:dyDescent="0.25">
      <c r="B312" s="55" t="s">
        <v>440</v>
      </c>
      <c r="C312" s="55" t="s">
        <v>2070</v>
      </c>
      <c r="D312" s="56" t="s">
        <v>1311</v>
      </c>
      <c r="E312" s="56" t="s">
        <v>169</v>
      </c>
      <c r="F312" s="56" t="s">
        <v>2066</v>
      </c>
      <c r="G312" s="56" t="s">
        <v>167</v>
      </c>
      <c r="H312" s="55" t="s">
        <v>441</v>
      </c>
      <c r="I312" s="56" t="s">
        <v>1345</v>
      </c>
      <c r="J312" s="56" t="s">
        <v>2068</v>
      </c>
      <c r="K312" s="57">
        <v>43640</v>
      </c>
      <c r="L312" s="55">
        <v>12</v>
      </c>
      <c r="M312" s="55" t="s">
        <v>1347</v>
      </c>
      <c r="N312" s="57">
        <v>43640</v>
      </c>
      <c r="O312" s="55">
        <v>10</v>
      </c>
      <c r="P312" s="57">
        <v>45135.513275462959</v>
      </c>
      <c r="Q312" s="58" t="b">
        <f>ISERROR(VLOOKUP($B312,'ILR MonitorDistrubution BAFO_V2'!J:J,1,FALSE))</f>
        <v>0</v>
      </c>
      <c r="R312" s="47"/>
    </row>
    <row r="313" spans="2:18" x14ac:dyDescent="0.25">
      <c r="B313" s="55" t="s">
        <v>442</v>
      </c>
      <c r="C313" s="55" t="s">
        <v>2071</v>
      </c>
      <c r="D313" s="56" t="s">
        <v>1311</v>
      </c>
      <c r="E313" s="56" t="s">
        <v>169</v>
      </c>
      <c r="F313" s="56" t="s">
        <v>2066</v>
      </c>
      <c r="G313" s="56" t="s">
        <v>167</v>
      </c>
      <c r="H313" s="55" t="s">
        <v>443</v>
      </c>
      <c r="I313" s="56" t="s">
        <v>1345</v>
      </c>
      <c r="J313" s="56" t="s">
        <v>2068</v>
      </c>
      <c r="K313" s="57">
        <v>43640</v>
      </c>
      <c r="L313" s="55">
        <v>12</v>
      </c>
      <c r="M313" s="55" t="s">
        <v>1347</v>
      </c>
      <c r="N313" s="57">
        <v>43640</v>
      </c>
      <c r="O313" s="55">
        <v>10</v>
      </c>
      <c r="P313" s="57">
        <v>45135.513275462959</v>
      </c>
      <c r="Q313" s="58" t="b">
        <f>ISERROR(VLOOKUP($B313,'ILR MonitorDistrubution BAFO_V2'!J:J,1,FALSE))</f>
        <v>0</v>
      </c>
      <c r="R313" s="47"/>
    </row>
    <row r="314" spans="2:18" x14ac:dyDescent="0.25">
      <c r="B314" s="55" t="s">
        <v>438</v>
      </c>
      <c r="C314" s="55" t="s">
        <v>2072</v>
      </c>
      <c r="D314" s="56" t="s">
        <v>1311</v>
      </c>
      <c r="E314" s="56" t="s">
        <v>169</v>
      </c>
      <c r="F314" s="56" t="s">
        <v>2066</v>
      </c>
      <c r="G314" s="56" t="s">
        <v>167</v>
      </c>
      <c r="H314" s="55" t="s">
        <v>439</v>
      </c>
      <c r="I314" s="56" t="s">
        <v>1345</v>
      </c>
      <c r="J314" s="56" t="s">
        <v>2068</v>
      </c>
      <c r="K314" s="57">
        <v>43640</v>
      </c>
      <c r="L314" s="55">
        <v>12</v>
      </c>
      <c r="M314" s="55" t="s">
        <v>1347</v>
      </c>
      <c r="N314" s="57">
        <v>43640</v>
      </c>
      <c r="O314" s="55">
        <v>10</v>
      </c>
      <c r="P314" s="57">
        <v>45135.513275462959</v>
      </c>
      <c r="Q314" s="58" t="b">
        <f>ISERROR(VLOOKUP($B314,'ILR MonitorDistrubution BAFO_V2'!J:J,1,FALSE))</f>
        <v>0</v>
      </c>
      <c r="R314" s="47"/>
    </row>
    <row r="315" spans="2:18" x14ac:dyDescent="0.25">
      <c r="B315" s="55" t="s">
        <v>166</v>
      </c>
      <c r="C315" s="55" t="s">
        <v>2073</v>
      </c>
      <c r="D315" s="56" t="s">
        <v>1311</v>
      </c>
      <c r="E315" s="56" t="s">
        <v>169</v>
      </c>
      <c r="F315" s="56" t="s">
        <v>2066</v>
      </c>
      <c r="G315" s="56" t="s">
        <v>167</v>
      </c>
      <c r="H315" s="55" t="s">
        <v>170</v>
      </c>
      <c r="I315" s="56" t="s">
        <v>1345</v>
      </c>
      <c r="J315" s="56" t="s">
        <v>2068</v>
      </c>
      <c r="K315" s="57">
        <v>43640</v>
      </c>
      <c r="L315" s="55">
        <v>12</v>
      </c>
      <c r="M315" s="55" t="s">
        <v>1347</v>
      </c>
      <c r="N315" s="57">
        <v>43640</v>
      </c>
      <c r="O315" s="55">
        <v>10</v>
      </c>
      <c r="P315" s="57">
        <v>45135.513275462959</v>
      </c>
      <c r="Q315" s="58" t="b">
        <f>ISERROR(VLOOKUP($B315,'ILR MonitorDistrubution BAFO_V2'!J:J,1,FALSE))</f>
        <v>0</v>
      </c>
      <c r="R315" s="47"/>
    </row>
    <row r="316" spans="2:18" x14ac:dyDescent="0.25">
      <c r="B316" s="55" t="s">
        <v>432</v>
      </c>
      <c r="C316" s="55" t="s">
        <v>2074</v>
      </c>
      <c r="D316" s="56" t="s">
        <v>1311</v>
      </c>
      <c r="E316" s="56" t="s">
        <v>169</v>
      </c>
      <c r="F316" s="56" t="s">
        <v>2066</v>
      </c>
      <c r="G316" s="56" t="s">
        <v>167</v>
      </c>
      <c r="H316" s="55" t="s">
        <v>433</v>
      </c>
      <c r="I316" s="56" t="s">
        <v>1345</v>
      </c>
      <c r="J316" s="56" t="s">
        <v>2068</v>
      </c>
      <c r="K316" s="57">
        <v>43640</v>
      </c>
      <c r="L316" s="55">
        <v>12</v>
      </c>
      <c r="M316" s="55" t="s">
        <v>1347</v>
      </c>
      <c r="N316" s="57">
        <v>43640</v>
      </c>
      <c r="O316" s="55">
        <v>10</v>
      </c>
      <c r="P316" s="57">
        <v>45135.513275462959</v>
      </c>
      <c r="Q316" s="58" t="b">
        <f>ISERROR(VLOOKUP($B316,'ILR MonitorDistrubution BAFO_V2'!J:J,1,FALSE))</f>
        <v>0</v>
      </c>
      <c r="R316" s="47"/>
    </row>
    <row r="317" spans="2:18" x14ac:dyDescent="0.25">
      <c r="B317" s="55" t="s">
        <v>430</v>
      </c>
      <c r="C317" s="55" t="s">
        <v>2075</v>
      </c>
      <c r="D317" s="56" t="s">
        <v>1311</v>
      </c>
      <c r="E317" s="56" t="s">
        <v>169</v>
      </c>
      <c r="F317" s="56" t="s">
        <v>2066</v>
      </c>
      <c r="G317" s="56" t="s">
        <v>167</v>
      </c>
      <c r="H317" s="55" t="s">
        <v>431</v>
      </c>
      <c r="I317" s="56" t="s">
        <v>1345</v>
      </c>
      <c r="J317" s="56" t="s">
        <v>2068</v>
      </c>
      <c r="K317" s="57">
        <v>43640</v>
      </c>
      <c r="L317" s="55">
        <v>12</v>
      </c>
      <c r="M317" s="55" t="s">
        <v>1347</v>
      </c>
      <c r="N317" s="57">
        <v>43640</v>
      </c>
      <c r="O317" s="55">
        <v>10</v>
      </c>
      <c r="P317" s="57">
        <v>45135.513275462959</v>
      </c>
      <c r="Q317" s="58" t="b">
        <f>ISERROR(VLOOKUP($B317,'ILR MonitorDistrubution BAFO_V2'!J:J,1,FALSE))</f>
        <v>0</v>
      </c>
      <c r="R317" s="47"/>
    </row>
    <row r="318" spans="2:18" x14ac:dyDescent="0.25">
      <c r="B318" s="55"/>
      <c r="C318" s="55" t="s">
        <v>2076</v>
      </c>
      <c r="D318" s="56" t="s">
        <v>1311</v>
      </c>
      <c r="E318" s="56" t="s">
        <v>169</v>
      </c>
      <c r="F318" s="56" t="s">
        <v>2066</v>
      </c>
      <c r="G318" s="56" t="s">
        <v>167</v>
      </c>
      <c r="H318" s="55" t="s">
        <v>421</v>
      </c>
      <c r="I318" s="56" t="s">
        <v>1345</v>
      </c>
      <c r="J318" s="56" t="s">
        <v>2068</v>
      </c>
      <c r="K318" s="57">
        <v>43640</v>
      </c>
      <c r="L318" s="55">
        <v>12</v>
      </c>
      <c r="M318" s="55" t="s">
        <v>1347</v>
      </c>
      <c r="N318" s="57">
        <v>43640</v>
      </c>
      <c r="O318" s="55">
        <v>10</v>
      </c>
      <c r="P318" s="57">
        <v>45135.513275462959</v>
      </c>
      <c r="Q318" s="58" t="b">
        <f>ISERROR(VLOOKUP($B318,'ILR MonitorDistrubution BAFO_V2'!J:J,1,FALSE))</f>
        <v>1</v>
      </c>
      <c r="R318" s="47"/>
    </row>
    <row r="319" spans="2:18" x14ac:dyDescent="0.25">
      <c r="B319" s="55" t="s">
        <v>426</v>
      </c>
      <c r="C319" s="55" t="s">
        <v>2077</v>
      </c>
      <c r="D319" s="56" t="s">
        <v>1311</v>
      </c>
      <c r="E319" s="56" t="s">
        <v>169</v>
      </c>
      <c r="F319" s="56" t="s">
        <v>2066</v>
      </c>
      <c r="G319" s="56" t="s">
        <v>167</v>
      </c>
      <c r="H319" s="55" t="s">
        <v>427</v>
      </c>
      <c r="I319" s="56" t="s">
        <v>1345</v>
      </c>
      <c r="J319" s="56" t="s">
        <v>2068</v>
      </c>
      <c r="K319" s="57">
        <v>43640</v>
      </c>
      <c r="L319" s="55">
        <v>12</v>
      </c>
      <c r="M319" s="55" t="s">
        <v>1347</v>
      </c>
      <c r="N319" s="57">
        <v>43640</v>
      </c>
      <c r="O319" s="55">
        <v>10</v>
      </c>
      <c r="P319" s="57">
        <v>45135.513275462959</v>
      </c>
      <c r="Q319" s="58" t="b">
        <f>ISERROR(VLOOKUP($B319,'ILR MonitorDistrubution BAFO_V2'!J:J,1,FALSE))</f>
        <v>0</v>
      </c>
      <c r="R319" s="47"/>
    </row>
    <row r="320" spans="2:18" x14ac:dyDescent="0.25">
      <c r="B320" s="55" t="s">
        <v>428</v>
      </c>
      <c r="C320" s="55" t="s">
        <v>2078</v>
      </c>
      <c r="D320" s="56" t="s">
        <v>1311</v>
      </c>
      <c r="E320" s="56" t="s">
        <v>169</v>
      </c>
      <c r="F320" s="56" t="s">
        <v>2066</v>
      </c>
      <c r="G320" s="56" t="s">
        <v>167</v>
      </c>
      <c r="H320" s="55" t="s">
        <v>429</v>
      </c>
      <c r="I320" s="56" t="s">
        <v>1345</v>
      </c>
      <c r="J320" s="56" t="s">
        <v>2068</v>
      </c>
      <c r="K320" s="57">
        <v>43640</v>
      </c>
      <c r="L320" s="55">
        <v>12</v>
      </c>
      <c r="M320" s="55" t="s">
        <v>1347</v>
      </c>
      <c r="N320" s="57">
        <v>43640</v>
      </c>
      <c r="O320" s="55">
        <v>10</v>
      </c>
      <c r="P320" s="57">
        <v>45135.513287037036</v>
      </c>
      <c r="Q320" s="58" t="b">
        <f>ISERROR(VLOOKUP($B320,'ILR MonitorDistrubution BAFO_V2'!J:J,1,FALSE))</f>
        <v>0</v>
      </c>
      <c r="R320" s="47"/>
    </row>
    <row r="321" spans="2:18" x14ac:dyDescent="0.25">
      <c r="B321" s="55"/>
      <c r="C321" s="55" t="s">
        <v>2079</v>
      </c>
      <c r="D321" s="56" t="s">
        <v>1311</v>
      </c>
      <c r="E321" s="56" t="s">
        <v>169</v>
      </c>
      <c r="F321" s="56" t="s">
        <v>2066</v>
      </c>
      <c r="G321" s="56" t="s">
        <v>167</v>
      </c>
      <c r="H321" s="55" t="s">
        <v>417</v>
      </c>
      <c r="I321" s="56" t="s">
        <v>1345</v>
      </c>
      <c r="J321" s="56" t="s">
        <v>2068</v>
      </c>
      <c r="K321" s="57">
        <v>43640</v>
      </c>
      <c r="L321" s="55">
        <v>12</v>
      </c>
      <c r="M321" s="55" t="s">
        <v>1347</v>
      </c>
      <c r="N321" s="57">
        <v>43640</v>
      </c>
      <c r="O321" s="55">
        <v>10</v>
      </c>
      <c r="P321" s="57">
        <v>45135.513287037036</v>
      </c>
      <c r="Q321" s="58" t="b">
        <f>ISERROR(VLOOKUP($B321,'ILR MonitorDistrubution BAFO_V2'!J:J,1,FALSE))</f>
        <v>1</v>
      </c>
      <c r="R321" s="47"/>
    </row>
    <row r="322" spans="2:18" x14ac:dyDescent="0.25">
      <c r="B322" s="55" t="s">
        <v>424</v>
      </c>
      <c r="C322" s="55" t="s">
        <v>2080</v>
      </c>
      <c r="D322" s="56" t="s">
        <v>1311</v>
      </c>
      <c r="E322" s="56" t="s">
        <v>169</v>
      </c>
      <c r="F322" s="56" t="s">
        <v>2066</v>
      </c>
      <c r="G322" s="56" t="s">
        <v>167</v>
      </c>
      <c r="H322" s="55" t="s">
        <v>425</v>
      </c>
      <c r="I322" s="56" t="s">
        <v>1345</v>
      </c>
      <c r="J322" s="56" t="s">
        <v>2068</v>
      </c>
      <c r="K322" s="57">
        <v>43640</v>
      </c>
      <c r="L322" s="55">
        <v>12</v>
      </c>
      <c r="M322" s="55" t="s">
        <v>1347</v>
      </c>
      <c r="N322" s="57">
        <v>43640</v>
      </c>
      <c r="O322" s="55">
        <v>10</v>
      </c>
      <c r="P322" s="57">
        <v>45135.513287037036</v>
      </c>
      <c r="Q322" s="58" t="b">
        <f>ISERROR(VLOOKUP($B322,'ILR MonitorDistrubution BAFO_V2'!J:J,1,FALSE))</f>
        <v>0</v>
      </c>
      <c r="R322" s="47"/>
    </row>
    <row r="323" spans="2:18" x14ac:dyDescent="0.25">
      <c r="B323" s="55" t="s">
        <v>436</v>
      </c>
      <c r="C323" s="55" t="s">
        <v>2081</v>
      </c>
      <c r="D323" s="56" t="s">
        <v>1311</v>
      </c>
      <c r="E323" s="56" t="s">
        <v>169</v>
      </c>
      <c r="F323" s="56" t="s">
        <v>2066</v>
      </c>
      <c r="G323" s="56" t="s">
        <v>167</v>
      </c>
      <c r="H323" s="55" t="s">
        <v>437</v>
      </c>
      <c r="I323" s="56" t="s">
        <v>1345</v>
      </c>
      <c r="J323" s="56" t="s">
        <v>2068</v>
      </c>
      <c r="K323" s="57">
        <v>43640</v>
      </c>
      <c r="L323" s="55">
        <v>12</v>
      </c>
      <c r="M323" s="55" t="s">
        <v>1347</v>
      </c>
      <c r="N323" s="57">
        <v>43640</v>
      </c>
      <c r="O323" s="55">
        <v>10</v>
      </c>
      <c r="P323" s="57">
        <v>45135.513287037036</v>
      </c>
      <c r="Q323" s="58" t="b">
        <f>ISERROR(VLOOKUP($B323,'ILR MonitorDistrubution BAFO_V2'!J:J,1,FALSE))</f>
        <v>0</v>
      </c>
      <c r="R323" s="47"/>
    </row>
    <row r="324" spans="2:18" x14ac:dyDescent="0.25">
      <c r="B324" s="55"/>
      <c r="C324" s="55" t="s">
        <v>2082</v>
      </c>
      <c r="D324" s="56" t="s">
        <v>1311</v>
      </c>
      <c r="E324" s="56" t="s">
        <v>169</v>
      </c>
      <c r="F324" s="56" t="s">
        <v>2066</v>
      </c>
      <c r="G324" s="56" t="s">
        <v>167</v>
      </c>
      <c r="H324" s="55" t="s">
        <v>2083</v>
      </c>
      <c r="I324" s="56" t="s">
        <v>1345</v>
      </c>
      <c r="J324" s="56" t="s">
        <v>2068</v>
      </c>
      <c r="K324" s="57">
        <v>43640</v>
      </c>
      <c r="L324" s="55">
        <v>12</v>
      </c>
      <c r="M324" s="55" t="s">
        <v>1347</v>
      </c>
      <c r="N324" s="57">
        <v>43640</v>
      </c>
      <c r="O324" s="55">
        <v>10</v>
      </c>
      <c r="P324" s="57">
        <v>45135.513287037036</v>
      </c>
      <c r="Q324" s="58" t="b">
        <f>ISERROR(VLOOKUP($B324,'ILR MonitorDistrubution BAFO_V2'!J:J,1,FALSE))</f>
        <v>1</v>
      </c>
      <c r="R324" s="47"/>
    </row>
    <row r="325" spans="2:18" x14ac:dyDescent="0.25">
      <c r="B325" s="55"/>
      <c r="C325" s="55" t="s">
        <v>2084</v>
      </c>
      <c r="D325" s="56" t="s">
        <v>1311</v>
      </c>
      <c r="E325" s="56" t="s">
        <v>169</v>
      </c>
      <c r="F325" s="56" t="s">
        <v>2066</v>
      </c>
      <c r="G325" s="56" t="s">
        <v>167</v>
      </c>
      <c r="H325" s="55" t="s">
        <v>2085</v>
      </c>
      <c r="I325" s="56" t="s">
        <v>2086</v>
      </c>
      <c r="J325" s="56" t="s">
        <v>2068</v>
      </c>
      <c r="K325" s="57">
        <v>43640</v>
      </c>
      <c r="L325" s="55">
        <v>12</v>
      </c>
      <c r="M325" s="55" t="s">
        <v>1347</v>
      </c>
      <c r="N325" s="57">
        <v>43640</v>
      </c>
      <c r="O325" s="55">
        <v>10</v>
      </c>
      <c r="P325" s="57">
        <v>45135.510810185187</v>
      </c>
      <c r="Q325" s="58" t="b">
        <f>ISERROR(VLOOKUP($B325,'ILR MonitorDistrubution BAFO_V2'!J:J,1,FALSE))</f>
        <v>1</v>
      </c>
      <c r="R325" s="47"/>
    </row>
    <row r="326" spans="2:18" x14ac:dyDescent="0.25">
      <c r="B326" s="55"/>
      <c r="C326" s="55" t="s">
        <v>2087</v>
      </c>
      <c r="D326" s="56" t="s">
        <v>1311</v>
      </c>
      <c r="E326" s="56" t="s">
        <v>169</v>
      </c>
      <c r="F326" s="56" t="s">
        <v>2066</v>
      </c>
      <c r="G326" s="56" t="s">
        <v>167</v>
      </c>
      <c r="H326" s="55" t="s">
        <v>2088</v>
      </c>
      <c r="I326" s="56" t="s">
        <v>2089</v>
      </c>
      <c r="J326" s="56" t="s">
        <v>2068</v>
      </c>
      <c r="K326" s="57">
        <v>43640</v>
      </c>
      <c r="L326" s="55">
        <v>12</v>
      </c>
      <c r="M326" s="55" t="s">
        <v>1347</v>
      </c>
      <c r="N326" s="57">
        <v>43640</v>
      </c>
      <c r="O326" s="55">
        <v>10</v>
      </c>
      <c r="P326" s="57">
        <v>44116.46471064815</v>
      </c>
      <c r="Q326" s="58" t="b">
        <f>ISERROR(VLOOKUP($B326,'ILR MonitorDistrubution BAFO_V2'!J:J,1,FALSE))</f>
        <v>1</v>
      </c>
      <c r="R326" s="47"/>
    </row>
    <row r="327" spans="2:18" x14ac:dyDescent="0.25">
      <c r="B327" s="55"/>
      <c r="C327" s="55" t="s">
        <v>2090</v>
      </c>
      <c r="D327" s="56" t="s">
        <v>1311</v>
      </c>
      <c r="E327" s="56" t="s">
        <v>169</v>
      </c>
      <c r="F327" s="56" t="s">
        <v>2066</v>
      </c>
      <c r="G327" s="56" t="s">
        <v>167</v>
      </c>
      <c r="H327" s="55" t="s">
        <v>2091</v>
      </c>
      <c r="I327" s="56" t="s">
        <v>2089</v>
      </c>
      <c r="J327" s="56" t="s">
        <v>2068</v>
      </c>
      <c r="K327" s="57">
        <v>43640</v>
      </c>
      <c r="L327" s="55">
        <v>12</v>
      </c>
      <c r="M327" s="55" t="s">
        <v>1347</v>
      </c>
      <c r="N327" s="57">
        <v>43640</v>
      </c>
      <c r="O327" s="55">
        <v>10</v>
      </c>
      <c r="P327" s="57">
        <v>44116.46471064815</v>
      </c>
      <c r="Q327" s="58" t="b">
        <f>ISERROR(VLOOKUP($B327,'ILR MonitorDistrubution BAFO_V2'!J:J,1,FALSE))</f>
        <v>1</v>
      </c>
      <c r="R327" s="47"/>
    </row>
    <row r="328" spans="2:18" x14ac:dyDescent="0.25">
      <c r="B328" s="55"/>
      <c r="C328" s="55" t="s">
        <v>2092</v>
      </c>
      <c r="D328" s="56" t="s">
        <v>1311</v>
      </c>
      <c r="E328" s="56" t="s">
        <v>169</v>
      </c>
      <c r="F328" s="56" t="s">
        <v>2066</v>
      </c>
      <c r="G328" s="56" t="s">
        <v>167</v>
      </c>
      <c r="H328" s="55" t="s">
        <v>2093</v>
      </c>
      <c r="I328" s="56" t="s">
        <v>2089</v>
      </c>
      <c r="J328" s="56" t="s">
        <v>2068</v>
      </c>
      <c r="K328" s="57">
        <v>43640</v>
      </c>
      <c r="L328" s="55">
        <v>12</v>
      </c>
      <c r="M328" s="55" t="s">
        <v>1347</v>
      </c>
      <c r="N328" s="57">
        <v>43640</v>
      </c>
      <c r="O328" s="55">
        <v>10</v>
      </c>
      <c r="P328" s="57">
        <v>44116.46471064815</v>
      </c>
      <c r="Q328" s="58" t="b">
        <f>ISERROR(VLOOKUP($B328,'ILR MonitorDistrubution BAFO_V2'!J:J,1,FALSE))</f>
        <v>1</v>
      </c>
      <c r="R328" s="47"/>
    </row>
    <row r="329" spans="2:18" x14ac:dyDescent="0.25">
      <c r="B329" s="55"/>
      <c r="C329" s="55" t="s">
        <v>2094</v>
      </c>
      <c r="D329" s="56" t="s">
        <v>1311</v>
      </c>
      <c r="E329" s="56" t="s">
        <v>169</v>
      </c>
      <c r="F329" s="56" t="s">
        <v>2066</v>
      </c>
      <c r="G329" s="56" t="s">
        <v>167</v>
      </c>
      <c r="H329" s="55" t="s">
        <v>2095</v>
      </c>
      <c r="I329" s="56" t="s">
        <v>2089</v>
      </c>
      <c r="J329" s="56" t="s">
        <v>2068</v>
      </c>
      <c r="K329" s="57">
        <v>43640</v>
      </c>
      <c r="L329" s="55">
        <v>12</v>
      </c>
      <c r="M329" s="55" t="s">
        <v>1347</v>
      </c>
      <c r="N329" s="57">
        <v>43640</v>
      </c>
      <c r="O329" s="55">
        <v>10</v>
      </c>
      <c r="P329" s="57">
        <v>44116.46471064815</v>
      </c>
      <c r="Q329" s="58" t="b">
        <f>ISERROR(VLOOKUP($B329,'ILR MonitorDistrubution BAFO_V2'!J:J,1,FALSE))</f>
        <v>1</v>
      </c>
      <c r="R329" s="47"/>
    </row>
    <row r="330" spans="2:18" x14ac:dyDescent="0.25">
      <c r="B330" s="55"/>
      <c r="C330" s="55" t="s">
        <v>2096</v>
      </c>
      <c r="D330" s="56" t="s">
        <v>1311</v>
      </c>
      <c r="E330" s="56" t="s">
        <v>169</v>
      </c>
      <c r="F330" s="56" t="s">
        <v>2066</v>
      </c>
      <c r="G330" s="56" t="s">
        <v>167</v>
      </c>
      <c r="H330" s="55" t="s">
        <v>2097</v>
      </c>
      <c r="I330" s="56" t="s">
        <v>2089</v>
      </c>
      <c r="J330" s="56" t="s">
        <v>2068</v>
      </c>
      <c r="K330" s="57">
        <v>43640</v>
      </c>
      <c r="L330" s="55">
        <v>12</v>
      </c>
      <c r="M330" s="55" t="s">
        <v>1347</v>
      </c>
      <c r="N330" s="57">
        <v>43640</v>
      </c>
      <c r="O330" s="55">
        <v>10</v>
      </c>
      <c r="P330" s="57">
        <v>44116.46471064815</v>
      </c>
      <c r="Q330" s="58" t="b">
        <f>ISERROR(VLOOKUP($B330,'ILR MonitorDistrubution BAFO_V2'!J:J,1,FALSE))</f>
        <v>1</v>
      </c>
      <c r="R330" s="47"/>
    </row>
    <row r="331" spans="2:18" x14ac:dyDescent="0.25">
      <c r="B331" s="55"/>
      <c r="C331" s="55" t="s">
        <v>2098</v>
      </c>
      <c r="D331" s="56" t="s">
        <v>1311</v>
      </c>
      <c r="E331" s="56" t="s">
        <v>169</v>
      </c>
      <c r="F331" s="56" t="s">
        <v>2066</v>
      </c>
      <c r="G331" s="56" t="s">
        <v>167</v>
      </c>
      <c r="H331" s="55" t="s">
        <v>2099</v>
      </c>
      <c r="I331" s="56" t="s">
        <v>2089</v>
      </c>
      <c r="J331" s="56" t="s">
        <v>2068</v>
      </c>
      <c r="K331" s="57">
        <v>43640</v>
      </c>
      <c r="L331" s="55">
        <v>12</v>
      </c>
      <c r="M331" s="55" t="s">
        <v>1347</v>
      </c>
      <c r="N331" s="57">
        <v>43640</v>
      </c>
      <c r="O331" s="55">
        <v>10</v>
      </c>
      <c r="P331" s="57">
        <v>44116.46471064815</v>
      </c>
      <c r="Q331" s="58" t="b">
        <f>ISERROR(VLOOKUP($B331,'ILR MonitorDistrubution BAFO_V2'!J:J,1,FALSE))</f>
        <v>1</v>
      </c>
      <c r="R331" s="47"/>
    </row>
    <row r="332" spans="2:18" x14ac:dyDescent="0.25">
      <c r="B332" s="55" t="s">
        <v>2100</v>
      </c>
      <c r="C332" s="55" t="s">
        <v>2101</v>
      </c>
      <c r="D332" s="56" t="s">
        <v>1311</v>
      </c>
      <c r="E332" s="56" t="s">
        <v>2102</v>
      </c>
      <c r="F332" s="56" t="s">
        <v>2103</v>
      </c>
      <c r="G332" s="56" t="s">
        <v>167</v>
      </c>
      <c r="H332" s="55" t="s">
        <v>2104</v>
      </c>
      <c r="I332" s="56" t="s">
        <v>1345</v>
      </c>
      <c r="J332" s="56" t="s">
        <v>2068</v>
      </c>
      <c r="K332" s="57">
        <v>45062</v>
      </c>
      <c r="L332" s="55">
        <v>12</v>
      </c>
      <c r="M332" s="55" t="s">
        <v>1347</v>
      </c>
      <c r="N332" s="57">
        <v>45062</v>
      </c>
      <c r="O332" s="55">
        <v>10</v>
      </c>
      <c r="P332" s="57">
        <v>45135.513333333336</v>
      </c>
      <c r="Q332" s="58" t="b">
        <f>ISERROR(VLOOKUP($B332,'ILR MonitorDistrubution BAFO_V2'!J:J,1,FALSE))</f>
        <v>1</v>
      </c>
      <c r="R332" s="47"/>
    </row>
    <row r="333" spans="2:18" x14ac:dyDescent="0.25">
      <c r="D333" s="47"/>
    </row>
    <row r="334" spans="2:18" x14ac:dyDescent="0.25">
      <c r="D334" s="47"/>
    </row>
    <row r="335" spans="2:18" x14ac:dyDescent="0.25">
      <c r="D335" s="47"/>
    </row>
    <row r="336" spans="2:18" x14ac:dyDescent="0.25">
      <c r="D336" s="47"/>
    </row>
    <row r="337" spans="4:4" x14ac:dyDescent="0.25">
      <c r="D337" s="47"/>
    </row>
    <row r="338" spans="4:4" x14ac:dyDescent="0.25">
      <c r="D338" s="47"/>
    </row>
    <row r="339" spans="4:4" x14ac:dyDescent="0.25">
      <c r="D339" s="47"/>
    </row>
    <row r="340" spans="4:4" x14ac:dyDescent="0.25">
      <c r="D340" s="47"/>
    </row>
    <row r="341" spans="4:4" x14ac:dyDescent="0.25">
      <c r="D341" s="47"/>
    </row>
    <row r="342" spans="4:4" x14ac:dyDescent="0.25">
      <c r="D342" s="47"/>
    </row>
    <row r="343" spans="4:4" x14ac:dyDescent="0.25">
      <c r="D343" s="47"/>
    </row>
    <row r="344" spans="4:4" x14ac:dyDescent="0.25">
      <c r="D344" s="47"/>
    </row>
    <row r="345" spans="4:4" x14ac:dyDescent="0.25">
      <c r="D345" s="47"/>
    </row>
    <row r="346" spans="4:4" x14ac:dyDescent="0.25">
      <c r="D346" s="47"/>
    </row>
    <row r="347" spans="4:4" x14ac:dyDescent="0.25">
      <c r="D347" s="47"/>
    </row>
    <row r="348" spans="4:4" x14ac:dyDescent="0.25">
      <c r="D348" s="47"/>
    </row>
    <row r="349" spans="4:4" x14ac:dyDescent="0.25">
      <c r="D349" s="47"/>
    </row>
  </sheetData>
  <conditionalFormatting sqref="B3:Q332">
    <cfRule type="expression" dxfId="0" priority="1">
      <formula>$Q3=FALSE</formula>
    </cfRule>
  </conditionalFormatting>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98A50-1993-449A-A7C7-4A3685FBE206}">
  <sheetPr codeName="Sheet8"/>
  <dimension ref="B2:H403"/>
  <sheetViews>
    <sheetView showGridLines="0" topLeftCell="A3" zoomScale="85" zoomScaleNormal="85" workbookViewId="0">
      <selection activeCell="A31" sqref="A31"/>
    </sheetView>
  </sheetViews>
  <sheetFormatPr defaultRowHeight="15" x14ac:dyDescent="0.25"/>
  <cols>
    <col min="1" max="1" width="36.5703125" customWidth="1"/>
    <col min="2" max="2" width="26.7109375" customWidth="1"/>
    <col min="3" max="3" width="51.28515625" customWidth="1"/>
    <col min="4" max="4" width="49.85546875" customWidth="1"/>
    <col min="5" max="5" width="37.28515625" style="46" bestFit="1" customWidth="1"/>
    <col min="6" max="6" width="19.5703125" style="180" bestFit="1" customWidth="1"/>
    <col min="7" max="7" width="8.28515625" bestFit="1" customWidth="1"/>
    <col min="8" max="8" width="13.42578125" style="62" bestFit="1" customWidth="1"/>
    <col min="9" max="10" width="2.28515625" customWidth="1"/>
    <col min="11" max="11" width="8" customWidth="1"/>
    <col min="12" max="12" width="54.28515625" customWidth="1"/>
    <col min="13" max="13" width="16.28515625" bestFit="1" customWidth="1"/>
    <col min="14" max="14" width="17.5703125" bestFit="1" customWidth="1"/>
    <col min="15" max="15" width="26.42578125" bestFit="1" customWidth="1"/>
    <col min="16" max="16" width="34.7109375" bestFit="1" customWidth="1"/>
    <col min="17" max="17" width="36.7109375" bestFit="1" customWidth="1"/>
    <col min="18" max="18" width="41.5703125" bestFit="1" customWidth="1"/>
    <col min="19" max="19" width="41.42578125" bestFit="1" customWidth="1"/>
    <col min="20" max="20" width="34.5703125" bestFit="1" customWidth="1"/>
    <col min="21" max="21" width="47.42578125" bestFit="1" customWidth="1"/>
    <col min="22" max="22" width="21.85546875" bestFit="1" customWidth="1"/>
    <col min="23" max="23" width="26.42578125" bestFit="1" customWidth="1"/>
    <col min="24" max="24" width="22.7109375" bestFit="1" customWidth="1"/>
    <col min="25" max="25" width="22.42578125" bestFit="1" customWidth="1"/>
    <col min="26" max="26" width="23.42578125" bestFit="1" customWidth="1"/>
    <col min="27" max="27" width="17.42578125" bestFit="1" customWidth="1"/>
    <col min="28" max="28" width="7.28515625" bestFit="1" customWidth="1"/>
    <col min="29" max="29" width="11.28515625" bestFit="1" customWidth="1"/>
  </cols>
  <sheetData>
    <row r="2" spans="2:8" ht="63" customHeight="1" x14ac:dyDescent="0.25"/>
    <row r="3" spans="2:8" ht="45" x14ac:dyDescent="0.25">
      <c r="B3" s="61" t="s">
        <v>2</v>
      </c>
      <c r="C3" s="61" t="s">
        <v>3</v>
      </c>
      <c r="D3" s="61" t="s">
        <v>6</v>
      </c>
      <c r="E3" s="61" t="s">
        <v>1020</v>
      </c>
      <c r="F3" s="62" t="s">
        <v>2105</v>
      </c>
      <c r="G3" s="49" t="s">
        <v>2106</v>
      </c>
      <c r="H3" s="181" t="s">
        <v>2107</v>
      </c>
    </row>
    <row r="4" spans="2:8" x14ac:dyDescent="0.25">
      <c r="B4" t="s">
        <v>446</v>
      </c>
      <c r="C4" t="s">
        <v>174</v>
      </c>
      <c r="D4" t="s">
        <v>448</v>
      </c>
      <c r="E4" t="s">
        <v>907</v>
      </c>
      <c r="F4" s="180">
        <v>9</v>
      </c>
      <c r="G4" s="46">
        <v>8</v>
      </c>
      <c r="H4" s="180">
        <v>1</v>
      </c>
    </row>
    <row r="5" spans="2:8" x14ac:dyDescent="0.25">
      <c r="B5" t="s">
        <v>461</v>
      </c>
      <c r="C5" t="s">
        <v>638</v>
      </c>
      <c r="D5" t="s">
        <v>944</v>
      </c>
      <c r="E5" t="s">
        <v>946</v>
      </c>
      <c r="F5" s="180">
        <v>1</v>
      </c>
      <c r="G5" s="46"/>
      <c r="H5" s="180">
        <v>1</v>
      </c>
    </row>
    <row r="6" spans="2:8" x14ac:dyDescent="0.25">
      <c r="D6" t="s">
        <v>932</v>
      </c>
      <c r="E6" t="s">
        <v>931</v>
      </c>
      <c r="F6" s="180">
        <v>1</v>
      </c>
      <c r="G6" s="46"/>
      <c r="H6" s="180">
        <v>1</v>
      </c>
    </row>
    <row r="7" spans="2:8" x14ac:dyDescent="0.25">
      <c r="C7" t="s">
        <v>462</v>
      </c>
      <c r="D7" t="s">
        <v>448</v>
      </c>
      <c r="E7" t="s">
        <v>907</v>
      </c>
      <c r="F7" s="180">
        <v>3</v>
      </c>
      <c r="G7" s="46">
        <v>3</v>
      </c>
      <c r="H7" s="180">
        <v>0</v>
      </c>
    </row>
    <row r="8" spans="2:8" x14ac:dyDescent="0.25">
      <c r="B8" t="s">
        <v>470</v>
      </c>
      <c r="C8" t="s">
        <v>485</v>
      </c>
      <c r="D8" t="s">
        <v>448</v>
      </c>
      <c r="E8" t="s">
        <v>907</v>
      </c>
      <c r="F8" s="180">
        <v>1</v>
      </c>
      <c r="G8" s="46">
        <v>1</v>
      </c>
      <c r="H8" s="180">
        <v>0</v>
      </c>
    </row>
    <row r="9" spans="2:8" x14ac:dyDescent="0.25">
      <c r="C9" t="s">
        <v>471</v>
      </c>
      <c r="D9" t="s">
        <v>448</v>
      </c>
      <c r="E9" t="s">
        <v>907</v>
      </c>
      <c r="F9" s="180">
        <v>3</v>
      </c>
      <c r="G9" s="46">
        <v>3</v>
      </c>
      <c r="H9" s="180">
        <v>0</v>
      </c>
    </row>
    <row r="10" spans="2:8" x14ac:dyDescent="0.25">
      <c r="C10" t="s">
        <v>480</v>
      </c>
      <c r="D10" t="s">
        <v>448</v>
      </c>
      <c r="E10" t="s">
        <v>907</v>
      </c>
      <c r="F10" s="180">
        <v>1</v>
      </c>
      <c r="G10" s="46">
        <v>1</v>
      </c>
      <c r="H10" s="180">
        <v>0</v>
      </c>
    </row>
    <row r="11" spans="2:8" x14ac:dyDescent="0.25">
      <c r="B11" t="s">
        <v>161</v>
      </c>
      <c r="C11" t="s">
        <v>185</v>
      </c>
      <c r="D11" t="s">
        <v>164</v>
      </c>
      <c r="E11" t="s">
        <v>955</v>
      </c>
      <c r="F11" s="180">
        <v>1</v>
      </c>
      <c r="G11" s="46">
        <v>0</v>
      </c>
      <c r="H11" s="180">
        <v>1</v>
      </c>
    </row>
    <row r="12" spans="2:8" x14ac:dyDescent="0.25">
      <c r="D12" t="s">
        <v>944</v>
      </c>
      <c r="E12" t="s">
        <v>946</v>
      </c>
      <c r="F12" s="180">
        <v>1</v>
      </c>
      <c r="G12" s="46"/>
      <c r="H12" s="180">
        <v>1</v>
      </c>
    </row>
    <row r="13" spans="2:8" x14ac:dyDescent="0.25">
      <c r="D13" t="s">
        <v>932</v>
      </c>
      <c r="E13" t="s">
        <v>931</v>
      </c>
      <c r="F13" s="180">
        <v>1</v>
      </c>
      <c r="G13" s="46">
        <v>1</v>
      </c>
      <c r="H13" s="180">
        <v>0</v>
      </c>
    </row>
    <row r="14" spans="2:8" x14ac:dyDescent="0.25">
      <c r="C14" t="s">
        <v>198</v>
      </c>
      <c r="D14" t="s">
        <v>164</v>
      </c>
      <c r="E14" t="s">
        <v>955</v>
      </c>
      <c r="F14" s="180">
        <v>4</v>
      </c>
      <c r="G14" s="46">
        <v>0</v>
      </c>
      <c r="H14" s="180">
        <v>4</v>
      </c>
    </row>
    <row r="15" spans="2:8" x14ac:dyDescent="0.25">
      <c r="D15" t="s">
        <v>944</v>
      </c>
      <c r="E15" t="s">
        <v>946</v>
      </c>
      <c r="F15" s="180">
        <v>4</v>
      </c>
      <c r="G15" s="46"/>
      <c r="H15" s="180">
        <v>4</v>
      </c>
    </row>
    <row r="16" spans="2:8" x14ac:dyDescent="0.25">
      <c r="D16" t="s">
        <v>932</v>
      </c>
      <c r="E16" t="s">
        <v>938</v>
      </c>
      <c r="F16" s="180">
        <v>4</v>
      </c>
      <c r="G16" s="46">
        <v>0</v>
      </c>
      <c r="H16" s="180">
        <v>4</v>
      </c>
    </row>
    <row r="17" spans="3:8" x14ac:dyDescent="0.25">
      <c r="C17" t="s">
        <v>238</v>
      </c>
      <c r="D17" t="s">
        <v>164</v>
      </c>
      <c r="E17" t="s">
        <v>955</v>
      </c>
      <c r="F17" s="180">
        <v>4</v>
      </c>
      <c r="G17" s="46"/>
      <c r="H17" s="180">
        <v>4</v>
      </c>
    </row>
    <row r="18" spans="3:8" x14ac:dyDescent="0.25">
      <c r="D18" t="s">
        <v>944</v>
      </c>
      <c r="E18" t="s">
        <v>946</v>
      </c>
      <c r="F18" s="180">
        <v>4</v>
      </c>
      <c r="G18" s="46"/>
      <c r="H18" s="180">
        <v>4</v>
      </c>
    </row>
    <row r="19" spans="3:8" x14ac:dyDescent="0.25">
      <c r="D19" t="s">
        <v>932</v>
      </c>
      <c r="E19" t="s">
        <v>931</v>
      </c>
      <c r="F19" s="180">
        <v>4</v>
      </c>
      <c r="G19" s="46"/>
      <c r="H19" s="180">
        <v>4</v>
      </c>
    </row>
    <row r="20" spans="3:8" x14ac:dyDescent="0.25">
      <c r="C20" t="s">
        <v>251</v>
      </c>
      <c r="D20" t="s">
        <v>164</v>
      </c>
      <c r="E20" t="s">
        <v>955</v>
      </c>
      <c r="F20" s="180">
        <v>4</v>
      </c>
      <c r="G20" s="46"/>
      <c r="H20" s="180">
        <v>4</v>
      </c>
    </row>
    <row r="21" spans="3:8" x14ac:dyDescent="0.25">
      <c r="D21" t="s">
        <v>944</v>
      </c>
      <c r="E21" t="s">
        <v>946</v>
      </c>
      <c r="F21" s="180">
        <v>4</v>
      </c>
      <c r="G21" s="46"/>
      <c r="H21" s="180">
        <v>4</v>
      </c>
    </row>
    <row r="22" spans="3:8" x14ac:dyDescent="0.25">
      <c r="D22" t="s">
        <v>932</v>
      </c>
      <c r="E22" t="s">
        <v>931</v>
      </c>
      <c r="F22" s="180">
        <v>4</v>
      </c>
      <c r="G22" s="46"/>
      <c r="H22" s="180">
        <v>4</v>
      </c>
    </row>
    <row r="23" spans="3:8" x14ac:dyDescent="0.25">
      <c r="C23" t="s">
        <v>162</v>
      </c>
      <c r="D23" t="s">
        <v>164</v>
      </c>
      <c r="E23" t="s">
        <v>955</v>
      </c>
      <c r="F23" s="180">
        <v>3</v>
      </c>
      <c r="G23" s="46">
        <v>0</v>
      </c>
      <c r="H23" s="180">
        <v>3</v>
      </c>
    </row>
    <row r="24" spans="3:8" x14ac:dyDescent="0.25">
      <c r="D24" t="s">
        <v>944</v>
      </c>
      <c r="E24" t="s">
        <v>946</v>
      </c>
      <c r="F24" s="180">
        <v>3</v>
      </c>
      <c r="G24" s="46"/>
      <c r="H24" s="180">
        <v>3</v>
      </c>
    </row>
    <row r="25" spans="3:8" x14ac:dyDescent="0.25">
      <c r="D25" t="s">
        <v>932</v>
      </c>
      <c r="E25" t="s">
        <v>938</v>
      </c>
      <c r="F25" s="180">
        <v>3</v>
      </c>
      <c r="G25" s="46">
        <v>0</v>
      </c>
      <c r="H25" s="180">
        <v>3</v>
      </c>
    </row>
    <row r="26" spans="3:8" x14ac:dyDescent="0.25">
      <c r="C26" t="s">
        <v>191</v>
      </c>
      <c r="D26" t="s">
        <v>164</v>
      </c>
      <c r="E26" t="s">
        <v>955</v>
      </c>
      <c r="F26" s="180">
        <v>12</v>
      </c>
      <c r="G26" s="46">
        <v>0</v>
      </c>
      <c r="H26" s="180">
        <v>12</v>
      </c>
    </row>
    <row r="27" spans="3:8" x14ac:dyDescent="0.25">
      <c r="D27" t="s">
        <v>944</v>
      </c>
      <c r="E27" t="s">
        <v>946</v>
      </c>
      <c r="F27" s="180">
        <v>16</v>
      </c>
      <c r="G27" s="46">
        <v>8</v>
      </c>
      <c r="H27" s="180">
        <v>8</v>
      </c>
    </row>
    <row r="28" spans="3:8" x14ac:dyDescent="0.25">
      <c r="D28" t="s">
        <v>932</v>
      </c>
      <c r="E28" t="s">
        <v>931</v>
      </c>
      <c r="F28" s="180">
        <v>16</v>
      </c>
      <c r="G28" s="46">
        <v>5</v>
      </c>
      <c r="H28" s="180">
        <v>11</v>
      </c>
    </row>
    <row r="29" spans="3:8" x14ac:dyDescent="0.25">
      <c r="C29" t="s">
        <v>640</v>
      </c>
      <c r="D29" t="s">
        <v>1026</v>
      </c>
      <c r="E29" t="s">
        <v>983</v>
      </c>
      <c r="F29" s="180">
        <v>2</v>
      </c>
      <c r="G29" s="46"/>
      <c r="H29" s="180">
        <v>2</v>
      </c>
    </row>
    <row r="30" spans="3:8" x14ac:dyDescent="0.25">
      <c r="C30" t="s">
        <v>645</v>
      </c>
      <c r="D30" t="s">
        <v>654</v>
      </c>
      <c r="E30" t="s">
        <v>903</v>
      </c>
      <c r="F30" s="180">
        <v>4</v>
      </c>
      <c r="G30" s="46"/>
      <c r="H30" s="180">
        <v>4</v>
      </c>
    </row>
    <row r="31" spans="3:8" x14ac:dyDescent="0.25">
      <c r="D31" t="s">
        <v>1061</v>
      </c>
      <c r="E31" t="s">
        <v>957</v>
      </c>
      <c r="F31" s="180">
        <v>1</v>
      </c>
      <c r="G31" s="46"/>
      <c r="H31" s="180">
        <v>1</v>
      </c>
    </row>
    <row r="32" spans="3:8" x14ac:dyDescent="0.25">
      <c r="D32" t="s">
        <v>1031</v>
      </c>
      <c r="E32" t="s">
        <v>960</v>
      </c>
      <c r="F32" s="180">
        <v>1</v>
      </c>
      <c r="G32" s="46"/>
      <c r="H32" s="180">
        <v>1</v>
      </c>
    </row>
    <row r="33" spans="2:8" x14ac:dyDescent="0.25">
      <c r="C33" t="s">
        <v>174</v>
      </c>
      <c r="D33" t="s">
        <v>176</v>
      </c>
      <c r="E33" t="s">
        <v>946</v>
      </c>
      <c r="F33" s="180">
        <v>2</v>
      </c>
      <c r="G33" s="46"/>
      <c r="H33" s="180">
        <v>2</v>
      </c>
    </row>
    <row r="34" spans="2:8" x14ac:dyDescent="0.25">
      <c r="D34" t="s">
        <v>164</v>
      </c>
      <c r="E34" t="s">
        <v>955</v>
      </c>
      <c r="F34" s="180">
        <v>4</v>
      </c>
      <c r="G34" s="46"/>
      <c r="H34" s="180">
        <v>4</v>
      </c>
    </row>
    <row r="35" spans="2:8" x14ac:dyDescent="0.25">
      <c r="D35" t="s">
        <v>929</v>
      </c>
      <c r="E35" t="s">
        <v>928</v>
      </c>
      <c r="F35" s="180">
        <v>2</v>
      </c>
      <c r="G35" s="46">
        <v>2</v>
      </c>
      <c r="H35" s="180">
        <v>0</v>
      </c>
    </row>
    <row r="36" spans="2:8" x14ac:dyDescent="0.25">
      <c r="D36" t="s">
        <v>974</v>
      </c>
      <c r="E36" t="s">
        <v>973</v>
      </c>
      <c r="F36" s="180">
        <v>8</v>
      </c>
      <c r="G36" s="46">
        <v>4</v>
      </c>
      <c r="H36" s="180">
        <v>4</v>
      </c>
    </row>
    <row r="37" spans="2:8" x14ac:dyDescent="0.25">
      <c r="D37" t="s">
        <v>1030</v>
      </c>
      <c r="E37" t="s">
        <v>973</v>
      </c>
      <c r="F37" s="180">
        <v>8</v>
      </c>
      <c r="G37" s="46"/>
      <c r="H37" s="180">
        <v>8</v>
      </c>
    </row>
    <row r="38" spans="2:8" x14ac:dyDescent="0.25">
      <c r="D38" t="s">
        <v>1776</v>
      </c>
      <c r="E38" t="s">
        <v>983</v>
      </c>
      <c r="F38" s="180">
        <v>2</v>
      </c>
      <c r="G38" s="46">
        <v>2</v>
      </c>
      <c r="H38" s="180">
        <v>0</v>
      </c>
    </row>
    <row r="39" spans="2:8" x14ac:dyDescent="0.25">
      <c r="C39" t="s">
        <v>225</v>
      </c>
      <c r="D39" t="s">
        <v>944</v>
      </c>
      <c r="E39" t="s">
        <v>946</v>
      </c>
      <c r="F39" s="180">
        <v>1</v>
      </c>
      <c r="G39" s="46">
        <v>1</v>
      </c>
      <c r="H39" s="180">
        <v>0</v>
      </c>
    </row>
    <row r="40" spans="2:8" x14ac:dyDescent="0.25">
      <c r="D40" t="s">
        <v>932</v>
      </c>
      <c r="E40" t="s">
        <v>931</v>
      </c>
      <c r="F40" s="180">
        <v>1</v>
      </c>
      <c r="G40" s="46"/>
      <c r="H40" s="180">
        <v>1</v>
      </c>
    </row>
    <row r="41" spans="2:8" x14ac:dyDescent="0.25">
      <c r="B41" t="s">
        <v>488</v>
      </c>
      <c r="C41" t="s">
        <v>471</v>
      </c>
      <c r="D41" t="s">
        <v>448</v>
      </c>
      <c r="E41" t="s">
        <v>907</v>
      </c>
      <c r="F41" s="180">
        <v>1</v>
      </c>
      <c r="G41" s="46">
        <v>1</v>
      </c>
      <c r="H41" s="180">
        <v>0</v>
      </c>
    </row>
    <row r="42" spans="2:8" x14ac:dyDescent="0.25">
      <c r="B42" t="s">
        <v>491</v>
      </c>
      <c r="C42" t="s">
        <v>492</v>
      </c>
      <c r="D42" t="s">
        <v>448</v>
      </c>
      <c r="E42" t="s">
        <v>907</v>
      </c>
      <c r="F42" s="180">
        <v>1</v>
      </c>
      <c r="G42" s="46">
        <v>1</v>
      </c>
      <c r="H42" s="180">
        <v>0</v>
      </c>
    </row>
    <row r="43" spans="2:8" x14ac:dyDescent="0.25">
      <c r="B43" t="s">
        <v>275</v>
      </c>
      <c r="C43" t="s">
        <v>609</v>
      </c>
      <c r="D43" t="s">
        <v>944</v>
      </c>
      <c r="E43" t="s">
        <v>946</v>
      </c>
      <c r="F43" s="180">
        <v>2</v>
      </c>
      <c r="G43" s="46"/>
      <c r="H43" s="180">
        <v>2</v>
      </c>
    </row>
    <row r="44" spans="2:8" x14ac:dyDescent="0.25">
      <c r="D44" t="s">
        <v>932</v>
      </c>
      <c r="E44" t="s">
        <v>931</v>
      </c>
      <c r="F44" s="180">
        <v>2</v>
      </c>
      <c r="G44" s="46">
        <v>2</v>
      </c>
      <c r="H44" s="180">
        <v>0</v>
      </c>
    </row>
    <row r="45" spans="2:8" x14ac:dyDescent="0.25">
      <c r="C45" t="s">
        <v>700</v>
      </c>
      <c r="D45" t="s">
        <v>944</v>
      </c>
      <c r="E45" t="s">
        <v>946</v>
      </c>
      <c r="F45" s="180">
        <v>1</v>
      </c>
      <c r="G45" s="46">
        <v>1</v>
      </c>
      <c r="H45" s="180">
        <v>0</v>
      </c>
    </row>
    <row r="46" spans="2:8" x14ac:dyDescent="0.25">
      <c r="D46" t="s">
        <v>932</v>
      </c>
      <c r="E46" t="s">
        <v>931</v>
      </c>
      <c r="F46" s="180">
        <v>1</v>
      </c>
      <c r="G46" s="46">
        <v>1</v>
      </c>
      <c r="H46" s="180">
        <v>0</v>
      </c>
    </row>
    <row r="47" spans="2:8" x14ac:dyDescent="0.25">
      <c r="C47" t="s">
        <v>684</v>
      </c>
      <c r="D47" t="s">
        <v>681</v>
      </c>
      <c r="E47" t="s">
        <v>983</v>
      </c>
      <c r="F47" s="180">
        <v>1</v>
      </c>
      <c r="G47" s="46"/>
      <c r="H47" s="180">
        <v>1</v>
      </c>
    </row>
    <row r="48" spans="2:8" x14ac:dyDescent="0.25">
      <c r="C48" t="s">
        <v>462</v>
      </c>
      <c r="D48" t="s">
        <v>448</v>
      </c>
      <c r="E48" t="s">
        <v>907</v>
      </c>
      <c r="F48" s="180">
        <v>1</v>
      </c>
      <c r="G48" s="46">
        <v>1</v>
      </c>
      <c r="H48" s="180">
        <v>0</v>
      </c>
    </row>
    <row r="49" spans="3:8" x14ac:dyDescent="0.25">
      <c r="D49" t="s">
        <v>301</v>
      </c>
      <c r="E49" t="s">
        <v>946</v>
      </c>
      <c r="F49" s="180">
        <v>1</v>
      </c>
      <c r="G49" s="46"/>
      <c r="H49" s="180">
        <v>1</v>
      </c>
    </row>
    <row r="50" spans="3:8" x14ac:dyDescent="0.25">
      <c r="C50" t="s">
        <v>676</v>
      </c>
      <c r="D50" t="s">
        <v>944</v>
      </c>
      <c r="E50" t="s">
        <v>943</v>
      </c>
      <c r="F50" s="180">
        <v>2</v>
      </c>
      <c r="G50" s="46">
        <v>2</v>
      </c>
      <c r="H50" s="180">
        <v>0</v>
      </c>
    </row>
    <row r="51" spans="3:8" x14ac:dyDescent="0.25">
      <c r="D51" t="s">
        <v>932</v>
      </c>
      <c r="E51" t="s">
        <v>931</v>
      </c>
      <c r="F51" s="180">
        <v>2</v>
      </c>
      <c r="G51" s="46">
        <v>2</v>
      </c>
      <c r="H51" s="180">
        <v>0</v>
      </c>
    </row>
    <row r="52" spans="3:8" x14ac:dyDescent="0.25">
      <c r="C52" t="s">
        <v>688</v>
      </c>
      <c r="D52" t="s">
        <v>681</v>
      </c>
      <c r="E52" t="s">
        <v>913</v>
      </c>
      <c r="F52" s="180">
        <v>1</v>
      </c>
      <c r="G52" s="46"/>
      <c r="H52" s="180">
        <v>1</v>
      </c>
    </row>
    <row r="53" spans="3:8" x14ac:dyDescent="0.25">
      <c r="C53" t="s">
        <v>382</v>
      </c>
      <c r="D53" t="s">
        <v>944</v>
      </c>
      <c r="E53" t="s">
        <v>943</v>
      </c>
      <c r="F53" s="180">
        <v>1</v>
      </c>
      <c r="G53" s="46">
        <v>1</v>
      </c>
      <c r="H53" s="180">
        <v>0</v>
      </c>
    </row>
    <row r="54" spans="3:8" x14ac:dyDescent="0.25">
      <c r="D54" t="s">
        <v>932</v>
      </c>
      <c r="E54" t="s">
        <v>931</v>
      </c>
      <c r="F54" s="180">
        <v>1</v>
      </c>
      <c r="G54" s="46">
        <v>1</v>
      </c>
      <c r="H54" s="180">
        <v>0</v>
      </c>
    </row>
    <row r="55" spans="3:8" x14ac:dyDescent="0.25">
      <c r="C55" t="s">
        <v>668</v>
      </c>
      <c r="D55" t="s">
        <v>944</v>
      </c>
      <c r="E55" t="s">
        <v>943</v>
      </c>
      <c r="F55" s="180">
        <v>1</v>
      </c>
      <c r="G55" s="46">
        <v>1</v>
      </c>
      <c r="H55" s="180">
        <v>0</v>
      </c>
    </row>
    <row r="56" spans="3:8" x14ac:dyDescent="0.25">
      <c r="D56" t="s">
        <v>932</v>
      </c>
      <c r="E56" t="s">
        <v>931</v>
      </c>
      <c r="F56" s="180">
        <v>1</v>
      </c>
      <c r="G56" s="46">
        <v>1</v>
      </c>
      <c r="H56" s="180">
        <v>0</v>
      </c>
    </row>
    <row r="57" spans="3:8" x14ac:dyDescent="0.25">
      <c r="C57" t="s">
        <v>670</v>
      </c>
      <c r="D57" t="s">
        <v>944</v>
      </c>
      <c r="E57" t="s">
        <v>943</v>
      </c>
      <c r="F57" s="180">
        <v>2</v>
      </c>
      <c r="G57" s="46">
        <v>2</v>
      </c>
      <c r="H57" s="180">
        <v>0</v>
      </c>
    </row>
    <row r="58" spans="3:8" x14ac:dyDescent="0.25">
      <c r="D58" t="s">
        <v>932</v>
      </c>
      <c r="E58" t="s">
        <v>931</v>
      </c>
      <c r="F58" s="180">
        <v>2</v>
      </c>
      <c r="G58" s="46">
        <v>2</v>
      </c>
      <c r="H58" s="180">
        <v>0</v>
      </c>
    </row>
    <row r="59" spans="3:8" x14ac:dyDescent="0.25">
      <c r="C59" t="s">
        <v>497</v>
      </c>
      <c r="D59" t="s">
        <v>448</v>
      </c>
      <c r="E59" t="s">
        <v>907</v>
      </c>
      <c r="F59" s="180">
        <v>1</v>
      </c>
      <c r="G59" s="46">
        <v>1</v>
      </c>
      <c r="H59" s="180">
        <v>0</v>
      </c>
    </row>
    <row r="60" spans="3:8" x14ac:dyDescent="0.25">
      <c r="C60" t="s">
        <v>734</v>
      </c>
      <c r="D60" t="s">
        <v>944</v>
      </c>
      <c r="E60" t="s">
        <v>946</v>
      </c>
      <c r="F60" s="180">
        <v>18</v>
      </c>
      <c r="G60" s="46"/>
      <c r="H60" s="180">
        <v>18</v>
      </c>
    </row>
    <row r="61" spans="3:8" x14ac:dyDescent="0.25">
      <c r="D61" t="s">
        <v>932</v>
      </c>
      <c r="E61" t="s">
        <v>931</v>
      </c>
      <c r="F61" s="180">
        <v>18</v>
      </c>
      <c r="G61" s="46">
        <v>18</v>
      </c>
      <c r="H61" s="180">
        <v>0</v>
      </c>
    </row>
    <row r="62" spans="3:8" x14ac:dyDescent="0.25">
      <c r="C62" t="s">
        <v>705</v>
      </c>
      <c r="D62" t="s">
        <v>944</v>
      </c>
      <c r="E62" t="s">
        <v>946</v>
      </c>
      <c r="F62" s="180">
        <v>8</v>
      </c>
      <c r="G62" s="46">
        <v>1</v>
      </c>
      <c r="H62" s="180">
        <v>7</v>
      </c>
    </row>
    <row r="63" spans="3:8" x14ac:dyDescent="0.25">
      <c r="D63" t="s">
        <v>932</v>
      </c>
      <c r="E63" t="s">
        <v>931</v>
      </c>
      <c r="F63" s="180">
        <v>8</v>
      </c>
      <c r="G63" s="46">
        <v>8</v>
      </c>
      <c r="H63" s="180">
        <v>0</v>
      </c>
    </row>
    <row r="64" spans="3:8" x14ac:dyDescent="0.25">
      <c r="C64" t="s">
        <v>693</v>
      </c>
      <c r="D64" t="s">
        <v>944</v>
      </c>
      <c r="E64" t="s">
        <v>946</v>
      </c>
      <c r="F64" s="180">
        <v>24</v>
      </c>
      <c r="G64" s="46">
        <v>9</v>
      </c>
      <c r="H64" s="180">
        <v>15</v>
      </c>
    </row>
    <row r="65" spans="3:8" x14ac:dyDescent="0.25">
      <c r="E65" t="s">
        <v>943</v>
      </c>
      <c r="F65" s="180">
        <v>3</v>
      </c>
      <c r="G65" s="46">
        <v>3</v>
      </c>
      <c r="H65" s="180">
        <v>0</v>
      </c>
    </row>
    <row r="66" spans="3:8" x14ac:dyDescent="0.25">
      <c r="D66" t="s">
        <v>932</v>
      </c>
      <c r="E66" t="s">
        <v>931</v>
      </c>
      <c r="F66" s="180">
        <v>27</v>
      </c>
      <c r="G66" s="46">
        <v>6</v>
      </c>
      <c r="H66" s="180">
        <v>21</v>
      </c>
    </row>
    <row r="67" spans="3:8" x14ac:dyDescent="0.25">
      <c r="C67" t="s">
        <v>708</v>
      </c>
      <c r="D67" t="s">
        <v>944</v>
      </c>
      <c r="E67" t="s">
        <v>946</v>
      </c>
      <c r="F67" s="180">
        <v>2</v>
      </c>
      <c r="G67" s="46">
        <v>1</v>
      </c>
      <c r="H67" s="180">
        <v>1</v>
      </c>
    </row>
    <row r="68" spans="3:8" x14ac:dyDescent="0.25">
      <c r="D68" t="s">
        <v>932</v>
      </c>
      <c r="E68" t="s">
        <v>931</v>
      </c>
      <c r="F68" s="180">
        <v>2</v>
      </c>
      <c r="G68" s="46"/>
      <c r="H68" s="180">
        <v>2</v>
      </c>
    </row>
    <row r="69" spans="3:8" x14ac:dyDescent="0.25">
      <c r="C69" t="s">
        <v>722</v>
      </c>
      <c r="D69" t="s">
        <v>944</v>
      </c>
      <c r="E69" t="s">
        <v>946</v>
      </c>
      <c r="F69" s="180">
        <v>2</v>
      </c>
      <c r="G69" s="46"/>
      <c r="H69" s="180">
        <v>2</v>
      </c>
    </row>
    <row r="70" spans="3:8" x14ac:dyDescent="0.25">
      <c r="D70" t="s">
        <v>932</v>
      </c>
      <c r="E70" t="s">
        <v>931</v>
      </c>
      <c r="F70" s="180">
        <v>2</v>
      </c>
      <c r="G70" s="46"/>
      <c r="H70" s="180">
        <v>2</v>
      </c>
    </row>
    <row r="71" spans="3:8" x14ac:dyDescent="0.25">
      <c r="C71" t="s">
        <v>36</v>
      </c>
      <c r="D71" t="s">
        <v>944</v>
      </c>
      <c r="E71" t="s">
        <v>943</v>
      </c>
      <c r="F71" s="180">
        <v>2</v>
      </c>
      <c r="G71" s="46">
        <v>2</v>
      </c>
      <c r="H71" s="180">
        <v>0</v>
      </c>
    </row>
    <row r="72" spans="3:8" x14ac:dyDescent="0.25">
      <c r="D72" t="s">
        <v>932</v>
      </c>
      <c r="E72" t="s">
        <v>931</v>
      </c>
      <c r="F72" s="180">
        <v>2</v>
      </c>
      <c r="G72" s="46"/>
      <c r="H72" s="180">
        <v>2</v>
      </c>
    </row>
    <row r="73" spans="3:8" x14ac:dyDescent="0.25">
      <c r="C73" t="s">
        <v>661</v>
      </c>
      <c r="D73" t="s">
        <v>944</v>
      </c>
      <c r="E73" t="s">
        <v>943</v>
      </c>
      <c r="F73" s="180">
        <v>6</v>
      </c>
      <c r="G73" s="46">
        <v>6</v>
      </c>
      <c r="H73" s="180">
        <v>0</v>
      </c>
    </row>
    <row r="74" spans="3:8" x14ac:dyDescent="0.25">
      <c r="D74" t="s">
        <v>932</v>
      </c>
      <c r="E74" t="s">
        <v>931</v>
      </c>
      <c r="F74" s="180">
        <v>6</v>
      </c>
      <c r="G74" s="46"/>
      <c r="H74" s="180">
        <v>6</v>
      </c>
    </row>
    <row r="75" spans="3:8" x14ac:dyDescent="0.25">
      <c r="C75" t="s">
        <v>276</v>
      </c>
      <c r="D75" t="s">
        <v>981</v>
      </c>
      <c r="E75" t="s">
        <v>980</v>
      </c>
      <c r="F75" s="180">
        <v>4</v>
      </c>
      <c r="G75" s="46"/>
      <c r="H75" s="180">
        <v>4</v>
      </c>
    </row>
    <row r="76" spans="3:8" x14ac:dyDescent="0.25">
      <c r="D76" t="s">
        <v>681</v>
      </c>
      <c r="E76" t="s">
        <v>983</v>
      </c>
      <c r="F76" s="180">
        <v>4</v>
      </c>
      <c r="G76" s="46"/>
      <c r="H76" s="180">
        <v>4</v>
      </c>
    </row>
    <row r="77" spans="3:8" x14ac:dyDescent="0.25">
      <c r="D77" t="s">
        <v>929</v>
      </c>
      <c r="E77" t="s">
        <v>928</v>
      </c>
      <c r="F77" s="180">
        <v>4</v>
      </c>
      <c r="G77" s="46"/>
      <c r="H77" s="180">
        <v>4</v>
      </c>
    </row>
    <row r="78" spans="3:8" x14ac:dyDescent="0.25">
      <c r="D78" t="s">
        <v>944</v>
      </c>
      <c r="E78" t="s">
        <v>946</v>
      </c>
      <c r="F78" s="180">
        <v>4</v>
      </c>
      <c r="G78" s="46"/>
      <c r="H78" s="180">
        <v>4</v>
      </c>
    </row>
    <row r="79" spans="3:8" x14ac:dyDescent="0.25">
      <c r="D79" t="s">
        <v>932</v>
      </c>
      <c r="E79" t="s">
        <v>938</v>
      </c>
      <c r="F79" s="180">
        <v>4</v>
      </c>
      <c r="G79" s="46">
        <v>3</v>
      </c>
      <c r="H79" s="180">
        <v>1</v>
      </c>
    </row>
    <row r="80" spans="3:8" x14ac:dyDescent="0.25">
      <c r="C80" t="s">
        <v>288</v>
      </c>
      <c r="D80" t="s">
        <v>981</v>
      </c>
      <c r="E80" t="s">
        <v>980</v>
      </c>
      <c r="F80" s="180">
        <v>1</v>
      </c>
      <c r="G80" s="46"/>
      <c r="H80" s="180">
        <v>1</v>
      </c>
    </row>
    <row r="81" spans="2:8" x14ac:dyDescent="0.25">
      <c r="D81" t="s">
        <v>681</v>
      </c>
      <c r="E81" t="s">
        <v>983</v>
      </c>
      <c r="F81" s="180">
        <v>1</v>
      </c>
      <c r="G81" s="46"/>
      <c r="H81" s="180">
        <v>1</v>
      </c>
    </row>
    <row r="82" spans="2:8" x14ac:dyDescent="0.25">
      <c r="D82" t="s">
        <v>929</v>
      </c>
      <c r="E82" t="s">
        <v>928</v>
      </c>
      <c r="F82" s="180">
        <v>1</v>
      </c>
      <c r="G82" s="46"/>
      <c r="H82" s="180">
        <v>1</v>
      </c>
    </row>
    <row r="83" spans="2:8" x14ac:dyDescent="0.25">
      <c r="D83" t="s">
        <v>944</v>
      </c>
      <c r="E83" t="s">
        <v>946</v>
      </c>
      <c r="F83" s="180">
        <v>1</v>
      </c>
      <c r="G83" s="46"/>
      <c r="H83" s="180">
        <v>1</v>
      </c>
    </row>
    <row r="84" spans="2:8" x14ac:dyDescent="0.25">
      <c r="D84" t="s">
        <v>932</v>
      </c>
      <c r="E84" t="s">
        <v>938</v>
      </c>
      <c r="F84" s="180">
        <v>1</v>
      </c>
      <c r="G84" s="46"/>
      <c r="H84" s="180">
        <v>1</v>
      </c>
    </row>
    <row r="85" spans="2:8" x14ac:dyDescent="0.25">
      <c r="C85" t="s">
        <v>364</v>
      </c>
      <c r="D85" t="s">
        <v>944</v>
      </c>
      <c r="E85" t="s">
        <v>946</v>
      </c>
      <c r="F85" s="180">
        <v>1</v>
      </c>
      <c r="G85" s="46"/>
      <c r="H85" s="180">
        <v>1</v>
      </c>
    </row>
    <row r="86" spans="2:8" x14ac:dyDescent="0.25">
      <c r="D86" t="s">
        <v>932</v>
      </c>
      <c r="E86" t="s">
        <v>934</v>
      </c>
      <c r="F86" s="180">
        <v>1</v>
      </c>
      <c r="G86" s="46"/>
      <c r="H86" s="180">
        <v>1</v>
      </c>
    </row>
    <row r="87" spans="2:8" x14ac:dyDescent="0.25">
      <c r="C87" t="s">
        <v>645</v>
      </c>
      <c r="D87" t="s">
        <v>654</v>
      </c>
      <c r="E87" t="s">
        <v>903</v>
      </c>
      <c r="F87" s="180">
        <v>11</v>
      </c>
      <c r="G87" s="46"/>
      <c r="H87" s="180">
        <v>11</v>
      </c>
    </row>
    <row r="88" spans="2:8" x14ac:dyDescent="0.25">
      <c r="D88" t="s">
        <v>1031</v>
      </c>
      <c r="E88" t="s">
        <v>960</v>
      </c>
      <c r="F88" s="180">
        <v>5</v>
      </c>
      <c r="G88" s="46"/>
      <c r="H88" s="180">
        <v>5</v>
      </c>
    </row>
    <row r="89" spans="2:8" x14ac:dyDescent="0.25">
      <c r="C89" t="s">
        <v>174</v>
      </c>
      <c r="D89" t="s">
        <v>929</v>
      </c>
      <c r="E89" t="s">
        <v>928</v>
      </c>
      <c r="F89" s="180">
        <v>7</v>
      </c>
      <c r="G89" s="46">
        <v>7</v>
      </c>
      <c r="H89" s="180">
        <v>0</v>
      </c>
    </row>
    <row r="90" spans="2:8" x14ac:dyDescent="0.25">
      <c r="D90" t="s">
        <v>944</v>
      </c>
      <c r="E90" t="s">
        <v>946</v>
      </c>
      <c r="F90" s="180">
        <v>2</v>
      </c>
      <c r="G90" s="46">
        <v>2</v>
      </c>
      <c r="H90" s="180">
        <v>0</v>
      </c>
    </row>
    <row r="91" spans="2:8" x14ac:dyDescent="0.25">
      <c r="C91" t="s">
        <v>672</v>
      </c>
      <c r="D91" t="s">
        <v>944</v>
      </c>
      <c r="E91" t="s">
        <v>943</v>
      </c>
      <c r="F91" s="180">
        <v>6</v>
      </c>
      <c r="G91" s="46">
        <v>6</v>
      </c>
      <c r="H91" s="180">
        <v>0</v>
      </c>
    </row>
    <row r="92" spans="2:8" x14ac:dyDescent="0.25">
      <c r="D92" t="s">
        <v>932</v>
      </c>
      <c r="E92" t="s">
        <v>931</v>
      </c>
      <c r="F92" s="180">
        <v>6</v>
      </c>
      <c r="G92" s="46"/>
      <c r="H92" s="180">
        <v>6</v>
      </c>
    </row>
    <row r="93" spans="2:8" x14ac:dyDescent="0.25">
      <c r="B93" t="s">
        <v>501</v>
      </c>
      <c r="C93" t="s">
        <v>364</v>
      </c>
      <c r="D93" t="s">
        <v>944</v>
      </c>
      <c r="E93" t="s">
        <v>946</v>
      </c>
      <c r="F93" s="180">
        <v>1</v>
      </c>
      <c r="G93" s="46"/>
      <c r="H93" s="180">
        <v>1</v>
      </c>
    </row>
    <row r="94" spans="2:8" x14ac:dyDescent="0.25">
      <c r="D94" t="s">
        <v>932</v>
      </c>
      <c r="E94" t="s">
        <v>934</v>
      </c>
      <c r="F94" s="180">
        <v>1</v>
      </c>
      <c r="G94" s="46"/>
      <c r="H94" s="180">
        <v>1</v>
      </c>
    </row>
    <row r="95" spans="2:8" x14ac:dyDescent="0.25">
      <c r="C95" t="s">
        <v>174</v>
      </c>
      <c r="D95" t="s">
        <v>448</v>
      </c>
      <c r="E95" t="s">
        <v>907</v>
      </c>
      <c r="F95" s="180">
        <v>9</v>
      </c>
      <c r="G95" s="46">
        <v>9</v>
      </c>
      <c r="H95" s="180">
        <v>0</v>
      </c>
    </row>
    <row r="96" spans="2:8" x14ac:dyDescent="0.25">
      <c r="B96" t="s">
        <v>761</v>
      </c>
      <c r="C96" t="s">
        <v>185</v>
      </c>
      <c r="D96" t="s">
        <v>944</v>
      </c>
      <c r="E96" t="s">
        <v>946</v>
      </c>
      <c r="F96" s="180">
        <v>6</v>
      </c>
      <c r="G96" s="46"/>
      <c r="H96" s="180">
        <v>6</v>
      </c>
    </row>
    <row r="97" spans="2:8" x14ac:dyDescent="0.25">
      <c r="D97" t="s">
        <v>932</v>
      </c>
      <c r="E97" t="s">
        <v>931</v>
      </c>
      <c r="F97" s="180">
        <v>6</v>
      </c>
      <c r="G97" s="46">
        <v>0</v>
      </c>
      <c r="H97" s="180">
        <v>6</v>
      </c>
    </row>
    <row r="98" spans="2:8" x14ac:dyDescent="0.25">
      <c r="B98" t="s">
        <v>299</v>
      </c>
      <c r="C98" t="s">
        <v>305</v>
      </c>
      <c r="D98" t="s">
        <v>981</v>
      </c>
      <c r="E98" t="s">
        <v>980</v>
      </c>
      <c r="F98" s="180">
        <v>12</v>
      </c>
      <c r="G98" s="46">
        <v>10</v>
      </c>
      <c r="H98" s="180">
        <v>2</v>
      </c>
    </row>
    <row r="99" spans="2:8" x14ac:dyDescent="0.25">
      <c r="D99" t="s">
        <v>1092</v>
      </c>
      <c r="E99" t="s">
        <v>925</v>
      </c>
      <c r="F99" s="180">
        <v>12</v>
      </c>
      <c r="G99" s="46">
        <v>7</v>
      </c>
      <c r="H99" s="180">
        <v>5</v>
      </c>
    </row>
    <row r="100" spans="2:8" x14ac:dyDescent="0.25">
      <c r="D100" t="s">
        <v>1108</v>
      </c>
      <c r="E100" t="s">
        <v>922</v>
      </c>
      <c r="F100" s="180">
        <v>12</v>
      </c>
      <c r="G100" s="46">
        <v>6</v>
      </c>
      <c r="H100" s="180">
        <v>6</v>
      </c>
    </row>
    <row r="101" spans="2:8" x14ac:dyDescent="0.25">
      <c r="D101" t="s">
        <v>929</v>
      </c>
      <c r="E101" t="s">
        <v>928</v>
      </c>
      <c r="F101" s="180">
        <v>12</v>
      </c>
      <c r="G101" s="46">
        <v>12</v>
      </c>
      <c r="H101" s="180">
        <v>0</v>
      </c>
    </row>
    <row r="102" spans="2:8" x14ac:dyDescent="0.25">
      <c r="D102" t="s">
        <v>944</v>
      </c>
      <c r="E102" t="s">
        <v>946</v>
      </c>
      <c r="F102" s="180">
        <v>12</v>
      </c>
      <c r="G102" s="46">
        <v>12</v>
      </c>
      <c r="H102" s="180">
        <v>0</v>
      </c>
    </row>
    <row r="103" spans="2:8" x14ac:dyDescent="0.25">
      <c r="D103" t="s">
        <v>932</v>
      </c>
      <c r="E103" t="s">
        <v>938</v>
      </c>
      <c r="F103" s="180">
        <v>12</v>
      </c>
      <c r="G103" s="46">
        <v>10</v>
      </c>
      <c r="H103" s="180">
        <v>2</v>
      </c>
    </row>
    <row r="104" spans="2:8" x14ac:dyDescent="0.25">
      <c r="C104" t="s">
        <v>333</v>
      </c>
      <c r="D104" t="s">
        <v>981</v>
      </c>
      <c r="E104" t="s">
        <v>980</v>
      </c>
      <c r="F104" s="180">
        <v>4</v>
      </c>
      <c r="G104" s="46">
        <v>2</v>
      </c>
      <c r="H104" s="180">
        <v>2</v>
      </c>
    </row>
    <row r="105" spans="2:8" x14ac:dyDescent="0.25">
      <c r="D105" t="s">
        <v>1092</v>
      </c>
      <c r="E105" t="s">
        <v>925</v>
      </c>
      <c r="F105" s="180">
        <v>4</v>
      </c>
      <c r="G105" s="46">
        <v>2</v>
      </c>
      <c r="H105" s="180">
        <v>2</v>
      </c>
    </row>
    <row r="106" spans="2:8" x14ac:dyDescent="0.25">
      <c r="D106" t="s">
        <v>1108</v>
      </c>
      <c r="E106" t="s">
        <v>922</v>
      </c>
      <c r="F106" s="180">
        <v>4</v>
      </c>
      <c r="G106" s="46">
        <v>2</v>
      </c>
      <c r="H106" s="180">
        <v>2</v>
      </c>
    </row>
    <row r="107" spans="2:8" x14ac:dyDescent="0.25">
      <c r="D107" t="s">
        <v>929</v>
      </c>
      <c r="E107" t="s">
        <v>928</v>
      </c>
      <c r="F107" s="180">
        <v>4</v>
      </c>
      <c r="G107" s="46">
        <v>4</v>
      </c>
      <c r="H107" s="180">
        <v>0</v>
      </c>
    </row>
    <row r="108" spans="2:8" x14ac:dyDescent="0.25">
      <c r="D108" t="s">
        <v>944</v>
      </c>
      <c r="E108" t="s">
        <v>946</v>
      </c>
      <c r="F108" s="180">
        <v>4</v>
      </c>
      <c r="G108" s="46">
        <v>4</v>
      </c>
      <c r="H108" s="180">
        <v>0</v>
      </c>
    </row>
    <row r="109" spans="2:8" x14ac:dyDescent="0.25">
      <c r="D109" t="s">
        <v>932</v>
      </c>
      <c r="E109" t="s">
        <v>938</v>
      </c>
      <c r="F109" s="180">
        <v>4</v>
      </c>
      <c r="G109" s="46">
        <v>4</v>
      </c>
      <c r="H109" s="180">
        <v>0</v>
      </c>
    </row>
    <row r="110" spans="2:8" x14ac:dyDescent="0.25">
      <c r="C110" t="s">
        <v>324</v>
      </c>
      <c r="D110" t="s">
        <v>981</v>
      </c>
      <c r="E110" t="s">
        <v>980</v>
      </c>
      <c r="F110" s="180">
        <v>2</v>
      </c>
      <c r="G110" s="46">
        <v>2</v>
      </c>
      <c r="H110" s="180">
        <v>0</v>
      </c>
    </row>
    <row r="111" spans="2:8" x14ac:dyDescent="0.25">
      <c r="D111" t="s">
        <v>1092</v>
      </c>
      <c r="E111" t="s">
        <v>925</v>
      </c>
      <c r="F111" s="180">
        <v>2</v>
      </c>
      <c r="G111" s="46">
        <v>1</v>
      </c>
      <c r="H111" s="180">
        <v>1</v>
      </c>
    </row>
    <row r="112" spans="2:8" x14ac:dyDescent="0.25">
      <c r="D112" t="s">
        <v>1108</v>
      </c>
      <c r="E112" t="s">
        <v>922</v>
      </c>
      <c r="F112" s="180">
        <v>2</v>
      </c>
      <c r="G112" s="46">
        <v>1</v>
      </c>
      <c r="H112" s="180">
        <v>1</v>
      </c>
    </row>
    <row r="113" spans="3:8" x14ac:dyDescent="0.25">
      <c r="D113" t="s">
        <v>929</v>
      </c>
      <c r="E113" t="s">
        <v>928</v>
      </c>
      <c r="F113" s="180">
        <v>2</v>
      </c>
      <c r="G113" s="46">
        <v>2</v>
      </c>
      <c r="H113" s="180">
        <v>0</v>
      </c>
    </row>
    <row r="114" spans="3:8" x14ac:dyDescent="0.25">
      <c r="D114" t="s">
        <v>944</v>
      </c>
      <c r="E114" t="s">
        <v>946</v>
      </c>
      <c r="F114" s="180">
        <v>2</v>
      </c>
      <c r="G114" s="46">
        <v>2</v>
      </c>
      <c r="H114" s="180">
        <v>0</v>
      </c>
    </row>
    <row r="115" spans="3:8" x14ac:dyDescent="0.25">
      <c r="D115" t="s">
        <v>932</v>
      </c>
      <c r="E115" t="s">
        <v>938</v>
      </c>
      <c r="F115" s="180">
        <v>2</v>
      </c>
      <c r="G115" s="46">
        <v>2</v>
      </c>
      <c r="H115" s="180">
        <v>0</v>
      </c>
    </row>
    <row r="116" spans="3:8" x14ac:dyDescent="0.25">
      <c r="C116" t="s">
        <v>640</v>
      </c>
      <c r="D116" t="s">
        <v>654</v>
      </c>
      <c r="E116" t="s">
        <v>983</v>
      </c>
      <c r="F116" s="180">
        <v>2</v>
      </c>
      <c r="G116" s="46"/>
      <c r="H116" s="180">
        <v>2</v>
      </c>
    </row>
    <row r="117" spans="3:8" x14ac:dyDescent="0.25">
      <c r="D117" t="s">
        <v>1061</v>
      </c>
      <c r="E117" t="s">
        <v>957</v>
      </c>
      <c r="F117" s="180">
        <v>2</v>
      </c>
      <c r="G117" s="46"/>
      <c r="H117" s="180">
        <v>2</v>
      </c>
    </row>
    <row r="118" spans="3:8" x14ac:dyDescent="0.25">
      <c r="C118" t="s">
        <v>313</v>
      </c>
      <c r="D118" t="s">
        <v>981</v>
      </c>
      <c r="E118" t="s">
        <v>980</v>
      </c>
      <c r="F118" s="180">
        <v>4</v>
      </c>
      <c r="G118" s="46">
        <v>4</v>
      </c>
      <c r="H118" s="180">
        <v>0</v>
      </c>
    </row>
    <row r="119" spans="3:8" x14ac:dyDescent="0.25">
      <c r="D119" t="s">
        <v>1092</v>
      </c>
      <c r="E119" t="s">
        <v>925</v>
      </c>
      <c r="F119" s="180">
        <v>4</v>
      </c>
      <c r="G119" s="46">
        <v>4</v>
      </c>
      <c r="H119" s="180">
        <v>0</v>
      </c>
    </row>
    <row r="120" spans="3:8" x14ac:dyDescent="0.25">
      <c r="D120" t="s">
        <v>1108</v>
      </c>
      <c r="E120" t="s">
        <v>922</v>
      </c>
      <c r="F120" s="180">
        <v>4</v>
      </c>
      <c r="G120" s="46">
        <v>4</v>
      </c>
      <c r="H120" s="180">
        <v>0</v>
      </c>
    </row>
    <row r="121" spans="3:8" x14ac:dyDescent="0.25">
      <c r="D121" t="s">
        <v>929</v>
      </c>
      <c r="E121" t="s">
        <v>928</v>
      </c>
      <c r="F121" s="180">
        <v>4</v>
      </c>
      <c r="G121" s="46">
        <v>4</v>
      </c>
      <c r="H121" s="180">
        <v>0</v>
      </c>
    </row>
    <row r="122" spans="3:8" x14ac:dyDescent="0.25">
      <c r="D122" t="s">
        <v>944</v>
      </c>
      <c r="E122" t="s">
        <v>946</v>
      </c>
      <c r="F122" s="180">
        <v>4</v>
      </c>
      <c r="G122" s="46">
        <v>4</v>
      </c>
      <c r="H122" s="180">
        <v>0</v>
      </c>
    </row>
    <row r="123" spans="3:8" x14ac:dyDescent="0.25">
      <c r="D123" t="s">
        <v>932</v>
      </c>
      <c r="E123" t="s">
        <v>938</v>
      </c>
      <c r="F123" s="180">
        <v>4</v>
      </c>
      <c r="G123" s="46">
        <v>4</v>
      </c>
      <c r="H123" s="180">
        <v>0</v>
      </c>
    </row>
    <row r="124" spans="3:8" x14ac:dyDescent="0.25">
      <c r="C124" t="s">
        <v>645</v>
      </c>
      <c r="D124" t="s">
        <v>654</v>
      </c>
      <c r="E124" t="s">
        <v>903</v>
      </c>
      <c r="F124" s="180">
        <v>2</v>
      </c>
      <c r="G124" s="46"/>
      <c r="H124" s="180">
        <v>2</v>
      </c>
    </row>
    <row r="125" spans="3:8" x14ac:dyDescent="0.25">
      <c r="D125" t="s">
        <v>1031</v>
      </c>
      <c r="E125" t="s">
        <v>960</v>
      </c>
      <c r="F125" s="180">
        <v>2</v>
      </c>
      <c r="G125" s="46"/>
      <c r="H125" s="180">
        <v>2</v>
      </c>
    </row>
    <row r="126" spans="3:8" x14ac:dyDescent="0.25">
      <c r="C126" t="s">
        <v>174</v>
      </c>
      <c r="D126" t="s">
        <v>301</v>
      </c>
      <c r="E126" t="s">
        <v>946</v>
      </c>
      <c r="F126" s="180">
        <v>4</v>
      </c>
      <c r="G126" s="46">
        <v>4</v>
      </c>
      <c r="H126" s="180">
        <v>0</v>
      </c>
    </row>
    <row r="127" spans="3:8" x14ac:dyDescent="0.25">
      <c r="D127" t="s">
        <v>772</v>
      </c>
      <c r="E127" t="s">
        <v>1167</v>
      </c>
      <c r="F127" s="180">
        <v>1</v>
      </c>
      <c r="G127" s="46"/>
      <c r="H127" s="180">
        <v>1</v>
      </c>
    </row>
    <row r="128" spans="3:8" x14ac:dyDescent="0.25">
      <c r="D128" t="s">
        <v>1122</v>
      </c>
      <c r="E128" t="s">
        <v>970</v>
      </c>
      <c r="F128" s="180">
        <v>7</v>
      </c>
      <c r="G128" s="46">
        <v>0</v>
      </c>
      <c r="H128" s="180">
        <v>0</v>
      </c>
    </row>
    <row r="129" spans="2:8" x14ac:dyDescent="0.25">
      <c r="B129" t="s">
        <v>517</v>
      </c>
      <c r="C129" t="s">
        <v>518</v>
      </c>
      <c r="D129" t="s">
        <v>448</v>
      </c>
      <c r="E129" t="s">
        <v>907</v>
      </c>
      <c r="F129" s="180">
        <v>3</v>
      </c>
      <c r="G129" s="46">
        <v>3</v>
      </c>
      <c r="H129" s="180">
        <v>0</v>
      </c>
    </row>
    <row r="130" spans="2:8" x14ac:dyDescent="0.25">
      <c r="C130" t="s">
        <v>471</v>
      </c>
      <c r="D130" t="s">
        <v>448</v>
      </c>
      <c r="E130" t="s">
        <v>907</v>
      </c>
      <c r="F130" s="180">
        <v>1</v>
      </c>
      <c r="G130" s="46">
        <v>1</v>
      </c>
      <c r="H130" s="180">
        <v>0</v>
      </c>
    </row>
    <row r="131" spans="2:8" x14ac:dyDescent="0.25">
      <c r="B131" t="s">
        <v>363</v>
      </c>
      <c r="C131" t="s">
        <v>364</v>
      </c>
      <c r="D131" t="s">
        <v>944</v>
      </c>
      <c r="E131" t="s">
        <v>946</v>
      </c>
      <c r="F131" s="180">
        <v>1</v>
      </c>
      <c r="G131" s="46"/>
      <c r="H131" s="180">
        <v>1</v>
      </c>
    </row>
    <row r="132" spans="2:8" x14ac:dyDescent="0.25">
      <c r="D132" t="s">
        <v>932</v>
      </c>
      <c r="E132" t="s">
        <v>934</v>
      </c>
      <c r="F132" s="180">
        <v>1</v>
      </c>
      <c r="G132" s="46">
        <v>1</v>
      </c>
      <c r="H132" s="180">
        <v>0</v>
      </c>
    </row>
    <row r="133" spans="2:8" x14ac:dyDescent="0.25">
      <c r="B133" t="s">
        <v>528</v>
      </c>
      <c r="C133" t="s">
        <v>594</v>
      </c>
      <c r="D133" t="s">
        <v>944</v>
      </c>
      <c r="E133" t="s">
        <v>946</v>
      </c>
      <c r="F133" s="180">
        <v>1</v>
      </c>
      <c r="G133" s="46"/>
      <c r="H133" s="180">
        <v>1</v>
      </c>
    </row>
    <row r="134" spans="2:8" x14ac:dyDescent="0.25">
      <c r="D134" t="s">
        <v>932</v>
      </c>
      <c r="E134" t="s">
        <v>931</v>
      </c>
      <c r="F134" s="180">
        <v>1</v>
      </c>
      <c r="G134" s="46"/>
      <c r="H134" s="180">
        <v>1</v>
      </c>
    </row>
    <row r="135" spans="2:8" x14ac:dyDescent="0.25">
      <c r="C135" t="s">
        <v>471</v>
      </c>
      <c r="D135" t="s">
        <v>448</v>
      </c>
      <c r="E135" t="s">
        <v>907</v>
      </c>
      <c r="F135" s="180">
        <v>2</v>
      </c>
      <c r="G135" s="46">
        <v>2</v>
      </c>
      <c r="H135" s="180">
        <v>0</v>
      </c>
    </row>
    <row r="136" spans="2:8" x14ac:dyDescent="0.25">
      <c r="D136" t="s">
        <v>944</v>
      </c>
      <c r="E136" t="s">
        <v>946</v>
      </c>
      <c r="F136" s="180">
        <v>1</v>
      </c>
      <c r="G136" s="46"/>
      <c r="H136" s="180">
        <v>1</v>
      </c>
    </row>
    <row r="137" spans="2:8" x14ac:dyDescent="0.25">
      <c r="D137" t="s">
        <v>932</v>
      </c>
      <c r="E137" t="s">
        <v>934</v>
      </c>
      <c r="F137" s="180">
        <v>1</v>
      </c>
      <c r="G137" s="46"/>
      <c r="H137" s="180">
        <v>1</v>
      </c>
    </row>
    <row r="138" spans="2:8" x14ac:dyDescent="0.25">
      <c r="B138" t="s">
        <v>368</v>
      </c>
      <c r="C138" t="s">
        <v>410</v>
      </c>
      <c r="D138" t="s">
        <v>944</v>
      </c>
      <c r="E138" t="s">
        <v>946</v>
      </c>
      <c r="F138" s="180">
        <v>1</v>
      </c>
      <c r="G138" s="46"/>
      <c r="H138" s="180">
        <v>1</v>
      </c>
    </row>
    <row r="139" spans="2:8" x14ac:dyDescent="0.25">
      <c r="D139" t="s">
        <v>932</v>
      </c>
      <c r="E139" t="s">
        <v>934</v>
      </c>
      <c r="F139" s="180">
        <v>1</v>
      </c>
      <c r="G139" s="46"/>
      <c r="H139" s="180">
        <v>1</v>
      </c>
    </row>
    <row r="140" spans="2:8" x14ac:dyDescent="0.25">
      <c r="C140" t="s">
        <v>787</v>
      </c>
      <c r="D140" t="s">
        <v>681</v>
      </c>
      <c r="E140" t="s">
        <v>913</v>
      </c>
      <c r="F140" s="180">
        <v>1</v>
      </c>
      <c r="G140" s="46"/>
      <c r="H140" s="180">
        <v>1</v>
      </c>
    </row>
    <row r="141" spans="2:8" x14ac:dyDescent="0.25">
      <c r="C141" t="s">
        <v>382</v>
      </c>
      <c r="D141" t="s">
        <v>944</v>
      </c>
      <c r="E141" t="s">
        <v>946</v>
      </c>
      <c r="F141" s="180">
        <v>2</v>
      </c>
      <c r="G141" s="46"/>
      <c r="H141" s="180">
        <v>2</v>
      </c>
    </row>
    <row r="142" spans="2:8" x14ac:dyDescent="0.25">
      <c r="D142" t="s">
        <v>932</v>
      </c>
      <c r="E142" t="s">
        <v>934</v>
      </c>
      <c r="F142" s="180">
        <v>2</v>
      </c>
      <c r="G142" s="46"/>
      <c r="H142" s="180">
        <v>2</v>
      </c>
    </row>
    <row r="143" spans="2:8" x14ac:dyDescent="0.25">
      <c r="C143" t="s">
        <v>387</v>
      </c>
      <c r="D143" t="s">
        <v>944</v>
      </c>
      <c r="E143" t="s">
        <v>946</v>
      </c>
      <c r="F143" s="180">
        <v>1</v>
      </c>
      <c r="G143" s="46"/>
      <c r="H143" s="180">
        <v>1</v>
      </c>
    </row>
    <row r="144" spans="2:8" x14ac:dyDescent="0.25">
      <c r="D144" t="s">
        <v>932</v>
      </c>
      <c r="E144" t="s">
        <v>934</v>
      </c>
      <c r="F144" s="180">
        <v>1</v>
      </c>
      <c r="G144" s="46"/>
      <c r="H144" s="180">
        <v>1</v>
      </c>
    </row>
    <row r="145" spans="3:8" x14ac:dyDescent="0.25">
      <c r="C145" t="s">
        <v>789</v>
      </c>
      <c r="D145" t="s">
        <v>681</v>
      </c>
      <c r="E145" t="s">
        <v>913</v>
      </c>
      <c r="F145" s="180">
        <v>2</v>
      </c>
      <c r="G145" s="46"/>
      <c r="H145" s="180">
        <v>2</v>
      </c>
    </row>
    <row r="146" spans="3:8" x14ac:dyDescent="0.25">
      <c r="C146" t="s">
        <v>390</v>
      </c>
      <c r="D146" t="s">
        <v>944</v>
      </c>
      <c r="E146" t="s">
        <v>946</v>
      </c>
      <c r="F146" s="180">
        <v>1</v>
      </c>
      <c r="G146" s="46"/>
      <c r="H146" s="180">
        <v>1</v>
      </c>
    </row>
    <row r="147" spans="3:8" x14ac:dyDescent="0.25">
      <c r="D147" t="s">
        <v>932</v>
      </c>
      <c r="E147" t="s">
        <v>934</v>
      </c>
      <c r="F147" s="180">
        <v>1</v>
      </c>
      <c r="G147" s="46"/>
      <c r="H147" s="180">
        <v>1</v>
      </c>
    </row>
    <row r="148" spans="3:8" x14ac:dyDescent="0.25">
      <c r="C148" t="s">
        <v>792</v>
      </c>
      <c r="D148" t="s">
        <v>681</v>
      </c>
      <c r="E148" t="s">
        <v>1167</v>
      </c>
      <c r="F148" s="180">
        <v>3</v>
      </c>
      <c r="G148" s="46"/>
      <c r="H148" s="180">
        <v>3</v>
      </c>
    </row>
    <row r="149" spans="3:8" x14ac:dyDescent="0.25">
      <c r="C149" t="s">
        <v>779</v>
      </c>
      <c r="D149" t="s">
        <v>772</v>
      </c>
      <c r="E149" t="s">
        <v>1167</v>
      </c>
      <c r="F149" s="180">
        <v>3</v>
      </c>
      <c r="G149" s="46"/>
      <c r="H149" s="180">
        <v>3</v>
      </c>
    </row>
    <row r="150" spans="3:8" x14ac:dyDescent="0.25">
      <c r="C150" t="s">
        <v>36</v>
      </c>
      <c r="D150" t="s">
        <v>944</v>
      </c>
      <c r="E150" t="s">
        <v>946</v>
      </c>
      <c r="F150" s="180">
        <v>1</v>
      </c>
      <c r="G150" s="46"/>
      <c r="H150" s="180">
        <v>1</v>
      </c>
    </row>
    <row r="151" spans="3:8" x14ac:dyDescent="0.25">
      <c r="D151" t="s">
        <v>932</v>
      </c>
      <c r="E151" t="s">
        <v>934</v>
      </c>
      <c r="F151" s="180">
        <v>1</v>
      </c>
      <c r="G151" s="46"/>
      <c r="H151" s="180">
        <v>1</v>
      </c>
    </row>
    <row r="152" spans="3:8" x14ac:dyDescent="0.25">
      <c r="C152" t="s">
        <v>537</v>
      </c>
      <c r="D152" t="s">
        <v>448</v>
      </c>
      <c r="E152" t="s">
        <v>907</v>
      </c>
      <c r="F152" s="180">
        <v>14</v>
      </c>
      <c r="G152" s="46">
        <v>14</v>
      </c>
      <c r="H152" s="180">
        <v>0</v>
      </c>
    </row>
    <row r="153" spans="3:8" x14ac:dyDescent="0.25">
      <c r="C153" t="s">
        <v>568</v>
      </c>
      <c r="D153" t="s">
        <v>448</v>
      </c>
      <c r="E153" t="s">
        <v>907</v>
      </c>
      <c r="F153" s="180">
        <v>1</v>
      </c>
      <c r="G153" s="46">
        <v>1</v>
      </c>
      <c r="H153" s="180">
        <v>0</v>
      </c>
    </row>
    <row r="154" spans="3:8" x14ac:dyDescent="0.25">
      <c r="C154" t="s">
        <v>571</v>
      </c>
      <c r="D154" t="s">
        <v>448</v>
      </c>
      <c r="E154" t="s">
        <v>907</v>
      </c>
      <c r="F154" s="180">
        <v>1</v>
      </c>
      <c r="G154" s="46">
        <v>1</v>
      </c>
      <c r="H154" s="180">
        <v>0</v>
      </c>
    </row>
    <row r="155" spans="3:8" x14ac:dyDescent="0.25">
      <c r="C155" t="s">
        <v>371</v>
      </c>
      <c r="D155" t="s">
        <v>944</v>
      </c>
      <c r="E155" t="s">
        <v>946</v>
      </c>
      <c r="F155" s="180">
        <v>1</v>
      </c>
      <c r="G155" s="46"/>
      <c r="H155" s="180">
        <v>1</v>
      </c>
    </row>
    <row r="156" spans="3:8" x14ac:dyDescent="0.25">
      <c r="D156" t="s">
        <v>932</v>
      </c>
      <c r="E156" t="s">
        <v>934</v>
      </c>
      <c r="F156" s="180">
        <v>1</v>
      </c>
      <c r="G156" s="46">
        <v>1</v>
      </c>
      <c r="H156" s="180">
        <v>0</v>
      </c>
    </row>
    <row r="157" spans="3:8" x14ac:dyDescent="0.25">
      <c r="C157" t="s">
        <v>575</v>
      </c>
      <c r="D157" t="s">
        <v>448</v>
      </c>
      <c r="E157" t="s">
        <v>907</v>
      </c>
      <c r="F157" s="180">
        <v>1</v>
      </c>
      <c r="G157" s="46">
        <v>1</v>
      </c>
      <c r="H157" s="180">
        <v>0</v>
      </c>
    </row>
    <row r="158" spans="3:8" x14ac:dyDescent="0.25">
      <c r="C158" t="s">
        <v>578</v>
      </c>
      <c r="D158" t="s">
        <v>448</v>
      </c>
      <c r="E158" t="s">
        <v>907</v>
      </c>
      <c r="F158" s="180">
        <v>1</v>
      </c>
      <c r="G158" s="46">
        <v>1</v>
      </c>
      <c r="H158" s="180">
        <v>0</v>
      </c>
    </row>
    <row r="159" spans="3:8" x14ac:dyDescent="0.25">
      <c r="C159" t="s">
        <v>405</v>
      </c>
      <c r="D159" t="s">
        <v>944</v>
      </c>
      <c r="E159" t="s">
        <v>946</v>
      </c>
      <c r="F159" s="180">
        <v>1</v>
      </c>
      <c r="G159" s="46"/>
      <c r="H159" s="180">
        <v>1</v>
      </c>
    </row>
    <row r="160" spans="3:8" x14ac:dyDescent="0.25">
      <c r="D160" t="s">
        <v>932</v>
      </c>
      <c r="E160" t="s">
        <v>934</v>
      </c>
      <c r="F160" s="180">
        <v>1</v>
      </c>
      <c r="G160" s="46"/>
      <c r="H160" s="180">
        <v>1</v>
      </c>
    </row>
    <row r="161" spans="2:8" x14ac:dyDescent="0.25">
      <c r="C161" t="s">
        <v>401</v>
      </c>
      <c r="D161" t="s">
        <v>944</v>
      </c>
      <c r="E161" t="s">
        <v>946</v>
      </c>
      <c r="F161" s="180">
        <v>1</v>
      </c>
      <c r="G161" s="46"/>
      <c r="H161" s="180">
        <v>1</v>
      </c>
    </row>
    <row r="162" spans="2:8" x14ac:dyDescent="0.25">
      <c r="D162" t="s">
        <v>932</v>
      </c>
      <c r="E162" t="s">
        <v>934</v>
      </c>
      <c r="F162" s="180">
        <v>1</v>
      </c>
      <c r="G162" s="46"/>
      <c r="H162" s="180">
        <v>1</v>
      </c>
    </row>
    <row r="163" spans="2:8" x14ac:dyDescent="0.25">
      <c r="C163" t="s">
        <v>783</v>
      </c>
      <c r="D163" t="s">
        <v>681</v>
      </c>
      <c r="E163" t="s">
        <v>913</v>
      </c>
      <c r="F163" s="180">
        <v>2</v>
      </c>
      <c r="G163" s="46"/>
      <c r="H163" s="180">
        <v>2</v>
      </c>
    </row>
    <row r="164" spans="2:8" x14ac:dyDescent="0.25">
      <c r="C164" t="s">
        <v>785</v>
      </c>
      <c r="D164" t="s">
        <v>681</v>
      </c>
      <c r="E164" t="s">
        <v>913</v>
      </c>
      <c r="F164" s="180">
        <v>1</v>
      </c>
      <c r="G164" s="46"/>
      <c r="H164" s="180">
        <v>1</v>
      </c>
    </row>
    <row r="165" spans="2:8" x14ac:dyDescent="0.25">
      <c r="C165" t="s">
        <v>374</v>
      </c>
      <c r="D165" t="s">
        <v>944</v>
      </c>
      <c r="E165" t="s">
        <v>946</v>
      </c>
      <c r="F165" s="180">
        <v>2</v>
      </c>
      <c r="G165" s="46"/>
      <c r="H165" s="180">
        <v>2</v>
      </c>
    </row>
    <row r="166" spans="2:8" x14ac:dyDescent="0.25">
      <c r="D166" t="s">
        <v>932</v>
      </c>
      <c r="E166" t="s">
        <v>934</v>
      </c>
      <c r="F166" s="180">
        <v>2</v>
      </c>
      <c r="G166" s="46">
        <v>2</v>
      </c>
      <c r="H166" s="180">
        <v>0</v>
      </c>
    </row>
    <row r="167" spans="2:8" x14ac:dyDescent="0.25">
      <c r="C167" t="s">
        <v>379</v>
      </c>
      <c r="D167" t="s">
        <v>944</v>
      </c>
      <c r="E167" t="s">
        <v>946</v>
      </c>
      <c r="F167" s="180">
        <v>1</v>
      </c>
      <c r="G167" s="46"/>
      <c r="H167" s="180">
        <v>1</v>
      </c>
    </row>
    <row r="168" spans="2:8" x14ac:dyDescent="0.25">
      <c r="D168" t="s">
        <v>932</v>
      </c>
      <c r="E168" t="s">
        <v>934</v>
      </c>
      <c r="F168" s="180">
        <v>1</v>
      </c>
      <c r="G168" s="46"/>
      <c r="H168" s="180">
        <v>1</v>
      </c>
    </row>
    <row r="169" spans="2:8" x14ac:dyDescent="0.25">
      <c r="C169" t="s">
        <v>397</v>
      </c>
      <c r="D169" t="s">
        <v>944</v>
      </c>
      <c r="E169" t="s">
        <v>946</v>
      </c>
      <c r="F169" s="180">
        <v>1</v>
      </c>
      <c r="G169" s="46"/>
      <c r="H169" s="180">
        <v>1</v>
      </c>
    </row>
    <row r="170" spans="2:8" x14ac:dyDescent="0.25">
      <c r="D170" t="s">
        <v>932</v>
      </c>
      <c r="E170" t="s">
        <v>934</v>
      </c>
      <c r="F170" s="180">
        <v>1</v>
      </c>
      <c r="G170" s="46"/>
      <c r="H170" s="180">
        <v>1</v>
      </c>
    </row>
    <row r="171" spans="2:8" x14ac:dyDescent="0.25">
      <c r="C171" t="s">
        <v>393</v>
      </c>
      <c r="D171" t="s">
        <v>944</v>
      </c>
      <c r="E171" t="s">
        <v>946</v>
      </c>
      <c r="F171" s="180">
        <v>1</v>
      </c>
      <c r="G171" s="46"/>
      <c r="H171" s="180">
        <v>1</v>
      </c>
    </row>
    <row r="172" spans="2:8" x14ac:dyDescent="0.25">
      <c r="D172" t="s">
        <v>932</v>
      </c>
      <c r="E172" t="s">
        <v>934</v>
      </c>
      <c r="F172" s="180">
        <v>1</v>
      </c>
      <c r="G172" s="46"/>
      <c r="H172" s="180">
        <v>1</v>
      </c>
    </row>
    <row r="173" spans="2:8" x14ac:dyDescent="0.25">
      <c r="C173" t="s">
        <v>533</v>
      </c>
      <c r="D173" t="s">
        <v>448</v>
      </c>
      <c r="E173" t="s">
        <v>907</v>
      </c>
      <c r="F173" s="180">
        <v>6</v>
      </c>
      <c r="G173" s="46">
        <v>6</v>
      </c>
      <c r="H173" s="180">
        <v>0</v>
      </c>
    </row>
    <row r="174" spans="2:8" x14ac:dyDescent="0.25">
      <c r="B174" t="s">
        <v>591</v>
      </c>
      <c r="C174" t="s">
        <v>594</v>
      </c>
      <c r="D174" t="s">
        <v>448</v>
      </c>
      <c r="E174" t="s">
        <v>907</v>
      </c>
      <c r="F174" s="180">
        <v>7</v>
      </c>
      <c r="G174" s="46">
        <v>7</v>
      </c>
      <c r="H174" s="180">
        <v>0</v>
      </c>
    </row>
    <row r="175" spans="2:8" x14ac:dyDescent="0.25">
      <c r="C175" t="s">
        <v>609</v>
      </c>
      <c r="D175" t="s">
        <v>448</v>
      </c>
      <c r="E175" t="s">
        <v>907</v>
      </c>
      <c r="F175" s="180">
        <v>2</v>
      </c>
      <c r="G175" s="46">
        <v>2</v>
      </c>
      <c r="H175" s="180">
        <v>0</v>
      </c>
    </row>
    <row r="176" spans="2:8" x14ac:dyDescent="0.25">
      <c r="C176" t="s">
        <v>471</v>
      </c>
      <c r="D176" t="s">
        <v>448</v>
      </c>
      <c r="E176" t="s">
        <v>907</v>
      </c>
      <c r="F176" s="180">
        <v>1</v>
      </c>
      <c r="G176" s="46">
        <v>1</v>
      </c>
      <c r="H176" s="180">
        <v>0</v>
      </c>
    </row>
    <row r="177" spans="2:8" x14ac:dyDescent="0.25">
      <c r="B177" t="s">
        <v>35</v>
      </c>
      <c r="C177" t="s">
        <v>609</v>
      </c>
      <c r="D177" t="s">
        <v>944</v>
      </c>
      <c r="E177" t="s">
        <v>946</v>
      </c>
      <c r="F177" s="180">
        <v>2</v>
      </c>
      <c r="G177" s="46"/>
      <c r="H177" s="180">
        <v>2</v>
      </c>
    </row>
    <row r="178" spans="2:8" x14ac:dyDescent="0.25">
      <c r="D178" t="s">
        <v>932</v>
      </c>
      <c r="E178" t="s">
        <v>934</v>
      </c>
      <c r="F178" s="180">
        <v>2</v>
      </c>
      <c r="G178" s="46"/>
      <c r="H178" s="180">
        <v>2</v>
      </c>
    </row>
    <row r="179" spans="2:8" x14ac:dyDescent="0.25">
      <c r="C179" t="s">
        <v>700</v>
      </c>
      <c r="D179" t="s">
        <v>944</v>
      </c>
      <c r="E179" t="s">
        <v>946</v>
      </c>
      <c r="F179" s="180">
        <v>2</v>
      </c>
      <c r="G179" s="46"/>
      <c r="H179" s="180">
        <v>2</v>
      </c>
    </row>
    <row r="180" spans="2:8" x14ac:dyDescent="0.25">
      <c r="D180" t="s">
        <v>932</v>
      </c>
      <c r="E180" t="s">
        <v>934</v>
      </c>
      <c r="F180" s="180">
        <v>2</v>
      </c>
      <c r="G180" s="46"/>
      <c r="H180" s="180">
        <v>2</v>
      </c>
    </row>
    <row r="181" spans="2:8" x14ac:dyDescent="0.25">
      <c r="C181" t="s">
        <v>410</v>
      </c>
      <c r="D181" t="s">
        <v>816</v>
      </c>
      <c r="E181" t="s">
        <v>913</v>
      </c>
      <c r="F181" s="180">
        <v>16</v>
      </c>
      <c r="G181" s="46"/>
      <c r="H181" s="180">
        <v>16</v>
      </c>
    </row>
    <row r="182" spans="2:8" x14ac:dyDescent="0.25">
      <c r="D182" t="s">
        <v>944</v>
      </c>
      <c r="E182" t="s">
        <v>946</v>
      </c>
      <c r="F182" s="180">
        <v>16</v>
      </c>
      <c r="G182" s="46"/>
      <c r="H182" s="180">
        <v>16</v>
      </c>
    </row>
    <row r="183" spans="2:8" x14ac:dyDescent="0.25">
      <c r="D183" t="s">
        <v>932</v>
      </c>
      <c r="E183" t="s">
        <v>934</v>
      </c>
      <c r="F183" s="180">
        <v>16</v>
      </c>
      <c r="G183" s="46"/>
      <c r="H183" s="180">
        <v>16</v>
      </c>
    </row>
    <row r="184" spans="2:8" x14ac:dyDescent="0.25">
      <c r="C184" t="s">
        <v>684</v>
      </c>
      <c r="D184" t="s">
        <v>816</v>
      </c>
      <c r="E184" t="s">
        <v>913</v>
      </c>
      <c r="F184" s="180">
        <v>2</v>
      </c>
      <c r="G184" s="46"/>
      <c r="H184" s="180">
        <v>2</v>
      </c>
    </row>
    <row r="185" spans="2:8" x14ac:dyDescent="0.25">
      <c r="C185" t="s">
        <v>818</v>
      </c>
      <c r="D185" t="s">
        <v>816</v>
      </c>
      <c r="E185" t="s">
        <v>913</v>
      </c>
      <c r="F185" s="180">
        <v>6</v>
      </c>
      <c r="G185" s="46"/>
      <c r="H185" s="180">
        <v>6</v>
      </c>
    </row>
    <row r="186" spans="2:8" x14ac:dyDescent="0.25">
      <c r="C186" t="s">
        <v>796</v>
      </c>
      <c r="D186" t="s">
        <v>654</v>
      </c>
      <c r="E186" t="s">
        <v>903</v>
      </c>
      <c r="F186" s="180">
        <v>2</v>
      </c>
      <c r="G186" s="46"/>
      <c r="H186" s="180">
        <v>2</v>
      </c>
    </row>
    <row r="187" spans="2:8" x14ac:dyDescent="0.25">
      <c r="E187" t="s">
        <v>983</v>
      </c>
      <c r="F187" s="180">
        <v>2</v>
      </c>
      <c r="G187" s="46"/>
      <c r="H187" s="180">
        <v>2</v>
      </c>
    </row>
    <row r="188" spans="2:8" x14ac:dyDescent="0.25">
      <c r="D188" t="s">
        <v>1061</v>
      </c>
      <c r="E188" t="s">
        <v>957</v>
      </c>
      <c r="F188" s="180">
        <v>1</v>
      </c>
      <c r="G188" s="46"/>
      <c r="H188" s="180">
        <v>1</v>
      </c>
    </row>
    <row r="189" spans="2:8" x14ac:dyDescent="0.25">
      <c r="D189" t="s">
        <v>1031</v>
      </c>
      <c r="E189" t="s">
        <v>960</v>
      </c>
      <c r="F189" s="180">
        <v>1</v>
      </c>
      <c r="G189" s="46"/>
      <c r="H189" s="180">
        <v>1</v>
      </c>
    </row>
    <row r="190" spans="2:8" x14ac:dyDescent="0.25">
      <c r="D190" t="s">
        <v>1026</v>
      </c>
      <c r="E190" t="s">
        <v>983</v>
      </c>
      <c r="F190" s="180">
        <v>2</v>
      </c>
      <c r="G190" s="46"/>
      <c r="H190" s="180">
        <v>2</v>
      </c>
    </row>
    <row r="191" spans="2:8" x14ac:dyDescent="0.25">
      <c r="C191" t="s">
        <v>866</v>
      </c>
      <c r="D191" t="s">
        <v>926</v>
      </c>
      <c r="E191" t="s">
        <v>925</v>
      </c>
      <c r="F191" s="180">
        <v>1</v>
      </c>
      <c r="G191" s="46"/>
      <c r="H191" s="180">
        <v>1</v>
      </c>
    </row>
    <row r="192" spans="2:8" x14ac:dyDescent="0.25">
      <c r="D192" t="s">
        <v>923</v>
      </c>
      <c r="E192" t="s">
        <v>922</v>
      </c>
      <c r="F192" s="180">
        <v>1</v>
      </c>
      <c r="G192" s="46"/>
      <c r="H192" s="180">
        <v>1</v>
      </c>
    </row>
    <row r="193" spans="3:8" x14ac:dyDescent="0.25">
      <c r="D193" t="s">
        <v>917</v>
      </c>
      <c r="E193" t="s">
        <v>916</v>
      </c>
      <c r="F193" s="180">
        <v>1</v>
      </c>
      <c r="G193" s="46"/>
      <c r="H193" s="180">
        <v>1</v>
      </c>
    </row>
    <row r="194" spans="3:8" x14ac:dyDescent="0.25">
      <c r="D194" t="s">
        <v>941</v>
      </c>
      <c r="E194" t="s">
        <v>940</v>
      </c>
      <c r="F194" s="180">
        <v>1</v>
      </c>
      <c r="G194" s="46"/>
      <c r="H194" s="180">
        <v>1</v>
      </c>
    </row>
    <row r="195" spans="3:8" x14ac:dyDescent="0.25">
      <c r="D195" t="s">
        <v>944</v>
      </c>
      <c r="E195" t="s">
        <v>946</v>
      </c>
      <c r="F195" s="180">
        <v>1</v>
      </c>
      <c r="G195" s="46"/>
      <c r="H195" s="180">
        <v>1</v>
      </c>
    </row>
    <row r="196" spans="3:8" x14ac:dyDescent="0.25">
      <c r="D196" t="s">
        <v>932</v>
      </c>
      <c r="E196" t="s">
        <v>938</v>
      </c>
      <c r="F196" s="180">
        <v>1</v>
      </c>
      <c r="G196" s="46"/>
      <c r="H196" s="180">
        <v>1</v>
      </c>
    </row>
    <row r="197" spans="3:8" x14ac:dyDescent="0.25">
      <c r="C197" t="s">
        <v>868</v>
      </c>
      <c r="D197" t="s">
        <v>926</v>
      </c>
      <c r="E197" t="s">
        <v>925</v>
      </c>
      <c r="F197" s="180">
        <v>2</v>
      </c>
      <c r="G197" s="46"/>
      <c r="H197" s="180">
        <v>2</v>
      </c>
    </row>
    <row r="198" spans="3:8" x14ac:dyDescent="0.25">
      <c r="D198" t="s">
        <v>923</v>
      </c>
      <c r="E198" t="s">
        <v>922</v>
      </c>
      <c r="F198" s="180">
        <v>2</v>
      </c>
      <c r="G198" s="46"/>
      <c r="H198" s="180">
        <v>2</v>
      </c>
    </row>
    <row r="199" spans="3:8" x14ac:dyDescent="0.25">
      <c r="D199" t="s">
        <v>917</v>
      </c>
      <c r="E199" t="s">
        <v>916</v>
      </c>
      <c r="F199" s="180">
        <v>2</v>
      </c>
      <c r="G199" s="46"/>
      <c r="H199" s="180">
        <v>2</v>
      </c>
    </row>
    <row r="200" spans="3:8" x14ac:dyDescent="0.25">
      <c r="D200" t="s">
        <v>941</v>
      </c>
      <c r="E200" t="s">
        <v>940</v>
      </c>
      <c r="F200" s="180">
        <v>2</v>
      </c>
      <c r="G200" s="46"/>
      <c r="H200" s="180">
        <v>2</v>
      </c>
    </row>
    <row r="201" spans="3:8" x14ac:dyDescent="0.25">
      <c r="D201" t="s">
        <v>944</v>
      </c>
      <c r="E201" t="s">
        <v>946</v>
      </c>
      <c r="F201" s="180">
        <v>2</v>
      </c>
      <c r="G201" s="46"/>
      <c r="H201" s="180">
        <v>2</v>
      </c>
    </row>
    <row r="202" spans="3:8" x14ac:dyDescent="0.25">
      <c r="D202" t="s">
        <v>932</v>
      </c>
      <c r="E202" t="s">
        <v>938</v>
      </c>
      <c r="F202" s="180">
        <v>2</v>
      </c>
      <c r="G202" s="46"/>
      <c r="H202" s="180">
        <v>2</v>
      </c>
    </row>
    <row r="203" spans="3:8" x14ac:dyDescent="0.25">
      <c r="C203" t="s">
        <v>872</v>
      </c>
      <c r="D203" t="s">
        <v>926</v>
      </c>
      <c r="E203" t="s">
        <v>925</v>
      </c>
      <c r="F203" s="180">
        <v>5</v>
      </c>
      <c r="G203" s="46"/>
      <c r="H203" s="180">
        <v>5</v>
      </c>
    </row>
    <row r="204" spans="3:8" x14ac:dyDescent="0.25">
      <c r="D204" t="s">
        <v>923</v>
      </c>
      <c r="E204" t="s">
        <v>922</v>
      </c>
      <c r="F204" s="180">
        <v>5</v>
      </c>
      <c r="G204" s="46"/>
      <c r="H204" s="180">
        <v>5</v>
      </c>
    </row>
    <row r="205" spans="3:8" x14ac:dyDescent="0.25">
      <c r="D205" t="s">
        <v>917</v>
      </c>
      <c r="E205" t="s">
        <v>916</v>
      </c>
      <c r="F205" s="180">
        <v>5</v>
      </c>
      <c r="G205" s="46"/>
      <c r="H205" s="180">
        <v>5</v>
      </c>
    </row>
    <row r="206" spans="3:8" x14ac:dyDescent="0.25">
      <c r="D206" t="s">
        <v>941</v>
      </c>
      <c r="E206" t="s">
        <v>940</v>
      </c>
      <c r="F206" s="180">
        <v>5</v>
      </c>
      <c r="G206" s="46"/>
      <c r="H206" s="180">
        <v>5</v>
      </c>
    </row>
    <row r="207" spans="3:8" x14ac:dyDescent="0.25">
      <c r="D207" t="s">
        <v>944</v>
      </c>
      <c r="E207" t="s">
        <v>946</v>
      </c>
      <c r="F207" s="180">
        <v>5</v>
      </c>
      <c r="G207" s="46"/>
      <c r="H207" s="180">
        <v>5</v>
      </c>
    </row>
    <row r="208" spans="3:8" x14ac:dyDescent="0.25">
      <c r="D208" t="s">
        <v>932</v>
      </c>
      <c r="E208" t="s">
        <v>938</v>
      </c>
      <c r="F208" s="180">
        <v>5</v>
      </c>
      <c r="G208" s="46"/>
      <c r="H208" s="180">
        <v>5</v>
      </c>
    </row>
    <row r="209" spans="3:8" x14ac:dyDescent="0.25">
      <c r="C209" t="s">
        <v>153</v>
      </c>
      <c r="D209" t="s">
        <v>926</v>
      </c>
      <c r="E209" t="s">
        <v>925</v>
      </c>
      <c r="F209" s="180">
        <v>1</v>
      </c>
      <c r="G209" s="46"/>
      <c r="H209" s="180">
        <v>1</v>
      </c>
    </row>
    <row r="210" spans="3:8" x14ac:dyDescent="0.25">
      <c r="D210" t="s">
        <v>923</v>
      </c>
      <c r="E210" t="s">
        <v>922</v>
      </c>
      <c r="F210" s="180">
        <v>1</v>
      </c>
      <c r="G210" s="46"/>
      <c r="H210" s="180">
        <v>1</v>
      </c>
    </row>
    <row r="211" spans="3:8" x14ac:dyDescent="0.25">
      <c r="D211" t="s">
        <v>917</v>
      </c>
      <c r="E211" t="s">
        <v>916</v>
      </c>
      <c r="F211" s="180">
        <v>1</v>
      </c>
      <c r="G211" s="46"/>
      <c r="H211" s="180">
        <v>1</v>
      </c>
    </row>
    <row r="212" spans="3:8" x14ac:dyDescent="0.25">
      <c r="D212" t="s">
        <v>941</v>
      </c>
      <c r="E212" t="s">
        <v>940</v>
      </c>
      <c r="F212" s="180">
        <v>1</v>
      </c>
      <c r="G212" s="46"/>
      <c r="H212" s="180">
        <v>1</v>
      </c>
    </row>
    <row r="213" spans="3:8" x14ac:dyDescent="0.25">
      <c r="D213" t="s">
        <v>944</v>
      </c>
      <c r="E213" t="s">
        <v>946</v>
      </c>
      <c r="F213" s="180">
        <v>1</v>
      </c>
      <c r="G213" s="46"/>
      <c r="H213" s="180">
        <v>1</v>
      </c>
    </row>
    <row r="214" spans="3:8" x14ac:dyDescent="0.25">
      <c r="D214" t="s">
        <v>932</v>
      </c>
      <c r="E214" t="s">
        <v>938</v>
      </c>
      <c r="F214" s="180">
        <v>1</v>
      </c>
      <c r="G214" s="46">
        <v>0</v>
      </c>
      <c r="H214" s="180">
        <v>1</v>
      </c>
    </row>
    <row r="215" spans="3:8" x14ac:dyDescent="0.25">
      <c r="C215" t="s">
        <v>145</v>
      </c>
      <c r="D215" t="s">
        <v>926</v>
      </c>
      <c r="E215" t="s">
        <v>925</v>
      </c>
      <c r="F215" s="180">
        <v>1</v>
      </c>
      <c r="G215" s="46"/>
      <c r="H215" s="180">
        <v>1</v>
      </c>
    </row>
    <row r="216" spans="3:8" x14ac:dyDescent="0.25">
      <c r="D216" t="s">
        <v>923</v>
      </c>
      <c r="E216" t="s">
        <v>922</v>
      </c>
      <c r="F216" s="180">
        <v>1</v>
      </c>
      <c r="G216" s="46"/>
      <c r="H216" s="180">
        <v>1</v>
      </c>
    </row>
    <row r="217" spans="3:8" x14ac:dyDescent="0.25">
      <c r="D217" t="s">
        <v>917</v>
      </c>
      <c r="E217" t="s">
        <v>916</v>
      </c>
      <c r="F217" s="180">
        <v>1</v>
      </c>
      <c r="G217" s="46"/>
      <c r="H217" s="180">
        <v>1</v>
      </c>
    </row>
    <row r="218" spans="3:8" x14ac:dyDescent="0.25">
      <c r="D218" t="s">
        <v>941</v>
      </c>
      <c r="E218" t="s">
        <v>940</v>
      </c>
      <c r="F218" s="180">
        <v>1</v>
      </c>
      <c r="G218" s="46"/>
      <c r="H218" s="180">
        <v>1</v>
      </c>
    </row>
    <row r="219" spans="3:8" x14ac:dyDescent="0.25">
      <c r="D219" t="s">
        <v>944</v>
      </c>
      <c r="E219" t="s">
        <v>946</v>
      </c>
      <c r="F219" s="180">
        <v>1</v>
      </c>
      <c r="G219" s="46"/>
      <c r="H219" s="180">
        <v>1</v>
      </c>
    </row>
    <row r="220" spans="3:8" x14ac:dyDescent="0.25">
      <c r="D220" t="s">
        <v>932</v>
      </c>
      <c r="E220" t="s">
        <v>938</v>
      </c>
      <c r="F220" s="180">
        <v>1</v>
      </c>
      <c r="G220" s="46">
        <v>0</v>
      </c>
      <c r="H220" s="180">
        <v>1</v>
      </c>
    </row>
    <row r="221" spans="3:8" x14ac:dyDescent="0.25">
      <c r="C221" t="s">
        <v>157</v>
      </c>
      <c r="D221" t="s">
        <v>926</v>
      </c>
      <c r="E221" t="s">
        <v>925</v>
      </c>
      <c r="F221" s="180">
        <v>1</v>
      </c>
      <c r="G221" s="46"/>
      <c r="H221" s="180">
        <v>1</v>
      </c>
    </row>
    <row r="222" spans="3:8" x14ac:dyDescent="0.25">
      <c r="D222" t="s">
        <v>923</v>
      </c>
      <c r="E222" t="s">
        <v>922</v>
      </c>
      <c r="F222" s="180">
        <v>1</v>
      </c>
      <c r="G222" s="46"/>
      <c r="H222" s="180">
        <v>1</v>
      </c>
    </row>
    <row r="223" spans="3:8" x14ac:dyDescent="0.25">
      <c r="D223" t="s">
        <v>917</v>
      </c>
      <c r="E223" t="s">
        <v>916</v>
      </c>
      <c r="F223" s="180">
        <v>1</v>
      </c>
      <c r="G223" s="46"/>
      <c r="H223" s="180">
        <v>1</v>
      </c>
    </row>
    <row r="224" spans="3:8" x14ac:dyDescent="0.25">
      <c r="D224" t="s">
        <v>941</v>
      </c>
      <c r="E224" t="s">
        <v>940</v>
      </c>
      <c r="F224" s="180">
        <v>1</v>
      </c>
      <c r="G224" s="46"/>
      <c r="H224" s="180">
        <v>1</v>
      </c>
    </row>
    <row r="225" spans="3:8" x14ac:dyDescent="0.25">
      <c r="D225" t="s">
        <v>944</v>
      </c>
      <c r="E225" t="s">
        <v>946</v>
      </c>
      <c r="F225" s="180">
        <v>1</v>
      </c>
      <c r="G225" s="46"/>
      <c r="H225" s="180">
        <v>1</v>
      </c>
    </row>
    <row r="226" spans="3:8" x14ac:dyDescent="0.25">
      <c r="D226" t="s">
        <v>932</v>
      </c>
      <c r="E226" t="s">
        <v>938</v>
      </c>
      <c r="F226" s="180">
        <v>1</v>
      </c>
      <c r="G226" s="46">
        <v>0</v>
      </c>
      <c r="H226" s="180">
        <v>1</v>
      </c>
    </row>
    <row r="227" spans="3:8" x14ac:dyDescent="0.25">
      <c r="C227" t="s">
        <v>149</v>
      </c>
      <c r="D227" t="s">
        <v>926</v>
      </c>
      <c r="E227" t="s">
        <v>925</v>
      </c>
      <c r="F227" s="180">
        <v>1</v>
      </c>
      <c r="G227" s="46"/>
      <c r="H227" s="180">
        <v>1</v>
      </c>
    </row>
    <row r="228" spans="3:8" x14ac:dyDescent="0.25">
      <c r="D228" t="s">
        <v>923</v>
      </c>
      <c r="E228" t="s">
        <v>922</v>
      </c>
      <c r="F228" s="180">
        <v>1</v>
      </c>
      <c r="G228" s="46"/>
      <c r="H228" s="180">
        <v>1</v>
      </c>
    </row>
    <row r="229" spans="3:8" x14ac:dyDescent="0.25">
      <c r="D229" t="s">
        <v>917</v>
      </c>
      <c r="E229" t="s">
        <v>916</v>
      </c>
      <c r="F229" s="180">
        <v>1</v>
      </c>
      <c r="G229" s="46"/>
      <c r="H229" s="180">
        <v>1</v>
      </c>
    </row>
    <row r="230" spans="3:8" x14ac:dyDescent="0.25">
      <c r="D230" t="s">
        <v>941</v>
      </c>
      <c r="E230" t="s">
        <v>940</v>
      </c>
      <c r="F230" s="180">
        <v>1</v>
      </c>
      <c r="G230" s="46"/>
      <c r="H230" s="180">
        <v>1</v>
      </c>
    </row>
    <row r="231" spans="3:8" x14ac:dyDescent="0.25">
      <c r="D231" t="s">
        <v>944</v>
      </c>
      <c r="E231" t="s">
        <v>946</v>
      </c>
      <c r="F231" s="180">
        <v>1</v>
      </c>
      <c r="G231" s="46"/>
      <c r="H231" s="180">
        <v>1</v>
      </c>
    </row>
    <row r="232" spans="3:8" x14ac:dyDescent="0.25">
      <c r="D232" t="s">
        <v>932</v>
      </c>
      <c r="E232" t="s">
        <v>938</v>
      </c>
      <c r="F232" s="180">
        <v>1</v>
      </c>
      <c r="G232" s="46">
        <v>0</v>
      </c>
      <c r="H232" s="180">
        <v>1</v>
      </c>
    </row>
    <row r="233" spans="3:8" x14ac:dyDescent="0.25">
      <c r="C233" t="s">
        <v>120</v>
      </c>
      <c r="D233" t="s">
        <v>926</v>
      </c>
      <c r="E233" t="s">
        <v>925</v>
      </c>
      <c r="F233" s="180">
        <v>3</v>
      </c>
      <c r="G233" s="46"/>
      <c r="H233" s="180">
        <v>3</v>
      </c>
    </row>
    <row r="234" spans="3:8" x14ac:dyDescent="0.25">
      <c r="D234" t="s">
        <v>923</v>
      </c>
      <c r="E234" t="s">
        <v>922</v>
      </c>
      <c r="F234" s="180">
        <v>3</v>
      </c>
      <c r="G234" s="46"/>
      <c r="H234" s="180">
        <v>3</v>
      </c>
    </row>
    <row r="235" spans="3:8" x14ac:dyDescent="0.25">
      <c r="D235" t="s">
        <v>917</v>
      </c>
      <c r="E235" t="s">
        <v>916</v>
      </c>
      <c r="F235" s="180">
        <v>3</v>
      </c>
      <c r="G235" s="46"/>
      <c r="H235" s="180">
        <v>3</v>
      </c>
    </row>
    <row r="236" spans="3:8" x14ac:dyDescent="0.25">
      <c r="D236" t="s">
        <v>941</v>
      </c>
      <c r="E236" t="s">
        <v>940</v>
      </c>
      <c r="F236" s="180">
        <v>3</v>
      </c>
      <c r="G236" s="46"/>
      <c r="H236" s="180">
        <v>3</v>
      </c>
    </row>
    <row r="237" spans="3:8" x14ac:dyDescent="0.25">
      <c r="D237" t="s">
        <v>944</v>
      </c>
      <c r="E237" t="s">
        <v>946</v>
      </c>
      <c r="F237" s="180">
        <v>3</v>
      </c>
      <c r="G237" s="46"/>
      <c r="H237" s="180">
        <v>3</v>
      </c>
    </row>
    <row r="238" spans="3:8" x14ac:dyDescent="0.25">
      <c r="D238" t="s">
        <v>932</v>
      </c>
      <c r="E238" t="s">
        <v>938</v>
      </c>
      <c r="F238" s="180">
        <v>3</v>
      </c>
      <c r="G238" s="46">
        <v>0</v>
      </c>
      <c r="H238" s="180">
        <v>3</v>
      </c>
    </row>
    <row r="239" spans="3:8" x14ac:dyDescent="0.25">
      <c r="C239" t="s">
        <v>141</v>
      </c>
      <c r="D239" t="s">
        <v>926</v>
      </c>
      <c r="E239" t="s">
        <v>925</v>
      </c>
      <c r="F239" s="180">
        <v>1</v>
      </c>
      <c r="G239" s="46"/>
      <c r="H239" s="180">
        <v>1</v>
      </c>
    </row>
    <row r="240" spans="3:8" x14ac:dyDescent="0.25">
      <c r="D240" t="s">
        <v>923</v>
      </c>
      <c r="E240" t="s">
        <v>922</v>
      </c>
      <c r="F240" s="180">
        <v>1</v>
      </c>
      <c r="G240" s="46"/>
      <c r="H240" s="180">
        <v>1</v>
      </c>
    </row>
    <row r="241" spans="3:8" x14ac:dyDescent="0.25">
      <c r="D241" t="s">
        <v>917</v>
      </c>
      <c r="E241" t="s">
        <v>916</v>
      </c>
      <c r="F241" s="180">
        <v>1</v>
      </c>
      <c r="G241" s="46"/>
      <c r="H241" s="180">
        <v>1</v>
      </c>
    </row>
    <row r="242" spans="3:8" x14ac:dyDescent="0.25">
      <c r="D242" t="s">
        <v>941</v>
      </c>
      <c r="E242" t="s">
        <v>940</v>
      </c>
      <c r="F242" s="180">
        <v>1</v>
      </c>
      <c r="G242" s="46"/>
      <c r="H242" s="180">
        <v>1</v>
      </c>
    </row>
    <row r="243" spans="3:8" x14ac:dyDescent="0.25">
      <c r="D243" t="s">
        <v>944</v>
      </c>
      <c r="E243" t="s">
        <v>946</v>
      </c>
      <c r="F243" s="180">
        <v>1</v>
      </c>
      <c r="G243" s="46"/>
      <c r="H243" s="180">
        <v>1</v>
      </c>
    </row>
    <row r="244" spans="3:8" x14ac:dyDescent="0.25">
      <c r="D244" t="s">
        <v>932</v>
      </c>
      <c r="E244" t="s">
        <v>938</v>
      </c>
      <c r="F244" s="180">
        <v>1</v>
      </c>
      <c r="G244" s="46">
        <v>0</v>
      </c>
      <c r="H244" s="180">
        <v>1</v>
      </c>
    </row>
    <row r="245" spans="3:8" x14ac:dyDescent="0.25">
      <c r="C245" t="s">
        <v>833</v>
      </c>
      <c r="D245" t="s">
        <v>944</v>
      </c>
      <c r="E245" t="s">
        <v>946</v>
      </c>
      <c r="F245" s="180">
        <v>1</v>
      </c>
      <c r="G245" s="46"/>
      <c r="H245" s="180">
        <v>1</v>
      </c>
    </row>
    <row r="246" spans="3:8" x14ac:dyDescent="0.25">
      <c r="D246" t="s">
        <v>932</v>
      </c>
      <c r="E246" t="s">
        <v>934</v>
      </c>
      <c r="F246" s="180">
        <v>1</v>
      </c>
      <c r="G246" s="46"/>
      <c r="H246" s="180">
        <v>1</v>
      </c>
    </row>
    <row r="247" spans="3:8" x14ac:dyDescent="0.25">
      <c r="C247" t="s">
        <v>807</v>
      </c>
      <c r="D247" t="s">
        <v>944</v>
      </c>
      <c r="E247" t="s">
        <v>946</v>
      </c>
      <c r="F247" s="180">
        <v>2</v>
      </c>
      <c r="G247" s="46"/>
      <c r="H247" s="180">
        <v>2</v>
      </c>
    </row>
    <row r="248" spans="3:8" x14ac:dyDescent="0.25">
      <c r="D248" t="s">
        <v>932</v>
      </c>
      <c r="E248" t="s">
        <v>934</v>
      </c>
      <c r="F248" s="180">
        <v>2</v>
      </c>
      <c r="G248" s="46"/>
      <c r="H248" s="180">
        <v>2</v>
      </c>
    </row>
    <row r="249" spans="3:8" x14ac:dyDescent="0.25">
      <c r="C249" t="s">
        <v>36</v>
      </c>
      <c r="D249" t="s">
        <v>944</v>
      </c>
      <c r="E249" t="s">
        <v>946</v>
      </c>
      <c r="F249" s="180">
        <v>2</v>
      </c>
      <c r="G249" s="46"/>
      <c r="H249" s="180">
        <v>2</v>
      </c>
    </row>
    <row r="250" spans="3:8" x14ac:dyDescent="0.25">
      <c r="D250" t="s">
        <v>920</v>
      </c>
      <c r="E250" t="s">
        <v>919</v>
      </c>
      <c r="F250" s="180">
        <v>2</v>
      </c>
      <c r="G250" s="46"/>
      <c r="H250" s="180">
        <v>2</v>
      </c>
    </row>
    <row r="251" spans="3:8" x14ac:dyDescent="0.25">
      <c r="C251" t="s">
        <v>803</v>
      </c>
      <c r="D251" t="s">
        <v>944</v>
      </c>
      <c r="E251" t="s">
        <v>946</v>
      </c>
      <c r="F251" s="180">
        <v>8</v>
      </c>
      <c r="G251" s="46"/>
      <c r="H251" s="180">
        <v>8</v>
      </c>
    </row>
    <row r="252" spans="3:8" x14ac:dyDescent="0.25">
      <c r="D252" t="s">
        <v>920</v>
      </c>
      <c r="E252" t="s">
        <v>919</v>
      </c>
      <c r="F252" s="180">
        <v>8</v>
      </c>
      <c r="G252" s="46"/>
      <c r="H252" s="180">
        <v>8</v>
      </c>
    </row>
    <row r="253" spans="3:8" x14ac:dyDescent="0.25">
      <c r="C253" t="s">
        <v>820</v>
      </c>
      <c r="D253" t="s">
        <v>944</v>
      </c>
      <c r="E253" t="s">
        <v>946</v>
      </c>
      <c r="F253" s="180">
        <v>21</v>
      </c>
      <c r="G253" s="46"/>
      <c r="H253" s="180">
        <v>21</v>
      </c>
    </row>
    <row r="254" spans="3:8" x14ac:dyDescent="0.25">
      <c r="D254" t="s">
        <v>932</v>
      </c>
      <c r="E254" t="s">
        <v>934</v>
      </c>
      <c r="F254" s="180">
        <v>21</v>
      </c>
      <c r="G254" s="46"/>
      <c r="H254" s="180">
        <v>21</v>
      </c>
    </row>
    <row r="255" spans="3:8" x14ac:dyDescent="0.25">
      <c r="C255" t="s">
        <v>844</v>
      </c>
      <c r="D255" t="s">
        <v>944</v>
      </c>
      <c r="E255" t="s">
        <v>946</v>
      </c>
      <c r="F255" s="180">
        <v>2</v>
      </c>
      <c r="G255" s="46"/>
      <c r="H255" s="180">
        <v>2</v>
      </c>
    </row>
    <row r="256" spans="3:8" x14ac:dyDescent="0.25">
      <c r="D256" t="s">
        <v>932</v>
      </c>
      <c r="E256" t="s">
        <v>934</v>
      </c>
      <c r="F256" s="180">
        <v>2</v>
      </c>
      <c r="G256" s="46"/>
      <c r="H256" s="180">
        <v>2</v>
      </c>
    </row>
    <row r="257" spans="2:8" x14ac:dyDescent="0.25">
      <c r="C257" t="s">
        <v>58</v>
      </c>
      <c r="D257" t="s">
        <v>944</v>
      </c>
      <c r="E257" t="s">
        <v>946</v>
      </c>
      <c r="F257" s="180">
        <v>22</v>
      </c>
      <c r="G257" s="46"/>
      <c r="H257" s="180">
        <v>22</v>
      </c>
    </row>
    <row r="258" spans="2:8" x14ac:dyDescent="0.25">
      <c r="D258" t="s">
        <v>932</v>
      </c>
      <c r="E258" t="s">
        <v>934</v>
      </c>
      <c r="F258" s="180">
        <v>22</v>
      </c>
      <c r="G258" s="46">
        <v>0</v>
      </c>
      <c r="H258" s="180">
        <v>22</v>
      </c>
    </row>
    <row r="259" spans="2:8" x14ac:dyDescent="0.25">
      <c r="C259" t="s">
        <v>614</v>
      </c>
      <c r="D259" t="s">
        <v>448</v>
      </c>
      <c r="E259" t="s">
        <v>907</v>
      </c>
      <c r="F259" s="180">
        <v>4</v>
      </c>
      <c r="G259" s="46">
        <v>4</v>
      </c>
      <c r="H259" s="180">
        <v>0</v>
      </c>
    </row>
    <row r="260" spans="2:8" x14ac:dyDescent="0.25">
      <c r="C260" t="s">
        <v>645</v>
      </c>
      <c r="D260" t="s">
        <v>654</v>
      </c>
      <c r="E260" t="s">
        <v>903</v>
      </c>
      <c r="F260" s="180">
        <v>2</v>
      </c>
      <c r="G260" s="46"/>
      <c r="H260" s="180">
        <v>2</v>
      </c>
    </row>
    <row r="261" spans="2:8" x14ac:dyDescent="0.25">
      <c r="D261" t="s">
        <v>1031</v>
      </c>
      <c r="E261" t="s">
        <v>960</v>
      </c>
      <c r="F261" s="180">
        <v>2</v>
      </c>
      <c r="G261" s="46"/>
      <c r="H261" s="180">
        <v>2</v>
      </c>
    </row>
    <row r="262" spans="2:8" x14ac:dyDescent="0.25">
      <c r="C262" t="s">
        <v>864</v>
      </c>
      <c r="D262" t="s">
        <v>1026</v>
      </c>
      <c r="E262" t="s">
        <v>983</v>
      </c>
      <c r="F262" s="180">
        <v>2</v>
      </c>
      <c r="G262" s="46"/>
      <c r="H262" s="180">
        <v>2</v>
      </c>
    </row>
    <row r="263" spans="2:8" x14ac:dyDescent="0.25">
      <c r="C263" t="s">
        <v>887</v>
      </c>
      <c r="D263" t="s">
        <v>301</v>
      </c>
      <c r="E263" t="s">
        <v>946</v>
      </c>
      <c r="F263" s="180">
        <v>1</v>
      </c>
      <c r="G263" s="46"/>
      <c r="H263" s="180">
        <v>1</v>
      </c>
    </row>
    <row r="264" spans="2:8" x14ac:dyDescent="0.25">
      <c r="D264" t="s">
        <v>929</v>
      </c>
      <c r="E264" t="s">
        <v>928</v>
      </c>
      <c r="F264" s="180">
        <v>10</v>
      </c>
      <c r="G264" s="46"/>
      <c r="H264" s="180">
        <v>10</v>
      </c>
    </row>
    <row r="265" spans="2:8" x14ac:dyDescent="0.25">
      <c r="B265" t="s">
        <v>889</v>
      </c>
      <c r="C265" t="s">
        <v>364</v>
      </c>
      <c r="D265" t="s">
        <v>944</v>
      </c>
      <c r="E265" t="s">
        <v>946</v>
      </c>
      <c r="F265" s="180">
        <v>3</v>
      </c>
      <c r="G265" s="46"/>
      <c r="H265" s="180">
        <v>3</v>
      </c>
    </row>
    <row r="266" spans="2:8" x14ac:dyDescent="0.25">
      <c r="D266" t="s">
        <v>932</v>
      </c>
      <c r="E266" t="s">
        <v>934</v>
      </c>
      <c r="F266" s="180">
        <v>3</v>
      </c>
      <c r="G266" s="46"/>
      <c r="H266" s="180">
        <v>3</v>
      </c>
    </row>
    <row r="267" spans="2:8" x14ac:dyDescent="0.25">
      <c r="B267" t="s">
        <v>620</v>
      </c>
      <c r="C267" t="s">
        <v>174</v>
      </c>
      <c r="D267" t="s">
        <v>448</v>
      </c>
      <c r="E267" t="s">
        <v>907</v>
      </c>
      <c r="F267" s="180">
        <v>9</v>
      </c>
      <c r="G267" s="46">
        <v>9</v>
      </c>
      <c r="H267" s="180">
        <v>0</v>
      </c>
    </row>
    <row r="268" spans="2:8" x14ac:dyDescent="0.25">
      <c r="B268" t="s">
        <v>632</v>
      </c>
      <c r="C268" t="s">
        <v>462</v>
      </c>
      <c r="D268" t="s">
        <v>448</v>
      </c>
      <c r="E268" t="s">
        <v>907</v>
      </c>
      <c r="F268" s="180">
        <v>4</v>
      </c>
      <c r="G268" s="46">
        <v>4</v>
      </c>
      <c r="H268" s="180">
        <v>0</v>
      </c>
    </row>
    <row r="269" spans="2:8" x14ac:dyDescent="0.25">
      <c r="C269" t="s">
        <v>722</v>
      </c>
      <c r="D269" t="s">
        <v>944</v>
      </c>
      <c r="E269" t="s">
        <v>946</v>
      </c>
      <c r="F269" s="180">
        <v>2</v>
      </c>
      <c r="G269" s="46"/>
      <c r="H269" s="180">
        <v>2</v>
      </c>
    </row>
    <row r="270" spans="2:8" x14ac:dyDescent="0.25">
      <c r="D270" t="s">
        <v>932</v>
      </c>
      <c r="E270" t="s">
        <v>931</v>
      </c>
      <c r="F270" s="180">
        <v>2</v>
      </c>
      <c r="G270" s="46"/>
      <c r="H270" s="180">
        <v>2</v>
      </c>
    </row>
    <row r="271" spans="2:8" x14ac:dyDescent="0.25">
      <c r="B271" t="s">
        <v>2108</v>
      </c>
      <c r="E271"/>
      <c r="F271" s="180">
        <v>955</v>
      </c>
      <c r="G271" s="46">
        <v>314</v>
      </c>
      <c r="H271" s="180">
        <v>634</v>
      </c>
    </row>
    <row r="272" spans="2:8" x14ac:dyDescent="0.25">
      <c r="E272"/>
      <c r="F272"/>
      <c r="H272"/>
    </row>
    <row r="273" spans="5:8" x14ac:dyDescent="0.25">
      <c r="E273"/>
      <c r="F273"/>
      <c r="H273"/>
    </row>
    <row r="274" spans="5:8" x14ac:dyDescent="0.25">
      <c r="E274"/>
      <c r="F274"/>
      <c r="H274"/>
    </row>
    <row r="275" spans="5:8" x14ac:dyDescent="0.25">
      <c r="E275"/>
      <c r="F275" s="62"/>
    </row>
    <row r="276" spans="5:8" x14ac:dyDescent="0.25">
      <c r="E276"/>
      <c r="F276" s="62"/>
    </row>
    <row r="277" spans="5:8" x14ac:dyDescent="0.25">
      <c r="E277"/>
      <c r="F277" s="62"/>
    </row>
    <row r="278" spans="5:8" x14ac:dyDescent="0.25">
      <c r="E278"/>
      <c r="F278" s="62"/>
    </row>
    <row r="279" spans="5:8" x14ac:dyDescent="0.25">
      <c r="E279"/>
      <c r="F279" s="62"/>
    </row>
    <row r="280" spans="5:8" x14ac:dyDescent="0.25">
      <c r="E280"/>
      <c r="F280" s="62"/>
    </row>
    <row r="281" spans="5:8" x14ac:dyDescent="0.25">
      <c r="E281"/>
      <c r="F281" s="62"/>
    </row>
    <row r="282" spans="5:8" x14ac:dyDescent="0.25">
      <c r="E282"/>
      <c r="F282" s="62"/>
    </row>
    <row r="283" spans="5:8" x14ac:dyDescent="0.25">
      <c r="E283"/>
      <c r="F283" s="62"/>
    </row>
    <row r="284" spans="5:8" x14ac:dyDescent="0.25">
      <c r="E284"/>
      <c r="F284" s="62"/>
    </row>
    <row r="285" spans="5:8" x14ac:dyDescent="0.25">
      <c r="E285"/>
      <c r="F285" s="62"/>
    </row>
    <row r="286" spans="5:8" x14ac:dyDescent="0.25">
      <c r="E286"/>
      <c r="F286" s="62"/>
    </row>
    <row r="287" spans="5:8" x14ac:dyDescent="0.25">
      <c r="E287"/>
      <c r="F287" s="62"/>
    </row>
    <row r="288" spans="5:8" x14ac:dyDescent="0.25">
      <c r="E288"/>
      <c r="F288" s="62"/>
    </row>
    <row r="289" spans="5:6" x14ac:dyDescent="0.25">
      <c r="E289"/>
      <c r="F289" s="62"/>
    </row>
    <row r="290" spans="5:6" x14ac:dyDescent="0.25">
      <c r="E290"/>
      <c r="F290" s="62"/>
    </row>
    <row r="291" spans="5:6" x14ac:dyDescent="0.25">
      <c r="E291"/>
      <c r="F291" s="62"/>
    </row>
    <row r="292" spans="5:6" x14ac:dyDescent="0.25">
      <c r="E292"/>
      <c r="F292" s="62"/>
    </row>
    <row r="293" spans="5:6" x14ac:dyDescent="0.25">
      <c r="E293"/>
      <c r="F293" s="62"/>
    </row>
    <row r="294" spans="5:6" x14ac:dyDescent="0.25">
      <c r="E294"/>
      <c r="F294" s="62"/>
    </row>
    <row r="295" spans="5:6" x14ac:dyDescent="0.25">
      <c r="E295"/>
      <c r="F295" s="62"/>
    </row>
    <row r="296" spans="5:6" x14ac:dyDescent="0.25">
      <c r="E296"/>
      <c r="F296" s="62"/>
    </row>
    <row r="297" spans="5:6" x14ac:dyDescent="0.25">
      <c r="E297"/>
      <c r="F297" s="62"/>
    </row>
    <row r="298" spans="5:6" x14ac:dyDescent="0.25">
      <c r="E298"/>
      <c r="F298" s="62"/>
    </row>
    <row r="299" spans="5:6" x14ac:dyDescent="0.25">
      <c r="E299"/>
      <c r="F299" s="62"/>
    </row>
    <row r="300" spans="5:6" x14ac:dyDescent="0.25">
      <c r="E300"/>
      <c r="F300" s="62"/>
    </row>
    <row r="301" spans="5:6" x14ac:dyDescent="0.25">
      <c r="E301"/>
      <c r="F301" s="62"/>
    </row>
    <row r="302" spans="5:6" x14ac:dyDescent="0.25">
      <c r="E302"/>
      <c r="F302" s="62"/>
    </row>
    <row r="303" spans="5:6" x14ac:dyDescent="0.25">
      <c r="E303"/>
      <c r="F303" s="62"/>
    </row>
    <row r="304" spans="5:6" x14ac:dyDescent="0.25">
      <c r="E304"/>
      <c r="F304" s="62"/>
    </row>
    <row r="305" spans="5:6" x14ac:dyDescent="0.25">
      <c r="E305"/>
      <c r="F305" s="62"/>
    </row>
    <row r="306" spans="5:6" x14ac:dyDescent="0.25">
      <c r="E306"/>
      <c r="F306" s="62"/>
    </row>
    <row r="307" spans="5:6" x14ac:dyDescent="0.25">
      <c r="E307"/>
      <c r="F307" s="62"/>
    </row>
    <row r="308" spans="5:6" x14ac:dyDescent="0.25">
      <c r="E308"/>
      <c r="F308" s="62"/>
    </row>
    <row r="309" spans="5:6" x14ac:dyDescent="0.25">
      <c r="E309"/>
      <c r="F309" s="62"/>
    </row>
    <row r="310" spans="5:6" x14ac:dyDescent="0.25">
      <c r="E310"/>
      <c r="F310" s="62"/>
    </row>
    <row r="311" spans="5:6" x14ac:dyDescent="0.25">
      <c r="E311"/>
      <c r="F311" s="62"/>
    </row>
    <row r="312" spans="5:6" x14ac:dyDescent="0.25">
      <c r="E312"/>
      <c r="F312" s="62"/>
    </row>
    <row r="313" spans="5:6" x14ac:dyDescent="0.25">
      <c r="E313"/>
      <c r="F313" s="62"/>
    </row>
    <row r="314" spans="5:6" x14ac:dyDescent="0.25">
      <c r="E314"/>
      <c r="F314" s="62"/>
    </row>
    <row r="315" spans="5:6" x14ac:dyDescent="0.25">
      <c r="E315"/>
      <c r="F315" s="62"/>
    </row>
    <row r="316" spans="5:6" x14ac:dyDescent="0.25">
      <c r="E316"/>
      <c r="F316" s="62"/>
    </row>
    <row r="317" spans="5:6" x14ac:dyDescent="0.25">
      <c r="E317"/>
      <c r="F317" s="62"/>
    </row>
    <row r="318" spans="5:6" x14ac:dyDescent="0.25">
      <c r="E318"/>
      <c r="F318" s="62"/>
    </row>
    <row r="319" spans="5:6" x14ac:dyDescent="0.25">
      <c r="E319"/>
      <c r="F319" s="62"/>
    </row>
    <row r="320" spans="5:6" x14ac:dyDescent="0.25">
      <c r="E320"/>
      <c r="F320" s="62"/>
    </row>
    <row r="321" spans="5:6" x14ac:dyDescent="0.25">
      <c r="E321"/>
      <c r="F321" s="62"/>
    </row>
    <row r="322" spans="5:6" x14ac:dyDescent="0.25">
      <c r="E322"/>
      <c r="F322" s="62"/>
    </row>
    <row r="323" spans="5:6" x14ac:dyDescent="0.25">
      <c r="E323"/>
      <c r="F323" s="62"/>
    </row>
    <row r="324" spans="5:6" x14ac:dyDescent="0.25">
      <c r="E324"/>
      <c r="F324" s="62"/>
    </row>
    <row r="325" spans="5:6" x14ac:dyDescent="0.25">
      <c r="E325"/>
      <c r="F325" s="62"/>
    </row>
    <row r="326" spans="5:6" x14ac:dyDescent="0.25">
      <c r="E326"/>
      <c r="F326" s="62"/>
    </row>
    <row r="327" spans="5:6" x14ac:dyDescent="0.25">
      <c r="E327"/>
      <c r="F327" s="62"/>
    </row>
    <row r="328" spans="5:6" x14ac:dyDescent="0.25">
      <c r="E328"/>
      <c r="F328" s="62"/>
    </row>
    <row r="329" spans="5:6" x14ac:dyDescent="0.25">
      <c r="E329"/>
      <c r="F329" s="62"/>
    </row>
    <row r="330" spans="5:6" x14ac:dyDescent="0.25">
      <c r="E330"/>
      <c r="F330" s="62"/>
    </row>
    <row r="331" spans="5:6" x14ac:dyDescent="0.25">
      <c r="E331"/>
      <c r="F331" s="62"/>
    </row>
    <row r="332" spans="5:6" x14ac:dyDescent="0.25">
      <c r="E332"/>
      <c r="F332" s="62"/>
    </row>
    <row r="333" spans="5:6" x14ac:dyDescent="0.25">
      <c r="E333"/>
      <c r="F333" s="62"/>
    </row>
    <row r="334" spans="5:6" x14ac:dyDescent="0.25">
      <c r="E334"/>
      <c r="F334" s="62"/>
    </row>
    <row r="335" spans="5:6" x14ac:dyDescent="0.25">
      <c r="E335"/>
      <c r="F335" s="62"/>
    </row>
    <row r="336" spans="5:6" x14ac:dyDescent="0.25">
      <c r="E336"/>
      <c r="F336" s="62"/>
    </row>
    <row r="337" spans="5:6" x14ac:dyDescent="0.25">
      <c r="E337"/>
      <c r="F337" s="62"/>
    </row>
    <row r="338" spans="5:6" x14ac:dyDescent="0.25">
      <c r="E338"/>
      <c r="F338" s="62"/>
    </row>
    <row r="339" spans="5:6" x14ac:dyDescent="0.25">
      <c r="E339"/>
      <c r="F339" s="62"/>
    </row>
    <row r="340" spans="5:6" x14ac:dyDescent="0.25">
      <c r="E340"/>
      <c r="F340" s="62"/>
    </row>
    <row r="341" spans="5:6" x14ac:dyDescent="0.25">
      <c r="E341"/>
      <c r="F341" s="62"/>
    </row>
    <row r="342" spans="5:6" x14ac:dyDescent="0.25">
      <c r="E342"/>
      <c r="F342" s="62"/>
    </row>
    <row r="343" spans="5:6" x14ac:dyDescent="0.25">
      <c r="E343"/>
      <c r="F343" s="62"/>
    </row>
    <row r="344" spans="5:6" x14ac:dyDescent="0.25">
      <c r="E344"/>
      <c r="F344" s="62"/>
    </row>
    <row r="345" spans="5:6" x14ac:dyDescent="0.25">
      <c r="E345"/>
      <c r="F345" s="62"/>
    </row>
    <row r="346" spans="5:6" x14ac:dyDescent="0.25">
      <c r="E346"/>
      <c r="F346" s="62"/>
    </row>
    <row r="347" spans="5:6" x14ac:dyDescent="0.25">
      <c r="E347"/>
      <c r="F347" s="62"/>
    </row>
    <row r="348" spans="5:6" x14ac:dyDescent="0.25">
      <c r="E348"/>
      <c r="F348" s="62"/>
    </row>
    <row r="349" spans="5:6" x14ac:dyDescent="0.25">
      <c r="E349"/>
      <c r="F349" s="62"/>
    </row>
    <row r="350" spans="5:6" x14ac:dyDescent="0.25">
      <c r="E350"/>
      <c r="F350" s="62"/>
    </row>
    <row r="351" spans="5:6" x14ac:dyDescent="0.25">
      <c r="E351"/>
      <c r="F351" s="62"/>
    </row>
    <row r="352" spans="5:6" x14ac:dyDescent="0.25">
      <c r="E352"/>
      <c r="F352" s="62"/>
    </row>
    <row r="353" spans="5:6" x14ac:dyDescent="0.25">
      <c r="E353"/>
      <c r="F353" s="62"/>
    </row>
    <row r="354" spans="5:6" x14ac:dyDescent="0.25">
      <c r="E354"/>
      <c r="F354" s="62"/>
    </row>
    <row r="355" spans="5:6" x14ac:dyDescent="0.25">
      <c r="E355"/>
      <c r="F355" s="62"/>
    </row>
    <row r="356" spans="5:6" x14ac:dyDescent="0.25">
      <c r="E356"/>
      <c r="F356" s="62"/>
    </row>
    <row r="357" spans="5:6" x14ac:dyDescent="0.25">
      <c r="E357"/>
      <c r="F357" s="62"/>
    </row>
    <row r="358" spans="5:6" x14ac:dyDescent="0.25">
      <c r="E358"/>
      <c r="F358" s="62"/>
    </row>
    <row r="359" spans="5:6" x14ac:dyDescent="0.25">
      <c r="E359"/>
      <c r="F359" s="62"/>
    </row>
    <row r="360" spans="5:6" x14ac:dyDescent="0.25">
      <c r="E360"/>
      <c r="F360" s="62"/>
    </row>
    <row r="361" spans="5:6" x14ac:dyDescent="0.25">
      <c r="E361"/>
      <c r="F361" s="62"/>
    </row>
    <row r="362" spans="5:6" x14ac:dyDescent="0.25">
      <c r="E362"/>
      <c r="F362" s="62"/>
    </row>
    <row r="363" spans="5:6" x14ac:dyDescent="0.25">
      <c r="E363"/>
      <c r="F363" s="62"/>
    </row>
    <row r="364" spans="5:6" x14ac:dyDescent="0.25">
      <c r="E364"/>
      <c r="F364" s="62"/>
    </row>
    <row r="365" spans="5:6" x14ac:dyDescent="0.25">
      <c r="E365"/>
      <c r="F365" s="62"/>
    </row>
    <row r="366" spans="5:6" x14ac:dyDescent="0.25">
      <c r="E366"/>
      <c r="F366" s="62"/>
    </row>
    <row r="367" spans="5:6" x14ac:dyDescent="0.25">
      <c r="E367"/>
      <c r="F367" s="62"/>
    </row>
    <row r="368" spans="5:6" x14ac:dyDescent="0.25">
      <c r="E368"/>
      <c r="F368" s="62"/>
    </row>
    <row r="369" spans="5:6" x14ac:dyDescent="0.25">
      <c r="E369"/>
      <c r="F369" s="62"/>
    </row>
    <row r="370" spans="5:6" x14ac:dyDescent="0.25">
      <c r="E370"/>
      <c r="F370" s="62"/>
    </row>
    <row r="371" spans="5:6" x14ac:dyDescent="0.25">
      <c r="E371"/>
      <c r="F371" s="62"/>
    </row>
    <row r="372" spans="5:6" x14ac:dyDescent="0.25">
      <c r="E372"/>
      <c r="F372" s="62"/>
    </row>
    <row r="373" spans="5:6" x14ac:dyDescent="0.25">
      <c r="E373"/>
      <c r="F373" s="62"/>
    </row>
    <row r="374" spans="5:6" x14ac:dyDescent="0.25">
      <c r="E374"/>
      <c r="F374" s="62"/>
    </row>
    <row r="375" spans="5:6" x14ac:dyDescent="0.25">
      <c r="E375"/>
      <c r="F375" s="62"/>
    </row>
    <row r="376" spans="5:6" x14ac:dyDescent="0.25">
      <c r="E376"/>
      <c r="F376" s="62"/>
    </row>
    <row r="377" spans="5:6" x14ac:dyDescent="0.25">
      <c r="E377"/>
      <c r="F377" s="62"/>
    </row>
    <row r="378" spans="5:6" x14ac:dyDescent="0.25">
      <c r="E378"/>
      <c r="F378" s="62"/>
    </row>
    <row r="379" spans="5:6" x14ac:dyDescent="0.25">
      <c r="E379"/>
      <c r="F379" s="62"/>
    </row>
    <row r="380" spans="5:6" x14ac:dyDescent="0.25">
      <c r="E380"/>
      <c r="F380" s="62"/>
    </row>
    <row r="381" spans="5:6" x14ac:dyDescent="0.25">
      <c r="E381"/>
      <c r="F381" s="62"/>
    </row>
    <row r="382" spans="5:6" x14ac:dyDescent="0.25">
      <c r="E382"/>
      <c r="F382" s="62"/>
    </row>
    <row r="383" spans="5:6" x14ac:dyDescent="0.25">
      <c r="E383"/>
      <c r="F383" s="62"/>
    </row>
    <row r="384" spans="5:6" x14ac:dyDescent="0.25">
      <c r="E384"/>
      <c r="F384" s="62"/>
    </row>
    <row r="385" spans="5:6" x14ac:dyDescent="0.25">
      <c r="E385"/>
      <c r="F385" s="62"/>
    </row>
    <row r="386" spans="5:6" x14ac:dyDescent="0.25">
      <c r="E386"/>
      <c r="F386" s="62"/>
    </row>
    <row r="387" spans="5:6" x14ac:dyDescent="0.25">
      <c r="E387"/>
      <c r="F387" s="62"/>
    </row>
    <row r="388" spans="5:6" x14ac:dyDescent="0.25">
      <c r="E388"/>
      <c r="F388" s="62"/>
    </row>
    <row r="389" spans="5:6" x14ac:dyDescent="0.25">
      <c r="E389"/>
      <c r="F389" s="62"/>
    </row>
    <row r="390" spans="5:6" x14ac:dyDescent="0.25">
      <c r="E390"/>
      <c r="F390" s="62"/>
    </row>
    <row r="391" spans="5:6" x14ac:dyDescent="0.25">
      <c r="E391"/>
      <c r="F391" s="62"/>
    </row>
    <row r="392" spans="5:6" x14ac:dyDescent="0.25">
      <c r="E392"/>
      <c r="F392" s="62"/>
    </row>
    <row r="393" spans="5:6" x14ac:dyDescent="0.25">
      <c r="E393"/>
      <c r="F393" s="62"/>
    </row>
    <row r="394" spans="5:6" x14ac:dyDescent="0.25">
      <c r="E394"/>
      <c r="F394" s="62"/>
    </row>
    <row r="395" spans="5:6" x14ac:dyDescent="0.25">
      <c r="E395"/>
      <c r="F395" s="62"/>
    </row>
    <row r="396" spans="5:6" x14ac:dyDescent="0.25">
      <c r="E396"/>
      <c r="F396" s="62"/>
    </row>
    <row r="397" spans="5:6" x14ac:dyDescent="0.25">
      <c r="E397"/>
      <c r="F397" s="62"/>
    </row>
    <row r="398" spans="5:6" x14ac:dyDescent="0.25">
      <c r="E398"/>
      <c r="F398" s="62"/>
    </row>
    <row r="399" spans="5:6" x14ac:dyDescent="0.25">
      <c r="E399"/>
      <c r="F399" s="62"/>
    </row>
    <row r="400" spans="5:6" x14ac:dyDescent="0.25">
      <c r="E400"/>
      <c r="F400" s="62"/>
    </row>
    <row r="401" spans="5:6" x14ac:dyDescent="0.25">
      <c r="E401"/>
      <c r="F401" s="62"/>
    </row>
    <row r="402" spans="5:6" x14ac:dyDescent="0.25">
      <c r="E402"/>
      <c r="F402" s="62"/>
    </row>
    <row r="403" spans="5:6" x14ac:dyDescent="0.25">
      <c r="E403"/>
      <c r="F403" s="62"/>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622E3-6133-4428-B3DE-5D2798C60D84}">
  <sheetPr codeName="Sheet6"/>
  <dimension ref="A2:C16"/>
  <sheetViews>
    <sheetView workbookViewId="0">
      <selection activeCell="A6" sqref="A6"/>
    </sheetView>
  </sheetViews>
  <sheetFormatPr defaultRowHeight="15" x14ac:dyDescent="0.25"/>
  <cols>
    <col min="1" max="1" width="30.42578125" customWidth="1"/>
    <col min="2" max="2" width="2.7109375" customWidth="1"/>
    <col min="3" max="3" width="29.140625" customWidth="1"/>
  </cols>
  <sheetData>
    <row r="2" spans="1:3" x14ac:dyDescent="0.25">
      <c r="A2" s="42" t="s">
        <v>2109</v>
      </c>
      <c r="C2" s="42" t="s">
        <v>1018</v>
      </c>
    </row>
    <row r="3" spans="1:3" x14ac:dyDescent="0.25">
      <c r="A3" s="43" t="s">
        <v>39</v>
      </c>
      <c r="C3" s="43" t="s">
        <v>1164</v>
      </c>
    </row>
    <row r="4" spans="1:3" x14ac:dyDescent="0.25">
      <c r="A4" s="43" t="s">
        <v>296</v>
      </c>
      <c r="C4" s="43" t="s">
        <v>1027</v>
      </c>
    </row>
    <row r="5" spans="1:3" x14ac:dyDescent="0.25">
      <c r="A5" s="43" t="s">
        <v>2110</v>
      </c>
      <c r="C5" s="43" t="s">
        <v>1025</v>
      </c>
    </row>
    <row r="6" spans="1:3" x14ac:dyDescent="0.25">
      <c r="A6" s="43" t="s">
        <v>2111</v>
      </c>
      <c r="C6" s="43" t="s">
        <v>1072</v>
      </c>
    </row>
    <row r="7" spans="1:3" x14ac:dyDescent="0.25">
      <c r="A7" s="43" t="s">
        <v>2112</v>
      </c>
      <c r="C7" s="43" t="s">
        <v>956</v>
      </c>
    </row>
    <row r="8" spans="1:3" x14ac:dyDescent="0.25">
      <c r="A8" s="43" t="s">
        <v>1181</v>
      </c>
      <c r="C8" s="43" t="s">
        <v>1166</v>
      </c>
    </row>
    <row r="9" spans="1:3" x14ac:dyDescent="0.25">
      <c r="A9" s="43" t="s">
        <v>2113</v>
      </c>
    </row>
    <row r="10" spans="1:3" x14ac:dyDescent="0.25">
      <c r="A10" s="43" t="s">
        <v>1062</v>
      </c>
    </row>
    <row r="11" spans="1:3" x14ac:dyDescent="0.25">
      <c r="A11" s="43" t="s">
        <v>1258</v>
      </c>
    </row>
    <row r="12" spans="1:3" x14ac:dyDescent="0.25">
      <c r="A12" s="43" t="s">
        <v>2114</v>
      </c>
    </row>
    <row r="13" spans="1:3" x14ac:dyDescent="0.25">
      <c r="A13" s="43" t="s">
        <v>2115</v>
      </c>
    </row>
    <row r="14" spans="1:3" x14ac:dyDescent="0.25">
      <c r="A14" s="43" t="s">
        <v>655</v>
      </c>
    </row>
    <row r="15" spans="1:3" x14ac:dyDescent="0.25">
      <c r="A15" s="43" t="s">
        <v>1073</v>
      </c>
    </row>
    <row r="16" spans="1:3" x14ac:dyDescent="0.25">
      <c r="A16" s="43" t="s">
        <v>1093</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7FA4EF-2BBF-4802-9B6E-8B14F4537570}">
  <sheetPr codeName="Sheet7"/>
  <dimension ref="B3:N116"/>
  <sheetViews>
    <sheetView showGridLines="0" zoomScale="85" zoomScaleNormal="85" workbookViewId="0">
      <selection activeCell="K3" sqref="K3"/>
    </sheetView>
  </sheetViews>
  <sheetFormatPr defaultRowHeight="15" x14ac:dyDescent="0.25"/>
  <cols>
    <col min="1" max="1" width="5.85546875" customWidth="1"/>
    <col min="2" max="2" width="37.7109375" bestFit="1" customWidth="1"/>
    <col min="3" max="3" width="47.42578125" bestFit="1" customWidth="1"/>
    <col min="4" max="4" width="36.5703125" bestFit="1" customWidth="1"/>
    <col min="5" max="5" width="19.5703125" style="46" bestFit="1" customWidth="1"/>
    <col min="6" max="6" width="11.140625" style="46" bestFit="1" customWidth="1"/>
    <col min="7" max="7" width="13.85546875" customWidth="1"/>
    <col min="8" max="8" width="22.7109375" bestFit="1" customWidth="1"/>
    <col min="9" max="10" width="2.28515625" customWidth="1"/>
    <col min="11" max="11" width="8" customWidth="1"/>
    <col min="12" max="12" width="48.5703125" customWidth="1"/>
    <col min="13" max="13" width="16.28515625" bestFit="1" customWidth="1"/>
    <col min="14" max="14" width="17.5703125" bestFit="1" customWidth="1"/>
    <col min="15" max="15" width="26.42578125" bestFit="1" customWidth="1"/>
    <col min="16" max="16" width="34.7109375" bestFit="1" customWidth="1"/>
    <col min="17" max="17" width="36.7109375" bestFit="1" customWidth="1"/>
    <col min="18" max="18" width="41.5703125" bestFit="1" customWidth="1"/>
    <col min="19" max="19" width="41.42578125" bestFit="1" customWidth="1"/>
    <col min="20" max="20" width="34.5703125" bestFit="1" customWidth="1"/>
    <col min="21" max="21" width="47.42578125" bestFit="1" customWidth="1"/>
    <col min="22" max="22" width="21.85546875" bestFit="1" customWidth="1"/>
    <col min="23" max="23" width="26.42578125" bestFit="1" customWidth="1"/>
    <col min="24" max="24" width="22.7109375" bestFit="1" customWidth="1"/>
    <col min="25" max="25" width="22.42578125" bestFit="1" customWidth="1"/>
    <col min="26" max="26" width="23.42578125" bestFit="1" customWidth="1"/>
    <col min="27" max="27" width="17.42578125" bestFit="1" customWidth="1"/>
    <col min="28" max="28" width="7.28515625" bestFit="1" customWidth="1"/>
    <col min="29" max="29" width="11.28515625" bestFit="1" customWidth="1"/>
  </cols>
  <sheetData>
    <row r="3" spans="2:14" s="46" customFormat="1" ht="48" customHeight="1" x14ac:dyDescent="0.25">
      <c r="B3" s="224" t="s">
        <v>2116</v>
      </c>
      <c r="C3" s="224" t="s">
        <v>6</v>
      </c>
      <c r="D3" s="224" t="s">
        <v>1020</v>
      </c>
      <c r="E3" s="46" t="s">
        <v>2105</v>
      </c>
      <c r="F3" s="49" t="s">
        <v>2106</v>
      </c>
      <c r="G3" s="49" t="s">
        <v>2107</v>
      </c>
      <c r="H3" s="63" t="s">
        <v>2117</v>
      </c>
      <c r="L3" s="224" t="s">
        <v>2</v>
      </c>
      <c r="M3" s="224" t="s">
        <v>1020</v>
      </c>
      <c r="N3" s="49" t="s">
        <v>2118</v>
      </c>
    </row>
    <row r="4" spans="2:14" x14ac:dyDescent="0.25">
      <c r="B4" t="s">
        <v>446</v>
      </c>
      <c r="C4" t="s">
        <v>448</v>
      </c>
      <c r="D4" t="s">
        <v>907</v>
      </c>
      <c r="E4" s="46">
        <v>9</v>
      </c>
      <c r="F4" s="46">
        <v>8</v>
      </c>
      <c r="G4" s="46">
        <v>1</v>
      </c>
      <c r="H4" s="63">
        <v>0</v>
      </c>
      <c r="L4" t="s">
        <v>461</v>
      </c>
      <c r="M4" t="s">
        <v>931</v>
      </c>
      <c r="N4">
        <v>1</v>
      </c>
    </row>
    <row r="5" spans="2:14" x14ac:dyDescent="0.25">
      <c r="B5" t="s">
        <v>2119</v>
      </c>
      <c r="E5" s="46">
        <v>9</v>
      </c>
      <c r="F5" s="46">
        <v>8</v>
      </c>
      <c r="G5" s="46">
        <v>1</v>
      </c>
      <c r="H5" s="63">
        <v>0</v>
      </c>
      <c r="L5" t="s">
        <v>161</v>
      </c>
      <c r="M5" t="s">
        <v>931</v>
      </c>
      <c r="N5">
        <v>26</v>
      </c>
    </row>
    <row r="6" spans="2:14" x14ac:dyDescent="0.25">
      <c r="B6" t="s">
        <v>461</v>
      </c>
      <c r="C6" t="s">
        <v>448</v>
      </c>
      <c r="D6" t="s">
        <v>907</v>
      </c>
      <c r="E6" s="46">
        <v>3</v>
      </c>
      <c r="F6" s="46">
        <v>3</v>
      </c>
      <c r="G6" s="46">
        <v>0</v>
      </c>
      <c r="H6" s="63">
        <v>0</v>
      </c>
      <c r="M6" t="s">
        <v>938</v>
      </c>
      <c r="N6">
        <v>7</v>
      </c>
    </row>
    <row r="7" spans="2:14" x14ac:dyDescent="0.25">
      <c r="C7" t="s">
        <v>944</v>
      </c>
      <c r="D7" t="s">
        <v>946</v>
      </c>
      <c r="E7" s="46">
        <v>1</v>
      </c>
      <c r="G7" s="46">
        <v>1</v>
      </c>
      <c r="H7" s="63">
        <v>0</v>
      </c>
      <c r="L7" s="47" t="s">
        <v>275</v>
      </c>
      <c r="M7" t="s">
        <v>931</v>
      </c>
      <c r="N7">
        <v>80</v>
      </c>
    </row>
    <row r="8" spans="2:14" x14ac:dyDescent="0.25">
      <c r="C8" t="s">
        <v>932</v>
      </c>
      <c r="D8" t="s">
        <v>931</v>
      </c>
      <c r="E8" s="46">
        <v>1</v>
      </c>
      <c r="G8" s="46">
        <v>1</v>
      </c>
      <c r="H8" s="63">
        <v>19983</v>
      </c>
      <c r="L8" s="47"/>
      <c r="M8" t="s">
        <v>934</v>
      </c>
      <c r="N8">
        <v>1</v>
      </c>
    </row>
    <row r="9" spans="2:14" x14ac:dyDescent="0.25">
      <c r="B9" t="s">
        <v>2120</v>
      </c>
      <c r="E9" s="46">
        <v>5</v>
      </c>
      <c r="F9" s="46">
        <v>3</v>
      </c>
      <c r="G9" s="46">
        <v>2</v>
      </c>
      <c r="H9" s="63">
        <v>19983</v>
      </c>
      <c r="L9" s="47"/>
      <c r="M9" t="s">
        <v>938</v>
      </c>
      <c r="N9">
        <v>5</v>
      </c>
    </row>
    <row r="10" spans="2:14" x14ac:dyDescent="0.25">
      <c r="B10" t="s">
        <v>470</v>
      </c>
      <c r="C10" t="s">
        <v>448</v>
      </c>
      <c r="D10" t="s">
        <v>907</v>
      </c>
      <c r="E10" s="46">
        <v>5</v>
      </c>
      <c r="F10" s="46">
        <v>5</v>
      </c>
      <c r="G10" s="46">
        <v>0</v>
      </c>
      <c r="H10" s="63">
        <v>0</v>
      </c>
      <c r="L10" t="s">
        <v>501</v>
      </c>
      <c r="M10" t="s">
        <v>934</v>
      </c>
      <c r="N10">
        <v>1</v>
      </c>
    </row>
    <row r="11" spans="2:14" x14ac:dyDescent="0.25">
      <c r="B11" t="s">
        <v>2121</v>
      </c>
      <c r="E11" s="46">
        <v>5</v>
      </c>
      <c r="F11" s="46">
        <v>5</v>
      </c>
      <c r="G11" s="46">
        <v>0</v>
      </c>
      <c r="H11" s="63">
        <v>0</v>
      </c>
      <c r="L11" t="s">
        <v>761</v>
      </c>
      <c r="M11" t="s">
        <v>931</v>
      </c>
      <c r="N11">
        <v>6</v>
      </c>
    </row>
    <row r="12" spans="2:14" x14ac:dyDescent="0.25">
      <c r="B12" t="s">
        <v>161</v>
      </c>
      <c r="C12" t="s">
        <v>654</v>
      </c>
      <c r="D12" t="s">
        <v>903</v>
      </c>
      <c r="E12" s="46">
        <v>4</v>
      </c>
      <c r="G12" s="46">
        <v>4</v>
      </c>
      <c r="H12" s="63">
        <v>0</v>
      </c>
      <c r="L12" t="s">
        <v>299</v>
      </c>
      <c r="M12" t="s">
        <v>938</v>
      </c>
      <c r="N12">
        <v>22</v>
      </c>
    </row>
    <row r="13" spans="2:14" x14ac:dyDescent="0.25">
      <c r="C13" t="s">
        <v>176</v>
      </c>
      <c r="D13" t="s">
        <v>946</v>
      </c>
      <c r="E13" s="46">
        <v>2</v>
      </c>
      <c r="G13" s="46">
        <v>2</v>
      </c>
      <c r="H13" s="63">
        <v>0</v>
      </c>
      <c r="L13" t="s">
        <v>363</v>
      </c>
      <c r="M13" t="s">
        <v>934</v>
      </c>
      <c r="N13">
        <v>1</v>
      </c>
    </row>
    <row r="14" spans="2:14" x14ac:dyDescent="0.25">
      <c r="C14" t="s">
        <v>164</v>
      </c>
      <c r="D14" t="s">
        <v>955</v>
      </c>
      <c r="E14" s="46">
        <v>32</v>
      </c>
      <c r="F14" s="46">
        <v>0</v>
      </c>
      <c r="G14" s="46">
        <v>32</v>
      </c>
      <c r="H14" s="63">
        <v>137504</v>
      </c>
      <c r="L14" t="s">
        <v>528</v>
      </c>
      <c r="M14" t="s">
        <v>931</v>
      </c>
      <c r="N14">
        <v>1</v>
      </c>
    </row>
    <row r="15" spans="2:14" x14ac:dyDescent="0.25">
      <c r="C15" t="s">
        <v>929</v>
      </c>
      <c r="D15" t="s">
        <v>928</v>
      </c>
      <c r="E15" s="46">
        <v>2</v>
      </c>
      <c r="F15" s="46">
        <v>2</v>
      </c>
      <c r="G15" s="46">
        <v>0</v>
      </c>
      <c r="H15" s="63">
        <v>0</v>
      </c>
      <c r="M15" t="s">
        <v>934</v>
      </c>
      <c r="N15">
        <v>1</v>
      </c>
    </row>
    <row r="16" spans="2:14" x14ac:dyDescent="0.25">
      <c r="C16" t="s">
        <v>944</v>
      </c>
      <c r="D16" t="s">
        <v>946</v>
      </c>
      <c r="E16" s="46">
        <v>33</v>
      </c>
      <c r="F16" s="46">
        <v>9</v>
      </c>
      <c r="G16" s="46">
        <v>24</v>
      </c>
      <c r="H16" s="63">
        <v>0</v>
      </c>
      <c r="L16" t="s">
        <v>368</v>
      </c>
      <c r="M16" t="s">
        <v>934</v>
      </c>
      <c r="N16">
        <v>14</v>
      </c>
    </row>
    <row r="17" spans="2:14" x14ac:dyDescent="0.25">
      <c r="C17" t="s">
        <v>1061</v>
      </c>
      <c r="D17" t="s">
        <v>957</v>
      </c>
      <c r="E17" s="46">
        <v>1</v>
      </c>
      <c r="G17" s="46">
        <v>1</v>
      </c>
      <c r="H17" s="63">
        <v>0</v>
      </c>
      <c r="L17" t="s">
        <v>35</v>
      </c>
      <c r="M17" t="s">
        <v>934</v>
      </c>
      <c r="N17">
        <v>68</v>
      </c>
    </row>
    <row r="18" spans="2:14" x14ac:dyDescent="0.25">
      <c r="C18" t="s">
        <v>1031</v>
      </c>
      <c r="D18" t="s">
        <v>960</v>
      </c>
      <c r="E18" s="46">
        <v>1</v>
      </c>
      <c r="G18" s="46">
        <v>1</v>
      </c>
      <c r="H18" s="63">
        <v>0</v>
      </c>
      <c r="M18" t="s">
        <v>938</v>
      </c>
      <c r="N18">
        <v>16</v>
      </c>
    </row>
    <row r="19" spans="2:14" x14ac:dyDescent="0.25">
      <c r="C19" t="s">
        <v>974</v>
      </c>
      <c r="D19" t="s">
        <v>973</v>
      </c>
      <c r="E19" s="46">
        <v>8</v>
      </c>
      <c r="F19" s="46">
        <v>4</v>
      </c>
      <c r="G19" s="46">
        <v>4</v>
      </c>
      <c r="H19" s="63">
        <v>8204</v>
      </c>
      <c r="L19" t="s">
        <v>889</v>
      </c>
      <c r="M19" t="s">
        <v>934</v>
      </c>
      <c r="N19">
        <v>3</v>
      </c>
    </row>
    <row r="20" spans="2:14" x14ac:dyDescent="0.25">
      <c r="C20" t="s">
        <v>1030</v>
      </c>
      <c r="D20" t="s">
        <v>973</v>
      </c>
      <c r="E20" s="46">
        <v>8</v>
      </c>
      <c r="G20" s="46">
        <v>8</v>
      </c>
      <c r="H20" s="63">
        <v>16408</v>
      </c>
      <c r="L20" t="s">
        <v>632</v>
      </c>
      <c r="M20" t="s">
        <v>931</v>
      </c>
      <c r="N20">
        <v>2</v>
      </c>
    </row>
    <row r="21" spans="2:14" x14ac:dyDescent="0.25">
      <c r="C21" t="s">
        <v>932</v>
      </c>
      <c r="D21" t="s">
        <v>931</v>
      </c>
      <c r="E21" s="46">
        <v>26</v>
      </c>
      <c r="F21" s="46">
        <v>6</v>
      </c>
      <c r="G21" s="46">
        <v>20</v>
      </c>
      <c r="H21" s="63">
        <v>413184</v>
      </c>
    </row>
    <row r="22" spans="2:14" x14ac:dyDescent="0.25">
      <c r="D22" t="s">
        <v>938</v>
      </c>
      <c r="E22" s="46">
        <v>7</v>
      </c>
      <c r="F22" s="46">
        <v>0</v>
      </c>
      <c r="G22" s="46">
        <v>7</v>
      </c>
      <c r="H22" s="63">
        <v>174132</v>
      </c>
    </row>
    <row r="23" spans="2:14" x14ac:dyDescent="0.25">
      <c r="C23" t="s">
        <v>1026</v>
      </c>
      <c r="D23" t="s">
        <v>983</v>
      </c>
      <c r="E23" s="46">
        <v>2</v>
      </c>
      <c r="G23" s="46">
        <v>2</v>
      </c>
      <c r="H23" s="63">
        <v>0</v>
      </c>
    </row>
    <row r="24" spans="2:14" x14ac:dyDescent="0.25">
      <c r="C24" t="s">
        <v>1776</v>
      </c>
      <c r="D24" t="s">
        <v>983</v>
      </c>
      <c r="E24" s="46">
        <v>2</v>
      </c>
      <c r="F24" s="46">
        <v>2</v>
      </c>
      <c r="G24" s="46">
        <v>0</v>
      </c>
      <c r="H24" s="63">
        <v>0</v>
      </c>
    </row>
    <row r="25" spans="2:14" x14ac:dyDescent="0.25">
      <c r="B25" t="s">
        <v>2122</v>
      </c>
      <c r="E25" s="46">
        <v>128</v>
      </c>
      <c r="F25" s="46">
        <v>23</v>
      </c>
      <c r="G25" s="46">
        <v>105</v>
      </c>
      <c r="H25" s="63">
        <v>749432</v>
      </c>
    </row>
    <row r="26" spans="2:14" x14ac:dyDescent="0.25">
      <c r="B26" t="s">
        <v>488</v>
      </c>
      <c r="C26" t="s">
        <v>448</v>
      </c>
      <c r="D26" t="s">
        <v>907</v>
      </c>
      <c r="E26" s="46">
        <v>1</v>
      </c>
      <c r="F26" s="46">
        <v>1</v>
      </c>
      <c r="G26" s="46">
        <v>0</v>
      </c>
      <c r="H26" s="63">
        <v>0</v>
      </c>
    </row>
    <row r="27" spans="2:14" x14ac:dyDescent="0.25">
      <c r="B27" t="s">
        <v>2123</v>
      </c>
      <c r="E27" s="46">
        <v>1</v>
      </c>
      <c r="F27" s="46">
        <v>1</v>
      </c>
      <c r="G27" s="46">
        <v>0</v>
      </c>
      <c r="H27" s="63">
        <v>0</v>
      </c>
    </row>
    <row r="28" spans="2:14" x14ac:dyDescent="0.25">
      <c r="B28" t="s">
        <v>491</v>
      </c>
      <c r="C28" t="s">
        <v>448</v>
      </c>
      <c r="D28" t="s">
        <v>907</v>
      </c>
      <c r="E28" s="46">
        <v>1</v>
      </c>
      <c r="F28" s="46">
        <v>1</v>
      </c>
      <c r="G28" s="46">
        <v>0</v>
      </c>
      <c r="H28" s="63">
        <v>0</v>
      </c>
    </row>
    <row r="29" spans="2:14" x14ac:dyDescent="0.25">
      <c r="B29" t="s">
        <v>2124</v>
      </c>
      <c r="E29" s="46">
        <v>1</v>
      </c>
      <c r="F29" s="46">
        <v>1</v>
      </c>
      <c r="G29" s="46">
        <v>0</v>
      </c>
      <c r="H29" s="63">
        <v>0</v>
      </c>
    </row>
    <row r="30" spans="2:14" x14ac:dyDescent="0.25">
      <c r="B30" t="s">
        <v>275</v>
      </c>
      <c r="C30" t="s">
        <v>981</v>
      </c>
      <c r="D30" t="s">
        <v>980</v>
      </c>
      <c r="E30" s="46">
        <v>5</v>
      </c>
      <c r="G30" s="46">
        <v>5</v>
      </c>
      <c r="H30" s="63">
        <v>0</v>
      </c>
    </row>
    <row r="31" spans="2:14" x14ac:dyDescent="0.25">
      <c r="C31" t="s">
        <v>654</v>
      </c>
      <c r="D31" t="s">
        <v>903</v>
      </c>
      <c r="E31" s="46">
        <v>11</v>
      </c>
      <c r="G31" s="46">
        <v>11</v>
      </c>
      <c r="H31" s="63">
        <v>0</v>
      </c>
    </row>
    <row r="32" spans="2:14" x14ac:dyDescent="0.25">
      <c r="C32" t="s">
        <v>681</v>
      </c>
      <c r="D32" t="s">
        <v>913</v>
      </c>
      <c r="E32" s="46">
        <v>1</v>
      </c>
      <c r="G32" s="46">
        <v>1</v>
      </c>
      <c r="H32" s="63">
        <v>3488</v>
      </c>
    </row>
    <row r="33" spans="2:8" x14ac:dyDescent="0.25">
      <c r="D33" t="s">
        <v>983</v>
      </c>
      <c r="E33" s="46">
        <v>6</v>
      </c>
      <c r="G33" s="46">
        <v>6</v>
      </c>
      <c r="H33" s="63">
        <v>0</v>
      </c>
    </row>
    <row r="34" spans="2:8" x14ac:dyDescent="0.25">
      <c r="C34" t="s">
        <v>448</v>
      </c>
      <c r="D34" t="s">
        <v>907</v>
      </c>
      <c r="E34" s="46">
        <v>2</v>
      </c>
      <c r="F34" s="46">
        <v>2</v>
      </c>
      <c r="G34" s="46">
        <v>0</v>
      </c>
      <c r="H34" s="63">
        <v>0</v>
      </c>
    </row>
    <row r="35" spans="2:8" x14ac:dyDescent="0.25">
      <c r="C35" t="s">
        <v>301</v>
      </c>
      <c r="D35" t="s">
        <v>946</v>
      </c>
      <c r="E35" s="46">
        <v>1</v>
      </c>
      <c r="G35" s="46">
        <v>1</v>
      </c>
      <c r="H35" s="63">
        <v>0</v>
      </c>
    </row>
    <row r="36" spans="2:8" x14ac:dyDescent="0.25">
      <c r="C36" t="s">
        <v>929</v>
      </c>
      <c r="D36" t="s">
        <v>928</v>
      </c>
      <c r="E36" s="46">
        <v>12</v>
      </c>
      <c r="F36" s="46">
        <v>7</v>
      </c>
      <c r="G36" s="46">
        <v>5</v>
      </c>
      <c r="H36" s="63">
        <v>0</v>
      </c>
    </row>
    <row r="37" spans="2:8" x14ac:dyDescent="0.25">
      <c r="C37" t="s">
        <v>944</v>
      </c>
      <c r="D37" t="s">
        <v>946</v>
      </c>
      <c r="E37" s="46">
        <v>65</v>
      </c>
      <c r="F37" s="46">
        <v>14</v>
      </c>
      <c r="G37" s="46">
        <v>51</v>
      </c>
      <c r="H37" s="63">
        <v>0</v>
      </c>
    </row>
    <row r="38" spans="2:8" x14ac:dyDescent="0.25">
      <c r="D38" t="s">
        <v>943</v>
      </c>
      <c r="E38" s="46">
        <v>23</v>
      </c>
      <c r="F38" s="46">
        <v>23</v>
      </c>
      <c r="G38" s="46">
        <v>0</v>
      </c>
      <c r="H38" s="63">
        <v>0</v>
      </c>
    </row>
    <row r="39" spans="2:8" x14ac:dyDescent="0.25">
      <c r="C39" t="s">
        <v>1031</v>
      </c>
      <c r="D39" t="s">
        <v>960</v>
      </c>
      <c r="E39" s="46">
        <v>5</v>
      </c>
      <c r="G39" s="46">
        <v>5</v>
      </c>
      <c r="H39" s="63">
        <v>0</v>
      </c>
    </row>
    <row r="40" spans="2:8" x14ac:dyDescent="0.25">
      <c r="C40" t="s">
        <v>932</v>
      </c>
      <c r="D40" t="s">
        <v>931</v>
      </c>
      <c r="E40" s="46">
        <v>80</v>
      </c>
      <c r="F40" s="46">
        <v>41</v>
      </c>
      <c r="G40" s="46">
        <v>39</v>
      </c>
      <c r="H40" s="63">
        <v>871751</v>
      </c>
    </row>
    <row r="41" spans="2:8" x14ac:dyDescent="0.25">
      <c r="D41" t="s">
        <v>934</v>
      </c>
      <c r="E41" s="46">
        <v>1</v>
      </c>
      <c r="G41" s="46">
        <v>1</v>
      </c>
      <c r="H41" s="63">
        <v>2254</v>
      </c>
    </row>
    <row r="42" spans="2:8" x14ac:dyDescent="0.25">
      <c r="D42" t="s">
        <v>938</v>
      </c>
      <c r="E42" s="46">
        <v>5</v>
      </c>
      <c r="F42" s="46">
        <v>3</v>
      </c>
      <c r="G42" s="46">
        <v>2</v>
      </c>
      <c r="H42" s="63">
        <v>56514</v>
      </c>
    </row>
    <row r="43" spans="2:8" x14ac:dyDescent="0.25">
      <c r="B43" t="s">
        <v>2125</v>
      </c>
      <c r="E43" s="46">
        <v>217</v>
      </c>
      <c r="F43" s="46">
        <v>90</v>
      </c>
      <c r="G43" s="46">
        <v>127</v>
      </c>
      <c r="H43" s="63">
        <v>934007</v>
      </c>
    </row>
    <row r="44" spans="2:8" x14ac:dyDescent="0.25">
      <c r="B44" t="s">
        <v>501</v>
      </c>
      <c r="C44" t="s">
        <v>448</v>
      </c>
      <c r="D44" t="s">
        <v>907</v>
      </c>
      <c r="E44" s="46">
        <v>9</v>
      </c>
      <c r="F44" s="46">
        <v>9</v>
      </c>
      <c r="G44" s="46">
        <v>0</v>
      </c>
      <c r="H44" s="63">
        <v>0</v>
      </c>
    </row>
    <row r="45" spans="2:8" x14ac:dyDescent="0.25">
      <c r="C45" t="s">
        <v>944</v>
      </c>
      <c r="D45" t="s">
        <v>946</v>
      </c>
      <c r="E45" s="46">
        <v>1</v>
      </c>
      <c r="G45" s="46">
        <v>1</v>
      </c>
      <c r="H45" s="63">
        <v>0</v>
      </c>
    </row>
    <row r="46" spans="2:8" x14ac:dyDescent="0.25">
      <c r="C46" t="s">
        <v>932</v>
      </c>
      <c r="D46" t="s">
        <v>934</v>
      </c>
      <c r="E46" s="46">
        <v>1</v>
      </c>
      <c r="G46" s="46">
        <v>1</v>
      </c>
      <c r="H46" s="63">
        <v>2254</v>
      </c>
    </row>
    <row r="47" spans="2:8" x14ac:dyDescent="0.25">
      <c r="B47" t="s">
        <v>2126</v>
      </c>
      <c r="E47" s="46">
        <v>11</v>
      </c>
      <c r="F47" s="46">
        <v>9</v>
      </c>
      <c r="G47" s="46">
        <v>2</v>
      </c>
      <c r="H47" s="63">
        <v>2254</v>
      </c>
    </row>
    <row r="48" spans="2:8" x14ac:dyDescent="0.25">
      <c r="B48" t="s">
        <v>761</v>
      </c>
      <c r="C48" t="s">
        <v>944</v>
      </c>
      <c r="D48" t="s">
        <v>946</v>
      </c>
      <c r="E48" s="46">
        <v>6</v>
      </c>
      <c r="G48" s="46">
        <v>6</v>
      </c>
      <c r="H48" s="63">
        <v>0</v>
      </c>
    </row>
    <row r="49" spans="2:8" x14ac:dyDescent="0.25">
      <c r="C49" t="s">
        <v>932</v>
      </c>
      <c r="D49" t="s">
        <v>931</v>
      </c>
      <c r="E49" s="46">
        <v>6</v>
      </c>
      <c r="F49" s="46">
        <v>0</v>
      </c>
      <c r="G49" s="46">
        <v>6</v>
      </c>
      <c r="H49" s="63">
        <v>119898</v>
      </c>
    </row>
    <row r="50" spans="2:8" x14ac:dyDescent="0.25">
      <c r="B50" t="s">
        <v>2127</v>
      </c>
      <c r="E50" s="46">
        <v>12</v>
      </c>
      <c r="F50" s="46">
        <v>0</v>
      </c>
      <c r="G50" s="46">
        <v>12</v>
      </c>
      <c r="H50" s="63">
        <v>119898</v>
      </c>
    </row>
    <row r="51" spans="2:8" x14ac:dyDescent="0.25">
      <c r="B51" t="s">
        <v>299</v>
      </c>
      <c r="C51" t="s">
        <v>981</v>
      </c>
      <c r="D51" t="s">
        <v>980</v>
      </c>
      <c r="E51" s="46">
        <v>22</v>
      </c>
      <c r="F51" s="46">
        <v>18</v>
      </c>
      <c r="G51" s="46">
        <v>4</v>
      </c>
      <c r="H51" s="63">
        <v>0</v>
      </c>
    </row>
    <row r="52" spans="2:8" x14ac:dyDescent="0.25">
      <c r="C52" t="s">
        <v>1092</v>
      </c>
      <c r="D52" t="s">
        <v>925</v>
      </c>
      <c r="E52" s="46">
        <v>22</v>
      </c>
      <c r="F52" s="46">
        <v>14</v>
      </c>
      <c r="G52" s="46">
        <v>8</v>
      </c>
      <c r="H52" s="63">
        <v>0</v>
      </c>
    </row>
    <row r="53" spans="2:8" x14ac:dyDescent="0.25">
      <c r="C53" t="s">
        <v>1108</v>
      </c>
      <c r="D53" t="s">
        <v>922</v>
      </c>
      <c r="E53" s="46">
        <v>22</v>
      </c>
      <c r="F53" s="46">
        <v>13</v>
      </c>
      <c r="G53" s="46">
        <v>9</v>
      </c>
      <c r="H53" s="63">
        <v>13248</v>
      </c>
    </row>
    <row r="54" spans="2:8" x14ac:dyDescent="0.25">
      <c r="C54" t="s">
        <v>654</v>
      </c>
      <c r="D54" t="s">
        <v>903</v>
      </c>
      <c r="E54" s="46">
        <v>2</v>
      </c>
      <c r="G54" s="46">
        <v>2</v>
      </c>
      <c r="H54" s="63">
        <v>0</v>
      </c>
    </row>
    <row r="55" spans="2:8" x14ac:dyDescent="0.25">
      <c r="D55" t="s">
        <v>983</v>
      </c>
      <c r="E55" s="46">
        <v>2</v>
      </c>
      <c r="G55" s="46">
        <v>2</v>
      </c>
      <c r="H55" s="63">
        <v>0</v>
      </c>
    </row>
    <row r="56" spans="2:8" x14ac:dyDescent="0.25">
      <c r="C56" t="s">
        <v>301</v>
      </c>
      <c r="D56" t="s">
        <v>946</v>
      </c>
      <c r="E56" s="46">
        <v>4</v>
      </c>
      <c r="F56" s="46">
        <v>4</v>
      </c>
      <c r="G56" s="46">
        <v>0</v>
      </c>
      <c r="H56" s="63">
        <v>0</v>
      </c>
    </row>
    <row r="57" spans="2:8" x14ac:dyDescent="0.25">
      <c r="C57" t="s">
        <v>772</v>
      </c>
      <c r="D57" t="s">
        <v>1167</v>
      </c>
      <c r="E57" s="46">
        <v>1</v>
      </c>
      <c r="G57" s="46">
        <v>1</v>
      </c>
      <c r="H57" s="63">
        <v>0</v>
      </c>
    </row>
    <row r="58" spans="2:8" x14ac:dyDescent="0.25">
      <c r="C58" t="s">
        <v>1122</v>
      </c>
      <c r="D58" t="s">
        <v>970</v>
      </c>
      <c r="E58" s="46">
        <v>7</v>
      </c>
      <c r="F58" s="46">
        <v>0</v>
      </c>
      <c r="G58" s="46">
        <v>0</v>
      </c>
      <c r="H58" s="63">
        <v>0</v>
      </c>
    </row>
    <row r="59" spans="2:8" x14ac:dyDescent="0.25">
      <c r="C59" t="s">
        <v>929</v>
      </c>
      <c r="D59" t="s">
        <v>928</v>
      </c>
      <c r="E59" s="46">
        <v>22</v>
      </c>
      <c r="F59" s="46">
        <v>22</v>
      </c>
      <c r="G59" s="46">
        <v>0</v>
      </c>
      <c r="H59" s="63">
        <v>0</v>
      </c>
    </row>
    <row r="60" spans="2:8" x14ac:dyDescent="0.25">
      <c r="C60" t="s">
        <v>944</v>
      </c>
      <c r="D60" t="s">
        <v>946</v>
      </c>
      <c r="E60" s="46">
        <v>22</v>
      </c>
      <c r="F60" s="46">
        <v>22</v>
      </c>
      <c r="G60" s="46">
        <v>0</v>
      </c>
      <c r="H60" s="63">
        <v>0</v>
      </c>
    </row>
    <row r="61" spans="2:8" x14ac:dyDescent="0.25">
      <c r="C61" t="s">
        <v>1061</v>
      </c>
      <c r="D61" t="s">
        <v>957</v>
      </c>
      <c r="E61" s="46">
        <v>2</v>
      </c>
      <c r="G61" s="46">
        <v>2</v>
      </c>
      <c r="H61" s="63">
        <v>0</v>
      </c>
    </row>
    <row r="62" spans="2:8" x14ac:dyDescent="0.25">
      <c r="C62" t="s">
        <v>1031</v>
      </c>
      <c r="D62" t="s">
        <v>960</v>
      </c>
      <c r="E62" s="46">
        <v>2</v>
      </c>
      <c r="G62" s="46">
        <v>2</v>
      </c>
      <c r="H62" s="63">
        <v>0</v>
      </c>
    </row>
    <row r="63" spans="2:8" x14ac:dyDescent="0.25">
      <c r="C63" t="s">
        <v>932</v>
      </c>
      <c r="D63" t="s">
        <v>938</v>
      </c>
      <c r="E63" s="46">
        <v>22</v>
      </c>
      <c r="F63" s="46">
        <v>20</v>
      </c>
      <c r="G63" s="46">
        <v>2</v>
      </c>
      <c r="H63" s="63">
        <v>94832</v>
      </c>
    </row>
    <row r="64" spans="2:8" x14ac:dyDescent="0.25">
      <c r="B64" t="s">
        <v>2128</v>
      </c>
      <c r="E64" s="46">
        <v>152</v>
      </c>
      <c r="F64" s="46">
        <v>113</v>
      </c>
      <c r="G64" s="46">
        <v>32</v>
      </c>
      <c r="H64" s="63">
        <v>108080</v>
      </c>
    </row>
    <row r="65" spans="2:8" x14ac:dyDescent="0.25">
      <c r="B65" t="s">
        <v>517</v>
      </c>
      <c r="C65" t="s">
        <v>448</v>
      </c>
      <c r="D65" t="s">
        <v>907</v>
      </c>
      <c r="E65" s="46">
        <v>4</v>
      </c>
      <c r="F65" s="46">
        <v>4</v>
      </c>
      <c r="G65" s="46">
        <v>0</v>
      </c>
      <c r="H65" s="63">
        <v>0</v>
      </c>
    </row>
    <row r="66" spans="2:8" x14ac:dyDescent="0.25">
      <c r="B66" t="s">
        <v>2129</v>
      </c>
      <c r="E66" s="46">
        <v>4</v>
      </c>
      <c r="F66" s="46">
        <v>4</v>
      </c>
      <c r="G66" s="46">
        <v>0</v>
      </c>
      <c r="H66" s="63">
        <v>0</v>
      </c>
    </row>
    <row r="67" spans="2:8" x14ac:dyDescent="0.25">
      <c r="B67" t="s">
        <v>363</v>
      </c>
      <c r="C67" t="s">
        <v>944</v>
      </c>
      <c r="D67" t="s">
        <v>946</v>
      </c>
      <c r="E67" s="46">
        <v>1</v>
      </c>
      <c r="G67" s="46">
        <v>1</v>
      </c>
      <c r="H67" s="63">
        <v>0</v>
      </c>
    </row>
    <row r="68" spans="2:8" x14ac:dyDescent="0.25">
      <c r="C68" t="s">
        <v>932</v>
      </c>
      <c r="D68" t="s">
        <v>934</v>
      </c>
      <c r="E68" s="46">
        <v>1</v>
      </c>
      <c r="F68" s="46">
        <v>1</v>
      </c>
      <c r="G68" s="46">
        <v>0</v>
      </c>
      <c r="H68" s="63">
        <v>2254</v>
      </c>
    </row>
    <row r="69" spans="2:8" x14ac:dyDescent="0.25">
      <c r="B69" t="s">
        <v>2130</v>
      </c>
      <c r="E69" s="46">
        <v>2</v>
      </c>
      <c r="F69" s="46">
        <v>1</v>
      </c>
      <c r="G69" s="46">
        <v>1</v>
      </c>
      <c r="H69" s="63">
        <v>2254</v>
      </c>
    </row>
    <row r="70" spans="2:8" x14ac:dyDescent="0.25">
      <c r="B70" t="s">
        <v>528</v>
      </c>
      <c r="C70" t="s">
        <v>448</v>
      </c>
      <c r="D70" t="s">
        <v>907</v>
      </c>
      <c r="E70" s="46">
        <v>2</v>
      </c>
      <c r="F70" s="46">
        <v>2</v>
      </c>
      <c r="G70" s="46">
        <v>0</v>
      </c>
      <c r="H70" s="63">
        <v>0</v>
      </c>
    </row>
    <row r="71" spans="2:8" x14ac:dyDescent="0.25">
      <c r="C71" t="s">
        <v>944</v>
      </c>
      <c r="D71" t="s">
        <v>946</v>
      </c>
      <c r="E71" s="46">
        <v>2</v>
      </c>
      <c r="G71" s="46">
        <v>2</v>
      </c>
      <c r="H71" s="63">
        <v>0</v>
      </c>
    </row>
    <row r="72" spans="2:8" x14ac:dyDescent="0.25">
      <c r="C72" t="s">
        <v>932</v>
      </c>
      <c r="D72" t="s">
        <v>931</v>
      </c>
      <c r="E72" s="46">
        <v>1</v>
      </c>
      <c r="G72" s="46">
        <v>1</v>
      </c>
      <c r="H72" s="63">
        <v>19983</v>
      </c>
    </row>
    <row r="73" spans="2:8" x14ac:dyDescent="0.25">
      <c r="D73" t="s">
        <v>934</v>
      </c>
      <c r="E73" s="46">
        <v>1</v>
      </c>
      <c r="G73" s="46">
        <v>1</v>
      </c>
      <c r="H73" s="63">
        <v>2254</v>
      </c>
    </row>
    <row r="74" spans="2:8" x14ac:dyDescent="0.25">
      <c r="B74" t="s">
        <v>2131</v>
      </c>
      <c r="E74" s="46">
        <v>6</v>
      </c>
      <c r="F74" s="46">
        <v>2</v>
      </c>
      <c r="G74" s="46">
        <v>4</v>
      </c>
      <c r="H74" s="63">
        <v>22237</v>
      </c>
    </row>
    <row r="75" spans="2:8" x14ac:dyDescent="0.25">
      <c r="B75" t="s">
        <v>368</v>
      </c>
      <c r="C75" t="s">
        <v>681</v>
      </c>
      <c r="D75" t="s">
        <v>913</v>
      </c>
      <c r="E75" s="46">
        <v>6</v>
      </c>
      <c r="G75" s="46">
        <v>6</v>
      </c>
      <c r="H75" s="63">
        <v>20928</v>
      </c>
    </row>
    <row r="76" spans="2:8" x14ac:dyDescent="0.25">
      <c r="D76" t="s">
        <v>1167</v>
      </c>
      <c r="E76" s="46">
        <v>3</v>
      </c>
      <c r="G76" s="46">
        <v>3</v>
      </c>
      <c r="H76" s="63">
        <v>0</v>
      </c>
    </row>
    <row r="77" spans="2:8" x14ac:dyDescent="0.25">
      <c r="C77" t="s">
        <v>448</v>
      </c>
      <c r="D77" t="s">
        <v>907</v>
      </c>
      <c r="E77" s="46">
        <v>24</v>
      </c>
      <c r="F77" s="46">
        <v>24</v>
      </c>
      <c r="G77" s="46">
        <v>0</v>
      </c>
      <c r="H77" s="63">
        <v>0</v>
      </c>
    </row>
    <row r="78" spans="2:8" x14ac:dyDescent="0.25">
      <c r="C78" t="s">
        <v>772</v>
      </c>
      <c r="D78" t="s">
        <v>1167</v>
      </c>
      <c r="E78" s="46">
        <v>3</v>
      </c>
      <c r="G78" s="46">
        <v>3</v>
      </c>
      <c r="H78" s="63">
        <v>0</v>
      </c>
    </row>
    <row r="79" spans="2:8" x14ac:dyDescent="0.25">
      <c r="C79" t="s">
        <v>944</v>
      </c>
      <c r="D79" t="s">
        <v>946</v>
      </c>
      <c r="E79" s="46">
        <v>14</v>
      </c>
      <c r="G79" s="46">
        <v>14</v>
      </c>
      <c r="H79" s="63">
        <v>0</v>
      </c>
    </row>
    <row r="80" spans="2:8" x14ac:dyDescent="0.25">
      <c r="C80" t="s">
        <v>932</v>
      </c>
      <c r="D80" t="s">
        <v>934</v>
      </c>
      <c r="E80" s="46">
        <v>14</v>
      </c>
      <c r="F80" s="46">
        <v>3</v>
      </c>
      <c r="G80" s="46">
        <v>11</v>
      </c>
      <c r="H80" s="63">
        <v>31556</v>
      </c>
    </row>
    <row r="81" spans="2:8" x14ac:dyDescent="0.25">
      <c r="B81" t="s">
        <v>2132</v>
      </c>
      <c r="E81" s="46">
        <v>64</v>
      </c>
      <c r="F81" s="46">
        <v>27</v>
      </c>
      <c r="G81" s="46">
        <v>37</v>
      </c>
      <c r="H81" s="63">
        <v>52484</v>
      </c>
    </row>
    <row r="82" spans="2:8" x14ac:dyDescent="0.25">
      <c r="B82" t="s">
        <v>591</v>
      </c>
      <c r="C82" t="s">
        <v>448</v>
      </c>
      <c r="D82" t="s">
        <v>907</v>
      </c>
      <c r="E82" s="46">
        <v>10</v>
      </c>
      <c r="F82" s="46">
        <v>10</v>
      </c>
      <c r="G82" s="46">
        <v>0</v>
      </c>
      <c r="H82" s="63">
        <v>0</v>
      </c>
    </row>
    <row r="83" spans="2:8" x14ac:dyDescent="0.25">
      <c r="B83" t="s">
        <v>2133</v>
      </c>
      <c r="E83" s="46">
        <v>10</v>
      </c>
      <c r="F83" s="46">
        <v>10</v>
      </c>
      <c r="G83" s="46">
        <v>0</v>
      </c>
      <c r="H83" s="63">
        <v>0</v>
      </c>
    </row>
    <row r="84" spans="2:8" x14ac:dyDescent="0.25">
      <c r="B84" t="s">
        <v>35</v>
      </c>
      <c r="C84" t="s">
        <v>926</v>
      </c>
      <c r="D84" t="s">
        <v>925</v>
      </c>
      <c r="E84" s="46">
        <v>16</v>
      </c>
      <c r="G84" s="46">
        <v>16</v>
      </c>
      <c r="H84" s="63">
        <v>0</v>
      </c>
    </row>
    <row r="85" spans="2:8" x14ac:dyDescent="0.25">
      <c r="C85" t="s">
        <v>654</v>
      </c>
      <c r="D85" t="s">
        <v>903</v>
      </c>
      <c r="E85" s="46">
        <v>4</v>
      </c>
      <c r="G85" s="46">
        <v>4</v>
      </c>
      <c r="H85" s="63">
        <v>0</v>
      </c>
    </row>
    <row r="86" spans="2:8" x14ac:dyDescent="0.25">
      <c r="D86" t="s">
        <v>983</v>
      </c>
      <c r="E86" s="46">
        <v>2</v>
      </c>
      <c r="G86" s="46">
        <v>2</v>
      </c>
      <c r="H86" s="63">
        <v>0</v>
      </c>
    </row>
    <row r="87" spans="2:8" x14ac:dyDescent="0.25">
      <c r="C87" t="s">
        <v>448</v>
      </c>
      <c r="D87" t="s">
        <v>907</v>
      </c>
      <c r="E87" s="46">
        <v>4</v>
      </c>
      <c r="F87" s="46">
        <v>4</v>
      </c>
      <c r="G87" s="46">
        <v>0</v>
      </c>
      <c r="H87" s="63">
        <v>0</v>
      </c>
    </row>
    <row r="88" spans="2:8" x14ac:dyDescent="0.25">
      <c r="C88" t="s">
        <v>301</v>
      </c>
      <c r="D88" t="s">
        <v>946</v>
      </c>
      <c r="E88" s="46">
        <v>1</v>
      </c>
      <c r="G88" s="46">
        <v>1</v>
      </c>
      <c r="H88" s="63">
        <v>0</v>
      </c>
    </row>
    <row r="89" spans="2:8" x14ac:dyDescent="0.25">
      <c r="C89" t="s">
        <v>816</v>
      </c>
      <c r="D89" t="s">
        <v>913</v>
      </c>
      <c r="E89" s="46">
        <v>24</v>
      </c>
      <c r="G89" s="46">
        <v>24</v>
      </c>
      <c r="H89" s="63">
        <v>83712</v>
      </c>
    </row>
    <row r="90" spans="2:8" x14ac:dyDescent="0.25">
      <c r="C90" t="s">
        <v>923</v>
      </c>
      <c r="D90" t="s">
        <v>922</v>
      </c>
      <c r="E90" s="46">
        <v>16</v>
      </c>
      <c r="G90" s="46">
        <v>16</v>
      </c>
      <c r="H90" s="63">
        <v>23552</v>
      </c>
    </row>
    <row r="91" spans="2:8" x14ac:dyDescent="0.25">
      <c r="C91" t="s">
        <v>917</v>
      </c>
      <c r="D91" t="s">
        <v>916</v>
      </c>
      <c r="E91" s="46">
        <v>16</v>
      </c>
      <c r="G91" s="46">
        <v>16</v>
      </c>
      <c r="H91" s="63">
        <v>81232</v>
      </c>
    </row>
    <row r="92" spans="2:8" x14ac:dyDescent="0.25">
      <c r="C92" t="s">
        <v>929</v>
      </c>
      <c r="D92" t="s">
        <v>928</v>
      </c>
      <c r="E92" s="46">
        <v>10</v>
      </c>
      <c r="G92" s="46">
        <v>10</v>
      </c>
      <c r="H92" s="63">
        <v>0</v>
      </c>
    </row>
    <row r="93" spans="2:8" x14ac:dyDescent="0.25">
      <c r="C93" t="s">
        <v>941</v>
      </c>
      <c r="D93" t="s">
        <v>940</v>
      </c>
      <c r="E93" s="46">
        <v>16</v>
      </c>
      <c r="G93" s="46">
        <v>16</v>
      </c>
      <c r="H93" s="63">
        <v>42912</v>
      </c>
    </row>
    <row r="94" spans="2:8" x14ac:dyDescent="0.25">
      <c r="C94" t="s">
        <v>944</v>
      </c>
      <c r="D94" t="s">
        <v>946</v>
      </c>
      <c r="E94" s="46">
        <v>94</v>
      </c>
      <c r="G94" s="46">
        <v>94</v>
      </c>
      <c r="H94" s="63">
        <v>0</v>
      </c>
    </row>
    <row r="95" spans="2:8" x14ac:dyDescent="0.25">
      <c r="C95" t="s">
        <v>1061</v>
      </c>
      <c r="D95" t="s">
        <v>957</v>
      </c>
      <c r="E95" s="46">
        <v>1</v>
      </c>
      <c r="G95" s="46">
        <v>1</v>
      </c>
      <c r="H95" s="63">
        <v>0</v>
      </c>
    </row>
    <row r="96" spans="2:8" x14ac:dyDescent="0.25">
      <c r="C96" t="s">
        <v>1031</v>
      </c>
      <c r="D96" t="s">
        <v>960</v>
      </c>
      <c r="E96" s="46">
        <v>3</v>
      </c>
      <c r="G96" s="46">
        <v>3</v>
      </c>
      <c r="H96" s="63">
        <v>0</v>
      </c>
    </row>
    <row r="97" spans="2:8" x14ac:dyDescent="0.25">
      <c r="C97" t="s">
        <v>932</v>
      </c>
      <c r="D97" t="s">
        <v>934</v>
      </c>
      <c r="E97" s="46">
        <v>68</v>
      </c>
      <c r="F97" s="46">
        <v>0</v>
      </c>
      <c r="G97" s="46">
        <v>68</v>
      </c>
      <c r="H97" s="63">
        <v>153272</v>
      </c>
    </row>
    <row r="98" spans="2:8" x14ac:dyDescent="0.25">
      <c r="D98" t="s">
        <v>938</v>
      </c>
      <c r="E98" s="46">
        <v>16</v>
      </c>
      <c r="F98" s="46">
        <v>0</v>
      </c>
      <c r="G98" s="46">
        <v>16</v>
      </c>
      <c r="H98" s="63">
        <v>398016</v>
      </c>
    </row>
    <row r="99" spans="2:8" x14ac:dyDescent="0.25">
      <c r="C99" t="s">
        <v>1026</v>
      </c>
      <c r="D99" t="s">
        <v>983</v>
      </c>
      <c r="E99" s="46">
        <v>4</v>
      </c>
      <c r="G99" s="46">
        <v>4</v>
      </c>
      <c r="H99" s="63">
        <v>0</v>
      </c>
    </row>
    <row r="100" spans="2:8" x14ac:dyDescent="0.25">
      <c r="C100" t="s">
        <v>920</v>
      </c>
      <c r="D100" t="s">
        <v>919</v>
      </c>
      <c r="E100" s="46">
        <v>10</v>
      </c>
      <c r="G100" s="46">
        <v>10</v>
      </c>
      <c r="H100" s="63">
        <v>0</v>
      </c>
    </row>
    <row r="101" spans="2:8" x14ac:dyDescent="0.25">
      <c r="B101" t="s">
        <v>2134</v>
      </c>
      <c r="E101" s="46">
        <v>305</v>
      </c>
      <c r="F101" s="46">
        <v>4</v>
      </c>
      <c r="G101" s="46">
        <v>301</v>
      </c>
      <c r="H101" s="63">
        <v>782696</v>
      </c>
    </row>
    <row r="102" spans="2:8" x14ac:dyDescent="0.25">
      <c r="B102" t="s">
        <v>889</v>
      </c>
      <c r="C102" t="s">
        <v>944</v>
      </c>
      <c r="D102" t="s">
        <v>946</v>
      </c>
      <c r="E102" s="46">
        <v>3</v>
      </c>
      <c r="G102" s="46">
        <v>3</v>
      </c>
      <c r="H102" s="63">
        <v>0</v>
      </c>
    </row>
    <row r="103" spans="2:8" x14ac:dyDescent="0.25">
      <c r="C103" t="s">
        <v>932</v>
      </c>
      <c r="D103" t="s">
        <v>934</v>
      </c>
      <c r="E103" s="46">
        <v>3</v>
      </c>
      <c r="G103" s="46">
        <v>3</v>
      </c>
      <c r="H103" s="63">
        <v>6762</v>
      </c>
    </row>
    <row r="104" spans="2:8" x14ac:dyDescent="0.25">
      <c r="B104" t="s">
        <v>2135</v>
      </c>
      <c r="E104" s="46">
        <v>6</v>
      </c>
      <c r="G104" s="46">
        <v>6</v>
      </c>
      <c r="H104" s="63">
        <v>6762</v>
      </c>
    </row>
    <row r="105" spans="2:8" x14ac:dyDescent="0.25">
      <c r="B105" t="s">
        <v>620</v>
      </c>
      <c r="C105" t="s">
        <v>448</v>
      </c>
      <c r="D105" t="s">
        <v>907</v>
      </c>
      <c r="E105" s="46">
        <v>9</v>
      </c>
      <c r="F105" s="46">
        <v>9</v>
      </c>
      <c r="G105" s="46">
        <v>0</v>
      </c>
      <c r="H105" s="63">
        <v>0</v>
      </c>
    </row>
    <row r="106" spans="2:8" x14ac:dyDescent="0.25">
      <c r="B106" t="s">
        <v>2136</v>
      </c>
      <c r="E106" s="46">
        <v>9</v>
      </c>
      <c r="F106" s="46">
        <v>9</v>
      </c>
      <c r="G106" s="46">
        <v>0</v>
      </c>
      <c r="H106" s="63">
        <v>0</v>
      </c>
    </row>
    <row r="107" spans="2:8" x14ac:dyDescent="0.25">
      <c r="B107" t="s">
        <v>632</v>
      </c>
      <c r="C107" t="s">
        <v>448</v>
      </c>
      <c r="D107" t="s">
        <v>907</v>
      </c>
      <c r="E107" s="46">
        <v>4</v>
      </c>
      <c r="F107" s="46">
        <v>4</v>
      </c>
      <c r="G107" s="46">
        <v>0</v>
      </c>
      <c r="H107" s="63">
        <v>0</v>
      </c>
    </row>
    <row r="108" spans="2:8" x14ac:dyDescent="0.25">
      <c r="C108" t="s">
        <v>944</v>
      </c>
      <c r="D108" t="s">
        <v>946</v>
      </c>
      <c r="E108" s="46">
        <v>2</v>
      </c>
      <c r="G108" s="46">
        <v>2</v>
      </c>
      <c r="H108" s="63">
        <v>0</v>
      </c>
    </row>
    <row r="109" spans="2:8" x14ac:dyDescent="0.25">
      <c r="C109" t="s">
        <v>932</v>
      </c>
      <c r="D109" t="s">
        <v>931</v>
      </c>
      <c r="E109" s="46">
        <v>2</v>
      </c>
      <c r="G109" s="46">
        <v>2</v>
      </c>
      <c r="H109" s="63">
        <v>39966</v>
      </c>
    </row>
    <row r="110" spans="2:8" x14ac:dyDescent="0.25">
      <c r="B110" t="s">
        <v>2137</v>
      </c>
      <c r="E110" s="46">
        <v>8</v>
      </c>
      <c r="F110" s="46">
        <v>4</v>
      </c>
      <c r="G110" s="46">
        <v>4</v>
      </c>
      <c r="H110" s="63">
        <v>39966</v>
      </c>
    </row>
    <row r="111" spans="2:8" x14ac:dyDescent="0.25">
      <c r="B111" t="s">
        <v>2108</v>
      </c>
      <c r="E111" s="46">
        <v>955</v>
      </c>
      <c r="F111" s="46">
        <v>314</v>
      </c>
      <c r="G111" s="46">
        <v>634</v>
      </c>
      <c r="H111" s="63">
        <v>2840053</v>
      </c>
    </row>
    <row r="112" spans="2:8" x14ac:dyDescent="0.25">
      <c r="E112"/>
      <c r="F112"/>
    </row>
    <row r="113" spans="5:6" x14ac:dyDescent="0.25">
      <c r="E113"/>
      <c r="F113"/>
    </row>
    <row r="114" spans="5:6" x14ac:dyDescent="0.25">
      <c r="E114"/>
      <c r="F114"/>
    </row>
    <row r="115" spans="5:6" x14ac:dyDescent="0.25">
      <c r="E115"/>
      <c r="F115"/>
    </row>
    <row r="116" spans="5:6" x14ac:dyDescent="0.25">
      <c r="E116"/>
      <c r="F116"/>
    </row>
  </sheetData>
  <pageMargins left="0.7" right="0.7" top="0.75" bottom="0.75" header="0.3" footer="0.3"/>
  <pageSetup orientation="portrait"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haredContentType xmlns="Microsoft.SharePoint.Taxonomy.ContentTypeSync" SourceId="e40374fb-a6cc-4854-989f-c1d94a7967ee" ContentTypeId="0x01" PreviousValue="false"/>
</file>

<file path=customXml/item2.xml><?xml version="1.0" encoding="utf-8"?>
<ct:contentTypeSchema xmlns:ct="http://schemas.microsoft.com/office/2006/metadata/contentType" xmlns:ma="http://schemas.microsoft.com/office/2006/metadata/properties/metaAttributes" ct:_="" ma:_="" ma:contentTypeName="Document" ma:contentTypeID="0x010100E1C83035C860724F9C9E1A33F0495643" ma:contentTypeVersion="16" ma:contentTypeDescription="Create a new document." ma:contentTypeScope="" ma:versionID="646ccc936f2253a5d5106e2e201c91a4">
  <xsd:schema xmlns:xsd="http://www.w3.org/2001/XMLSchema" xmlns:xs="http://www.w3.org/2001/XMLSchema" xmlns:p="http://schemas.microsoft.com/office/2006/metadata/properties" xmlns:ns2="1e7a7ed6-46df-4617-8b6a-57a8b192745d" xmlns:ns3="a7f4d62d-4dd2-44da-9082-64ce01ca6a30" targetNamespace="http://schemas.microsoft.com/office/2006/metadata/properties" ma:root="true" ma:fieldsID="1e130c2d47b6123af406f39904a2654f" ns2:_="" ns3:_="">
    <xsd:import namespace="1e7a7ed6-46df-4617-8b6a-57a8b192745d"/>
    <xsd:import namespace="a7f4d62d-4dd2-44da-9082-64ce01ca6a3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e7a7ed6-46df-4617-8b6a-57a8b192745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e40374fb-a6cc-4854-989f-c1d94a7967ee"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a7f4d62d-4dd2-44da-9082-64ce01ca6a30"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0e880e15-1aa1-41b4-8a78-732305d974a3}" ma:internalName="TaxCatchAll" ma:showField="CatchAllData" ma:web="a7f4d62d-4dd2-44da-9082-64ce01ca6a30">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1e7a7ed6-46df-4617-8b6a-57a8b192745d">
      <Terms xmlns="http://schemas.microsoft.com/office/infopath/2007/PartnerControls"/>
    </lcf76f155ced4ddcb4097134ff3c332f>
    <TaxCatchAll xmlns="a7f4d62d-4dd2-44da-9082-64ce01ca6a30"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EA6D284-F12F-4CD3-A3AD-256D1F917662}">
  <ds:schemaRefs>
    <ds:schemaRef ds:uri="Microsoft.SharePoint.Taxonomy.ContentTypeSync"/>
  </ds:schemaRefs>
</ds:datastoreItem>
</file>

<file path=customXml/itemProps2.xml><?xml version="1.0" encoding="utf-8"?>
<ds:datastoreItem xmlns:ds="http://schemas.openxmlformats.org/officeDocument/2006/customXml" ds:itemID="{D681A4C1-136D-4C1D-8E1A-AC304DB4E79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e7a7ed6-46df-4617-8b6a-57a8b192745d"/>
    <ds:schemaRef ds:uri="a7f4d62d-4dd2-44da-9082-64ce01ca6a3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5AC07F8-6EBF-4E55-9447-F1949100B596}">
  <ds:schemaRefs>
    <ds:schemaRef ds:uri="http://schemas.microsoft.com/office/infopath/2007/PartnerControls"/>
    <ds:schemaRef ds:uri="http://schemas.openxmlformats.org/package/2006/metadata/core-properties"/>
    <ds:schemaRef ds:uri="http://schemas.microsoft.com/office/2006/documentManagement/types"/>
    <ds:schemaRef ds:uri="http://purl.org/dc/dcmitype/"/>
    <ds:schemaRef ds:uri="http://purl.org/dc/terms/"/>
    <ds:schemaRef ds:uri="1e7a7ed6-46df-4617-8b6a-57a8b192745d"/>
    <ds:schemaRef ds:uri="http://schemas.microsoft.com/office/2006/metadata/properties"/>
    <ds:schemaRef ds:uri="http://www.w3.org/XML/1998/namespace"/>
    <ds:schemaRef ds:uri="http://purl.org/dc/elements/1.1/"/>
    <ds:schemaRef ds:uri="a7f4d62d-4dd2-44da-9082-64ce01ca6a30"/>
  </ds:schemaRefs>
</ds:datastoreItem>
</file>

<file path=customXml/itemProps4.xml><?xml version="1.0" encoding="utf-8"?>
<ds:datastoreItem xmlns:ds="http://schemas.openxmlformats.org/officeDocument/2006/customXml" ds:itemID="{91C24F86-BDD8-4EA8-92A4-45213C9A05CB}">
  <ds:schemaRefs>
    <ds:schemaRef ds:uri="http://schemas.microsoft.com/sharepoint/v3/contenttype/forms"/>
  </ds:schemaRefs>
</ds:datastoreItem>
</file>

<file path=docMetadata/LabelInfo.xml><?xml version="1.0" encoding="utf-8"?>
<clbl:labelList xmlns:clbl="http://schemas.microsoft.com/office/2020/mipLabelMetadata">
  <clbl:label id="{1a407a2d-7675-4d17-8692-b3ac285306e4}" enabled="0" method="" siteId="{1a407a2d-7675-4d17-8692-b3ac285306e4}"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ILR MonitorDistrubution_OLD</vt:lpstr>
      <vt:lpstr>Philips Library</vt:lpstr>
      <vt:lpstr>ILR MonitorDistrubution BAFO_V2</vt:lpstr>
      <vt:lpstr>Central Monitoring - Locations</vt:lpstr>
      <vt:lpstr>Philips Transfer Data</vt:lpstr>
      <vt:lpstr>Item Review Sheet</vt:lpstr>
      <vt:lpstr>LookUps</vt:lpstr>
      <vt:lpstr>Dept Overview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2024-04-19T08:43:39Z</dcterms:created>
  <dcterms:modified xsi:type="dcterms:W3CDTF">2025-06-20T02:34:52Z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0x010100E1C83035C860724F9C9E1A33F0495643</vt:lpwstr>
  </property>
  <property fmtid="{D5CDD505-2E9C-101B-9397-08002B2CF9AE}" pid="3" name="MediaServiceImageTags">
    <vt:lpwstr/>
  </property>
</Properties>
</file>